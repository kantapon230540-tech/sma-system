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1.xml" ContentType="application/vnd.openxmlformats-officedocument.themeOverrid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5.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04"/>
  <workbookPr codeName="ThisWorkbook"/>
  <mc:AlternateContent xmlns:mc="http://schemas.openxmlformats.org/markup-compatibility/2006">
    <mc:Choice Requires="x15"/>
  </mc:AlternateContent>
  <xr:revisionPtr revIDLastSave="0" documentId="8_{BAE60931-AD5B-40E3-ADD3-22069D298FC1}" xr6:coauthVersionLast="47" xr6:coauthVersionMax="47" xr10:uidLastSave="{00000000-0000-0000-0000-000000000000}"/>
  <bookViews>
    <workbookView xWindow="-110" yWindow="-110" windowWidth="19420" windowHeight="11500" tabRatio="848" firstSheet="5" activeTab="5" xr2:uid="{D36E7955-4090-4E34-87FF-E8D2A695B76B}"/>
  </bookViews>
  <sheets>
    <sheet name="Safety Report" sheetId="103" r:id="rId1"/>
    <sheet name="(ref.) Safety Cover" sheetId="82" state="hidden" r:id="rId2"/>
    <sheet name="DP Cover" sheetId="93" state="hidden" r:id="rId3"/>
    <sheet name="Safety Instruction" sheetId="104" state="hidden" r:id="rId4"/>
    <sheet name="DP instruction" sheetId="47" state="hidden" r:id="rId5"/>
    <sheet name="Safety overall result" sheetId="78" r:id="rId6"/>
    <sheet name="Safety manager" sheetId="84" r:id="rId7"/>
    <sheet name="Manager(Safety)" sheetId="86" r:id="rId8"/>
    <sheet name="Safety SV" sheetId="85" r:id="rId9"/>
    <sheet name="Safety Operator" sheetId="83" r:id="rId10"/>
    <sheet name="Safety Instruction." sheetId="46" r:id="rId11"/>
    <sheet name="DP cal." sheetId="79" state="hidden" r:id="rId12"/>
    <sheet name="DP manager" sheetId="97" state="hidden" r:id="rId13"/>
    <sheet name="Manager(DP)" sheetId="98" state="hidden" r:id="rId14"/>
    <sheet name="DP SV" sheetId="99" state="hidden" r:id="rId15"/>
    <sheet name="DP operator" sheetId="100" state="hidden" r:id="rId16"/>
    <sheet name="Data" sheetId="92" state="hidden" r:id="rId17"/>
    <sheet name="Cal" sheetId="102" state="hidden" r:id="rId18"/>
    <sheet name="(ref.) Cal" sheetId="91" state="hidden" r:id="rId19"/>
    <sheet name="memo" sheetId="101" state="hidden" r:id="rId20"/>
  </sheets>
  <definedNames>
    <definedName name="_xlnm._FilterDatabase" localSheetId="4" hidden="1">'DP instruction'!$B$8:$P$35</definedName>
    <definedName name="_xlnm._FilterDatabase" localSheetId="3" hidden="1">'Safety Instruction'!$B$8:$O$39</definedName>
    <definedName name="_xlnm._FilterDatabase" localSheetId="10" hidden="1">'Safety Instruction.'!$B$8:$P$38</definedName>
    <definedName name="_xlnm._FilterDatabase" localSheetId="5" hidden="1">'Safety overall result'!$C$7:$AA$9</definedName>
    <definedName name="_xlnm.Print_Area" localSheetId="1">'(ref.) Safety Cover'!$A$1:$Y$59</definedName>
    <definedName name="_xlnm.Print_Area" localSheetId="11">'DP cal.'!$A$1:$O$41</definedName>
    <definedName name="_xlnm.Print_Area" localSheetId="2">'DP Cover'!$A$1:$Y$58</definedName>
    <definedName name="_xlnm.Print_Area" localSheetId="4">'DP instruction'!$A$1:$P$35</definedName>
    <definedName name="_xlnm.Print_Area" localSheetId="12">'DP manager'!$A$1:$J$78</definedName>
    <definedName name="_xlnm.Print_Area" localSheetId="15">'DP operator'!$A$1:$J$22</definedName>
    <definedName name="_xlnm.Print_Area" localSheetId="14">'DP SV'!$A$1:$J$31</definedName>
    <definedName name="_xlnm.Print_Area" localSheetId="13">'Manager(DP)'!$A$1:$J$11</definedName>
    <definedName name="_xlnm.Print_Area" localSheetId="7">'Manager(Safety)'!$A$1:$J$48</definedName>
    <definedName name="_xlnm.Print_Area" localSheetId="3">'Safety Instruction'!$A$1:$O$39</definedName>
    <definedName name="_xlnm.Print_Area" localSheetId="10">'Safety Instruction.'!$A$1:$P$38</definedName>
    <definedName name="_xlnm.Print_Area" localSheetId="6">'Safety manager'!$A$1:$K$57</definedName>
    <definedName name="_xlnm.Print_Area" localSheetId="9">'Safety Operator'!$A$1:$N$27</definedName>
    <definedName name="_xlnm.Print_Area" localSheetId="5">'Safety overall result'!$A$1:$Q$39</definedName>
    <definedName name="_xlnm.Print_Area" localSheetId="0">'Safety Report'!$A$1:$Y$48</definedName>
    <definedName name="_xlnm.Print_Area" localSheetId="8">'Safety SV'!$A$1:$J$48</definedName>
    <definedName name="_xlnm.Print_Titles" localSheetId="11">'DP cal.'!$12:$14</definedName>
    <definedName name="_xlnm.Print_Titles" localSheetId="5">'Safety overall result'!$7:$9</definedName>
  </definedNames>
  <calcPr calcId="191028"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83" l="1"/>
  <c r="G4" i="83"/>
  <c r="G7" i="84"/>
  <c r="I4" i="83"/>
  <c r="I19" i="83" l="1"/>
  <c r="I39" i="84" l="1"/>
  <c r="I38" i="84"/>
  <c r="S5" i="92"/>
  <c r="T5" i="92"/>
  <c r="U5" i="92"/>
  <c r="V5" i="92"/>
  <c r="W5" i="92"/>
  <c r="X5" i="92"/>
  <c r="Y5" i="92"/>
  <c r="Z5" i="92"/>
  <c r="AA5" i="92"/>
  <c r="AL5" i="92"/>
  <c r="AL10" i="92" s="1"/>
  <c r="AM5" i="92"/>
  <c r="AM10" i="92" s="1"/>
  <c r="AN5" i="92"/>
  <c r="AN10" i="92" s="1"/>
  <c r="AO5" i="92"/>
  <c r="AP5" i="92"/>
  <c r="AQ5" i="92"/>
  <c r="AR5" i="92"/>
  <c r="AR10" i="92" s="1"/>
  <c r="AS5" i="92"/>
  <c r="AT5" i="92"/>
  <c r="S6" i="92"/>
  <c r="T6" i="92"/>
  <c r="U6" i="92"/>
  <c r="V6" i="92"/>
  <c r="W6" i="92"/>
  <c r="X6" i="92"/>
  <c r="Y6" i="92"/>
  <c r="Z6" i="92"/>
  <c r="AA6" i="92"/>
  <c r="AL6" i="92"/>
  <c r="AM6" i="92"/>
  <c r="AN6" i="92"/>
  <c r="AO6" i="92"/>
  <c r="AP6" i="92"/>
  <c r="AQ6" i="92"/>
  <c r="AR6" i="92"/>
  <c r="AS6" i="92"/>
  <c r="AT6" i="92"/>
  <c r="S7" i="92"/>
  <c r="T7" i="92"/>
  <c r="U7" i="92"/>
  <c r="V7" i="92"/>
  <c r="W7" i="92"/>
  <c r="X7" i="92"/>
  <c r="Y7" i="92"/>
  <c r="Z7" i="92"/>
  <c r="AA7" i="92"/>
  <c r="AL7" i="92"/>
  <c r="AM7" i="92"/>
  <c r="AN7" i="92"/>
  <c r="AO7" i="92"/>
  <c r="AP7" i="92"/>
  <c r="AQ7" i="92"/>
  <c r="AR7" i="92"/>
  <c r="AS7" i="92"/>
  <c r="AT7" i="92"/>
  <c r="S8" i="92"/>
  <c r="T8" i="92"/>
  <c r="U8" i="92"/>
  <c r="V8" i="92"/>
  <c r="W8" i="92"/>
  <c r="X8" i="92"/>
  <c r="Y8" i="92"/>
  <c r="Z8" i="92"/>
  <c r="AA8" i="92"/>
  <c r="AL8" i="92"/>
  <c r="AM8" i="92"/>
  <c r="AN8" i="92"/>
  <c r="AO8" i="92"/>
  <c r="AP8" i="92"/>
  <c r="AQ8" i="92"/>
  <c r="AR8" i="92"/>
  <c r="AS8" i="92"/>
  <c r="AT8" i="92"/>
  <c r="S9" i="92"/>
  <c r="T9" i="92"/>
  <c r="U9" i="92"/>
  <c r="V9" i="92"/>
  <c r="W9" i="92"/>
  <c r="X9" i="92"/>
  <c r="Y9" i="92"/>
  <c r="Z9" i="92"/>
  <c r="AA9" i="92"/>
  <c r="AL9" i="92"/>
  <c r="AM9" i="92"/>
  <c r="AN9" i="92"/>
  <c r="AO9" i="92"/>
  <c r="AP9" i="92"/>
  <c r="AQ9" i="92"/>
  <c r="AR9" i="92"/>
  <c r="AS9" i="92"/>
  <c r="AT9" i="92"/>
  <c r="S10" i="92"/>
  <c r="T10" i="92"/>
  <c r="U10" i="92"/>
  <c r="V10" i="92"/>
  <c r="W10" i="92"/>
  <c r="X10" i="92"/>
  <c r="Y10" i="92"/>
  <c r="Z10" i="92"/>
  <c r="AA10" i="92"/>
  <c r="AO10" i="92"/>
  <c r="AP10" i="92"/>
  <c r="AQ10" i="92"/>
  <c r="AS10" i="92"/>
  <c r="AT10" i="92"/>
  <c r="S11" i="92"/>
  <c r="T11" i="92"/>
  <c r="U11" i="92"/>
  <c r="V11" i="92"/>
  <c r="W11" i="92"/>
  <c r="X11" i="92"/>
  <c r="Y11" i="92"/>
  <c r="Z11" i="92"/>
  <c r="AA11" i="92"/>
  <c r="S12" i="92"/>
  <c r="T12" i="92"/>
  <c r="U12" i="92"/>
  <c r="V12" i="92"/>
  <c r="W12" i="92"/>
  <c r="X12" i="92"/>
  <c r="Y12" i="92"/>
  <c r="Z12" i="92"/>
  <c r="AA12" i="92"/>
  <c r="S14" i="92"/>
  <c r="T14" i="92"/>
  <c r="U14" i="92"/>
  <c r="V14" i="92"/>
  <c r="W14" i="92"/>
  <c r="X14" i="92"/>
  <c r="Y14" i="92"/>
  <c r="Z14" i="92"/>
  <c r="AA14" i="92"/>
  <c r="S15" i="92"/>
  <c r="T15" i="92"/>
  <c r="U15" i="92"/>
  <c r="V15" i="92"/>
  <c r="W15" i="92"/>
  <c r="X15" i="92"/>
  <c r="Y15" i="92"/>
  <c r="Z15" i="92"/>
  <c r="AA15" i="92"/>
  <c r="S16" i="92"/>
  <c r="T16" i="92"/>
  <c r="U16" i="92"/>
  <c r="V16" i="92"/>
  <c r="W16" i="92"/>
  <c r="X16" i="92"/>
  <c r="Y16" i="92"/>
  <c r="Z16" i="92"/>
  <c r="AA16" i="92"/>
  <c r="AL16" i="92"/>
  <c r="AM16" i="92"/>
  <c r="AN16" i="92"/>
  <c r="AO16" i="92"/>
  <c r="AP16" i="92"/>
  <c r="AQ16" i="92"/>
  <c r="AR16" i="92"/>
  <c r="AS16" i="92"/>
  <c r="AT16" i="92"/>
  <c r="S17" i="92"/>
  <c r="T17" i="92"/>
  <c r="U17" i="92"/>
  <c r="V17" i="92"/>
  <c r="W17" i="92"/>
  <c r="X17" i="92"/>
  <c r="Y17" i="92"/>
  <c r="Z17" i="92"/>
  <c r="AA17" i="92"/>
  <c r="AL17" i="92"/>
  <c r="AM17" i="92"/>
  <c r="AN17" i="92"/>
  <c r="AO17" i="92"/>
  <c r="AP17" i="92"/>
  <c r="AQ17" i="92"/>
  <c r="AR17" i="92"/>
  <c r="AS17" i="92"/>
  <c r="AT17" i="92"/>
  <c r="S18" i="92"/>
  <c r="T18" i="92"/>
  <c r="U18" i="92"/>
  <c r="V18" i="92"/>
  <c r="W18" i="92"/>
  <c r="X18" i="92"/>
  <c r="Y18" i="92"/>
  <c r="Z18" i="92"/>
  <c r="AA18" i="92"/>
  <c r="AL18" i="92"/>
  <c r="AM18" i="92"/>
  <c r="AN18" i="92"/>
  <c r="AO18" i="92"/>
  <c r="AP18" i="92"/>
  <c r="AQ18" i="92"/>
  <c r="AR18" i="92"/>
  <c r="AS18" i="92"/>
  <c r="AT18" i="92"/>
  <c r="S22" i="92"/>
  <c r="T22" i="92"/>
  <c r="U22" i="92"/>
  <c r="V22" i="92"/>
  <c r="W22" i="92"/>
  <c r="X22" i="92"/>
  <c r="Y22" i="92"/>
  <c r="Z22" i="92"/>
  <c r="AA22" i="92"/>
  <c r="S23" i="92"/>
  <c r="T23" i="92"/>
  <c r="U23" i="92"/>
  <c r="V23" i="92"/>
  <c r="W23" i="92"/>
  <c r="X23" i="92"/>
  <c r="Y23" i="92"/>
  <c r="Z23" i="92"/>
  <c r="AA23" i="92"/>
  <c r="S24" i="92"/>
  <c r="T24" i="92"/>
  <c r="U24" i="92"/>
  <c r="V24" i="92"/>
  <c r="W24" i="92"/>
  <c r="X24" i="92"/>
  <c r="Y24" i="92"/>
  <c r="Z24" i="92"/>
  <c r="AA24" i="92"/>
  <c r="S25" i="92"/>
  <c r="T25" i="92"/>
  <c r="U25" i="92"/>
  <c r="V25" i="92"/>
  <c r="W25" i="92"/>
  <c r="X25" i="92"/>
  <c r="Y25" i="92"/>
  <c r="Z25" i="92"/>
  <c r="AA25" i="92"/>
  <c r="S26" i="92"/>
  <c r="T26" i="92"/>
  <c r="U26" i="92"/>
  <c r="V26" i="92"/>
  <c r="W26" i="92"/>
  <c r="X26" i="92"/>
  <c r="Y26" i="92"/>
  <c r="Z26" i="92"/>
  <c r="AA26" i="92"/>
  <c r="S27" i="92"/>
  <c r="T27" i="92"/>
  <c r="U27" i="92"/>
  <c r="V27" i="92"/>
  <c r="W27" i="92"/>
  <c r="X27" i="92"/>
  <c r="Y27" i="92"/>
  <c r="Z27" i="92"/>
  <c r="AA27" i="92"/>
  <c r="S28" i="92"/>
  <c r="T28" i="92"/>
  <c r="U28" i="92"/>
  <c r="V28" i="92"/>
  <c r="W28" i="92"/>
  <c r="X28" i="92"/>
  <c r="Y28" i="92"/>
  <c r="Z28" i="92"/>
  <c r="AA28" i="92"/>
  <c r="S29" i="92"/>
  <c r="T29" i="92"/>
  <c r="U29" i="92"/>
  <c r="V29" i="92"/>
  <c r="W29" i="92"/>
  <c r="X29" i="92"/>
  <c r="Y29" i="92"/>
  <c r="Z29" i="92"/>
  <c r="AA29" i="92"/>
  <c r="S30" i="92"/>
  <c r="T30" i="92"/>
  <c r="U30" i="92"/>
  <c r="V30" i="92"/>
  <c r="W30" i="92"/>
  <c r="X30" i="92"/>
  <c r="Y30" i="92"/>
  <c r="Z30" i="92"/>
  <c r="AA30" i="92"/>
  <c r="S31" i="92"/>
  <c r="T31" i="92"/>
  <c r="U31" i="92"/>
  <c r="V31" i="92"/>
  <c r="W31" i="92"/>
  <c r="X31" i="92"/>
  <c r="Y31" i="92"/>
  <c r="Z31" i="92"/>
  <c r="AA31" i="92"/>
  <c r="S32" i="92"/>
  <c r="T32" i="92"/>
  <c r="U32" i="92"/>
  <c r="V32" i="92"/>
  <c r="W32" i="92"/>
  <c r="X32" i="92"/>
  <c r="Y32" i="92"/>
  <c r="Z32" i="92"/>
  <c r="AA32" i="92"/>
  <c r="S33" i="92"/>
  <c r="T33" i="92"/>
  <c r="U33" i="92"/>
  <c r="V33" i="92"/>
  <c r="W33" i="92"/>
  <c r="X33" i="92"/>
  <c r="Y33" i="92"/>
  <c r="Z33" i="92"/>
  <c r="AA33" i="92"/>
  <c r="S34" i="92"/>
  <c r="T34" i="92"/>
  <c r="U34" i="92"/>
  <c r="V34" i="92"/>
  <c r="W34" i="92"/>
  <c r="X34" i="92"/>
  <c r="Y34" i="92"/>
  <c r="Z34" i="92"/>
  <c r="AA34" i="92"/>
  <c r="S35" i="92"/>
  <c r="T35" i="92"/>
  <c r="U35" i="92"/>
  <c r="V35" i="92"/>
  <c r="W35" i="92"/>
  <c r="X35" i="92"/>
  <c r="Y35" i="92"/>
  <c r="Z35" i="92"/>
  <c r="AA35" i="92"/>
  <c r="S36" i="92"/>
  <c r="T36" i="92"/>
  <c r="U36" i="92"/>
  <c r="V36" i="92"/>
  <c r="W36" i="92"/>
  <c r="X36" i="92"/>
  <c r="Y36" i="92"/>
  <c r="Z36" i="92"/>
  <c r="AA36" i="92"/>
  <c r="S37" i="92"/>
  <c r="T37" i="92"/>
  <c r="U37" i="92"/>
  <c r="V37" i="92"/>
  <c r="W37" i="92"/>
  <c r="X37" i="92"/>
  <c r="Y37" i="92"/>
  <c r="Z37" i="92"/>
  <c r="AA37" i="92"/>
  <c r="G39" i="85"/>
  <c r="G38" i="85"/>
  <c r="G37" i="85"/>
  <c r="G36" i="85"/>
  <c r="G35" i="85"/>
  <c r="G28" i="86"/>
  <c r="G27" i="86"/>
  <c r="G26" i="86"/>
  <c r="G25" i="86"/>
  <c r="G24" i="86"/>
  <c r="G23" i="86"/>
  <c r="G22" i="86"/>
  <c r="G21" i="86"/>
  <c r="G20" i="86"/>
  <c r="G19" i="86"/>
  <c r="G18" i="86"/>
  <c r="G17" i="86"/>
  <c r="G16" i="86"/>
  <c r="G15" i="86"/>
  <c r="G14" i="86"/>
  <c r="G26" i="84"/>
  <c r="G25" i="84"/>
  <c r="G24" i="84"/>
  <c r="G23" i="84"/>
  <c r="G22" i="84"/>
  <c r="G21" i="84"/>
  <c r="G20" i="84"/>
  <c r="G19" i="84"/>
  <c r="G18" i="84"/>
  <c r="G17" i="84"/>
  <c r="G26" i="85"/>
  <c r="G25" i="85"/>
  <c r="G24" i="85"/>
  <c r="G23" i="85"/>
  <c r="G22" i="85"/>
  <c r="G15" i="83"/>
  <c r="D4" i="104" l="1" a="1"/>
  <c r="D4" i="104" s="1"/>
  <c r="T24" i="78"/>
  <c r="U24" i="78"/>
  <c r="V24" i="78"/>
  <c r="W24" i="78"/>
  <c r="X24" i="78"/>
  <c r="T25" i="78"/>
  <c r="U25" i="78"/>
  <c r="V25" i="78"/>
  <c r="W25" i="78"/>
  <c r="X25" i="78"/>
  <c r="T26" i="78"/>
  <c r="U26" i="78"/>
  <c r="V26" i="78"/>
  <c r="W26" i="78"/>
  <c r="X26" i="78"/>
  <c r="U18" i="78"/>
  <c r="V18" i="78"/>
  <c r="W18" i="78"/>
  <c r="X18" i="78"/>
  <c r="U19" i="78"/>
  <c r="V19" i="78"/>
  <c r="W19" i="78"/>
  <c r="X19" i="78"/>
  <c r="T18" i="78"/>
  <c r="T19" i="78"/>
  <c r="I5" i="99"/>
  <c r="I48" i="85"/>
  <c r="Y19" i="78" l="1"/>
  <c r="Z19" i="78" s="1"/>
  <c r="Y25" i="78"/>
  <c r="Z25" i="78" s="1"/>
  <c r="Y26" i="78"/>
  <c r="Z26" i="78" s="1"/>
  <c r="Y24" i="78"/>
  <c r="Z24" i="78" s="1"/>
  <c r="Y18" i="78"/>
  <c r="Z18" i="78" s="1"/>
  <c r="I8" i="98"/>
  <c r="I53" i="97"/>
  <c r="I54" i="97"/>
  <c r="H24" i="104" l="1"/>
  <c r="H19" i="102" s="1"/>
  <c r="J19" i="102" s="1"/>
  <c r="I24" i="46"/>
  <c r="H18" i="104"/>
  <c r="H13" i="102" s="1"/>
  <c r="I18" i="46"/>
  <c r="H25" i="104"/>
  <c r="H20" i="102" s="1"/>
  <c r="J20" i="102" s="1"/>
  <c r="I25" i="46"/>
  <c r="H17" i="104"/>
  <c r="H12" i="102" s="1"/>
  <c r="I17" i="46"/>
  <c r="H23" i="104"/>
  <c r="H18" i="102" s="1"/>
  <c r="J18" i="102" s="1"/>
  <c r="I23" i="46"/>
  <c r="I12" i="84"/>
  <c r="I13" i="84"/>
  <c r="I11" i="84"/>
  <c r="I10" i="84"/>
  <c r="I9" i="84"/>
  <c r="I8" i="84"/>
  <c r="I7" i="84"/>
  <c r="I55" i="84" l="1"/>
  <c r="J4" i="93"/>
  <c r="I72" i="97"/>
  <c r="I18" i="99"/>
  <c r="I19" i="99"/>
  <c r="I54" i="84" l="1"/>
  <c r="I44" i="84"/>
  <c r="I35" i="84"/>
  <c r="I29" i="84" l="1"/>
  <c r="I6" i="83"/>
  <c r="I21" i="100"/>
  <c r="I20" i="100"/>
  <c r="I19" i="100"/>
  <c r="I18" i="100"/>
  <c r="I17" i="100"/>
  <c r="I16" i="100"/>
  <c r="I15" i="100"/>
  <c r="I14" i="100"/>
  <c r="I13" i="100"/>
  <c r="I12" i="100"/>
  <c r="I11" i="100"/>
  <c r="I10" i="100"/>
  <c r="I9" i="100"/>
  <c r="I8" i="100"/>
  <c r="I7" i="100"/>
  <c r="I6" i="100"/>
  <c r="I5" i="100"/>
  <c r="I4" i="100"/>
  <c r="I31" i="99"/>
  <c r="I30" i="99"/>
  <c r="I29" i="99"/>
  <c r="I28" i="99"/>
  <c r="I27" i="99"/>
  <c r="I26" i="99"/>
  <c r="I25" i="99"/>
  <c r="I24" i="99"/>
  <c r="I23" i="99"/>
  <c r="I22" i="99"/>
  <c r="I21" i="99"/>
  <c r="I20" i="99"/>
  <c r="I17" i="99"/>
  <c r="I16" i="99"/>
  <c r="I15" i="99"/>
  <c r="I14" i="99"/>
  <c r="I13" i="99"/>
  <c r="I12" i="99"/>
  <c r="I11" i="99"/>
  <c r="I10" i="99"/>
  <c r="I9" i="99"/>
  <c r="I8" i="99"/>
  <c r="I7" i="99"/>
  <c r="I6" i="99"/>
  <c r="I4" i="99"/>
  <c r="F5" i="98" l="1"/>
  <c r="F6" i="98"/>
  <c r="F7" i="98"/>
  <c r="F8" i="98"/>
  <c r="F9" i="98"/>
  <c r="F10" i="98"/>
  <c r="F11" i="98"/>
  <c r="F12" i="98"/>
  <c r="F13" i="98"/>
  <c r="F14" i="98"/>
  <c r="F15" i="98"/>
  <c r="F4" i="98"/>
  <c r="I15" i="98"/>
  <c r="I14" i="98"/>
  <c r="I13" i="98"/>
  <c r="I12" i="98"/>
  <c r="I11" i="98"/>
  <c r="I10" i="98"/>
  <c r="I9" i="98"/>
  <c r="I7" i="98"/>
  <c r="I6" i="98"/>
  <c r="I5" i="98"/>
  <c r="I4" i="98"/>
  <c r="I78" i="97"/>
  <c r="I77" i="97"/>
  <c r="I76" i="97"/>
  <c r="I75" i="97"/>
  <c r="I74" i="97"/>
  <c r="I73" i="97"/>
  <c r="I71" i="97"/>
  <c r="I70" i="97"/>
  <c r="I69" i="97"/>
  <c r="I68" i="97"/>
  <c r="I67" i="97"/>
  <c r="I66" i="97"/>
  <c r="I65" i="97"/>
  <c r="I64" i="97"/>
  <c r="I63" i="97"/>
  <c r="I62" i="97"/>
  <c r="I61" i="97"/>
  <c r="I60" i="97"/>
  <c r="I59" i="97"/>
  <c r="I58" i="97"/>
  <c r="I57" i="97"/>
  <c r="I56" i="97"/>
  <c r="I55" i="97"/>
  <c r="I52" i="97"/>
  <c r="I51" i="97"/>
  <c r="I50" i="97"/>
  <c r="I49" i="97"/>
  <c r="I48" i="97"/>
  <c r="I47" i="97"/>
  <c r="I46" i="97"/>
  <c r="I45" i="97"/>
  <c r="I44" i="97"/>
  <c r="I43" i="97"/>
  <c r="I42" i="97"/>
  <c r="I41" i="97"/>
  <c r="I40" i="97"/>
  <c r="I39" i="97"/>
  <c r="I38" i="97"/>
  <c r="I37" i="97"/>
  <c r="I36" i="97"/>
  <c r="I35" i="97"/>
  <c r="I34" i="97"/>
  <c r="I33" i="97"/>
  <c r="I32" i="97"/>
  <c r="I31" i="97"/>
  <c r="I30" i="97"/>
  <c r="I29" i="97"/>
  <c r="I28" i="97"/>
  <c r="I27" i="97"/>
  <c r="I26" i="97"/>
  <c r="I25" i="97"/>
  <c r="I24" i="97"/>
  <c r="I23" i="97"/>
  <c r="I22" i="97"/>
  <c r="I21" i="97"/>
  <c r="I20" i="97"/>
  <c r="I19" i="97"/>
  <c r="I18" i="97"/>
  <c r="I17" i="97"/>
  <c r="I16" i="97"/>
  <c r="I15" i="97"/>
  <c r="I14" i="97"/>
  <c r="I13" i="97"/>
  <c r="I12" i="97"/>
  <c r="I11" i="97"/>
  <c r="I10" i="97"/>
  <c r="I9" i="97"/>
  <c r="I8" i="97"/>
  <c r="I7" i="97"/>
  <c r="I6" i="97"/>
  <c r="I5" i="97"/>
  <c r="I4" i="97"/>
  <c r="O41" i="79"/>
  <c r="M41" i="79"/>
  <c r="K41" i="79"/>
  <c r="I41" i="79"/>
  <c r="G41" i="79"/>
  <c r="O39" i="79"/>
  <c r="M39" i="79"/>
  <c r="K39" i="79"/>
  <c r="I39" i="79"/>
  <c r="G39" i="79"/>
  <c r="O36" i="79"/>
  <c r="M36" i="79"/>
  <c r="K36" i="79"/>
  <c r="I36" i="79"/>
  <c r="G36" i="79"/>
  <c r="O35" i="79"/>
  <c r="M35" i="79"/>
  <c r="K35" i="79"/>
  <c r="I35" i="79"/>
  <c r="G35" i="79"/>
  <c r="O34" i="79"/>
  <c r="M34" i="79"/>
  <c r="K34" i="79"/>
  <c r="I34" i="79"/>
  <c r="G34" i="79"/>
  <c r="O33" i="79" l="1"/>
  <c r="M33" i="79"/>
  <c r="K33" i="79"/>
  <c r="I33" i="79"/>
  <c r="G33" i="79"/>
  <c r="O32" i="79"/>
  <c r="M32" i="79"/>
  <c r="K32" i="79"/>
  <c r="I32" i="79"/>
  <c r="G32" i="79"/>
  <c r="O31" i="79"/>
  <c r="M31" i="79"/>
  <c r="K31" i="79"/>
  <c r="I31" i="79"/>
  <c r="G31" i="79"/>
  <c r="O30" i="79"/>
  <c r="K30" i="79"/>
  <c r="I30" i="79"/>
  <c r="M30" i="79"/>
  <c r="G30" i="79"/>
  <c r="O29" i="79"/>
  <c r="M29" i="79"/>
  <c r="K29" i="79"/>
  <c r="I29" i="79"/>
  <c r="G29" i="79"/>
  <c r="O28" i="79"/>
  <c r="M28" i="79"/>
  <c r="K28" i="79"/>
  <c r="I28" i="79"/>
  <c r="G28" i="79"/>
  <c r="O27" i="79"/>
  <c r="I27" i="79"/>
  <c r="M27" i="79"/>
  <c r="K27" i="79"/>
  <c r="G27" i="79"/>
  <c r="O26" i="79"/>
  <c r="M26" i="79"/>
  <c r="K26" i="79"/>
  <c r="I26" i="79"/>
  <c r="G26" i="79"/>
  <c r="O25" i="79"/>
  <c r="M25" i="79"/>
  <c r="K25" i="79"/>
  <c r="I25" i="79"/>
  <c r="G25" i="79"/>
  <c r="M24" i="79"/>
  <c r="K24" i="79"/>
  <c r="I24" i="79"/>
  <c r="O24" i="79"/>
  <c r="G24" i="79"/>
  <c r="O23" i="79"/>
  <c r="M23" i="79"/>
  <c r="K23" i="79"/>
  <c r="I23" i="79"/>
  <c r="G23" i="79"/>
  <c r="O22" i="79"/>
  <c r="M22" i="79"/>
  <c r="K22" i="79"/>
  <c r="I22" i="79"/>
  <c r="G22" i="79"/>
  <c r="O21" i="79"/>
  <c r="M21" i="79"/>
  <c r="K21" i="79"/>
  <c r="I21" i="79"/>
  <c r="G21" i="79"/>
  <c r="O20" i="79"/>
  <c r="M20" i="79"/>
  <c r="K20" i="79"/>
  <c r="I20" i="79"/>
  <c r="G20" i="79"/>
  <c r="O19" i="79"/>
  <c r="M19" i="79"/>
  <c r="K19" i="79"/>
  <c r="I19" i="79"/>
  <c r="G19" i="79"/>
  <c r="O18" i="79"/>
  <c r="M18" i="79"/>
  <c r="K18" i="79"/>
  <c r="I18" i="79"/>
  <c r="G18" i="79"/>
  <c r="O17" i="79"/>
  <c r="M17" i="79"/>
  <c r="K17" i="79"/>
  <c r="I17" i="79"/>
  <c r="G17" i="79"/>
  <c r="M16" i="79"/>
  <c r="I16" i="79"/>
  <c r="O16" i="79"/>
  <c r="K16" i="79"/>
  <c r="G16" i="79"/>
  <c r="O15" i="79"/>
  <c r="M15" i="79"/>
  <c r="K15" i="79"/>
  <c r="I15" i="79"/>
  <c r="G15" i="79"/>
  <c r="I34" i="47"/>
  <c r="F24" i="100"/>
  <c r="F23" i="100"/>
  <c r="F22" i="100"/>
  <c r="F21" i="100"/>
  <c r="F20" i="100"/>
  <c r="F19" i="100"/>
  <c r="F18" i="100"/>
  <c r="F17" i="100"/>
  <c r="F16" i="100"/>
  <c r="F15" i="100"/>
  <c r="F14" i="100"/>
  <c r="F13" i="100"/>
  <c r="F12" i="100"/>
  <c r="F11" i="100"/>
  <c r="F10" i="100"/>
  <c r="F9" i="100"/>
  <c r="F8" i="100"/>
  <c r="F7" i="100"/>
  <c r="F6" i="100"/>
  <c r="F5" i="100"/>
  <c r="F4" i="100"/>
  <c r="F31" i="99"/>
  <c r="F30" i="99"/>
  <c r="F29" i="99"/>
  <c r="F28" i="99"/>
  <c r="F27" i="99"/>
  <c r="F26" i="99"/>
  <c r="F25" i="99"/>
  <c r="F24" i="99"/>
  <c r="F23" i="99"/>
  <c r="F22" i="99"/>
  <c r="F21" i="99"/>
  <c r="F20" i="99"/>
  <c r="F19" i="99"/>
  <c r="F18" i="99"/>
  <c r="F17" i="99"/>
  <c r="F16" i="99"/>
  <c r="F15" i="99"/>
  <c r="F14" i="99"/>
  <c r="F13" i="99"/>
  <c r="F12" i="99"/>
  <c r="F11" i="99"/>
  <c r="F10" i="99"/>
  <c r="F9" i="99"/>
  <c r="F8" i="99"/>
  <c r="F7" i="99"/>
  <c r="F6" i="99"/>
  <c r="F5" i="99"/>
  <c r="F4" i="99"/>
  <c r="F78" i="97"/>
  <c r="F77" i="97"/>
  <c r="F76" i="97"/>
  <c r="F75" i="97"/>
  <c r="F74" i="97"/>
  <c r="F73" i="97"/>
  <c r="F72" i="97"/>
  <c r="F71" i="97"/>
  <c r="F70" i="97"/>
  <c r="F69" i="97"/>
  <c r="F68" i="97"/>
  <c r="F67" i="97"/>
  <c r="F66" i="97"/>
  <c r="F65" i="97"/>
  <c r="F64" i="97"/>
  <c r="F63" i="97"/>
  <c r="F62" i="97"/>
  <c r="F61" i="97"/>
  <c r="F60" i="97"/>
  <c r="F59" i="97"/>
  <c r="F58" i="97"/>
  <c r="F57" i="97"/>
  <c r="F56" i="97"/>
  <c r="F55" i="97"/>
  <c r="F54" i="97"/>
  <c r="F53" i="97"/>
  <c r="F52" i="97"/>
  <c r="F51" i="97"/>
  <c r="F50" i="97"/>
  <c r="F49" i="97"/>
  <c r="F48" i="97"/>
  <c r="F47" i="97"/>
  <c r="F46" i="97"/>
  <c r="F45" i="97"/>
  <c r="F44" i="97"/>
  <c r="F43" i="97"/>
  <c r="F42" i="97"/>
  <c r="F41" i="97"/>
  <c r="F40" i="97"/>
  <c r="F39" i="97"/>
  <c r="F38" i="97"/>
  <c r="F37" i="97"/>
  <c r="F36" i="97"/>
  <c r="F35" i="97"/>
  <c r="F34" i="97"/>
  <c r="F33" i="97"/>
  <c r="F32" i="97"/>
  <c r="F31" i="97"/>
  <c r="F30" i="97"/>
  <c r="F29" i="97"/>
  <c r="F28" i="97"/>
  <c r="F27" i="97"/>
  <c r="F26" i="97"/>
  <c r="F25" i="97"/>
  <c r="F24" i="97"/>
  <c r="F23" i="97"/>
  <c r="F22" i="97"/>
  <c r="F21" i="97"/>
  <c r="F20" i="97"/>
  <c r="F19" i="97"/>
  <c r="F18" i="97"/>
  <c r="F17" i="97"/>
  <c r="F16" i="97"/>
  <c r="F15" i="97"/>
  <c r="F14" i="97"/>
  <c r="F13" i="97"/>
  <c r="F12" i="97"/>
  <c r="F11" i="97"/>
  <c r="F10" i="97"/>
  <c r="F9" i="97"/>
  <c r="F8" i="97"/>
  <c r="F7" i="97"/>
  <c r="F6" i="97"/>
  <c r="F5" i="97"/>
  <c r="F4" i="97"/>
  <c r="I27" i="83"/>
  <c r="I26" i="83"/>
  <c r="I25" i="83"/>
  <c r="I24" i="83"/>
  <c r="I23" i="83"/>
  <c r="I22" i="83"/>
  <c r="I21" i="83"/>
  <c r="I20" i="83"/>
  <c r="I18" i="83"/>
  <c r="I17" i="83"/>
  <c r="I16" i="83"/>
  <c r="I12" i="83"/>
  <c r="I11" i="83"/>
  <c r="I10" i="83"/>
  <c r="I9" i="83"/>
  <c r="I8" i="83"/>
  <c r="I7" i="83"/>
  <c r="I5" i="83"/>
  <c r="I41" i="85"/>
  <c r="I47" i="85" l="1"/>
  <c r="I46" i="85"/>
  <c r="I45" i="85"/>
  <c r="I44" i="85"/>
  <c r="I43" i="85"/>
  <c r="I42" i="85"/>
  <c r="I40" i="85"/>
  <c r="I34" i="85"/>
  <c r="I33" i="85"/>
  <c r="I32" i="85"/>
  <c r="I31" i="85"/>
  <c r="I30" i="85"/>
  <c r="I29" i="85"/>
  <c r="I28" i="85"/>
  <c r="I27" i="85"/>
  <c r="I21" i="85"/>
  <c r="I20" i="85"/>
  <c r="I19" i="85"/>
  <c r="I18" i="85"/>
  <c r="I17" i="85"/>
  <c r="I16" i="85"/>
  <c r="I15" i="85"/>
  <c r="I14" i="85"/>
  <c r="I13" i="85"/>
  <c r="I12" i="85"/>
  <c r="I11" i="85"/>
  <c r="I10" i="85"/>
  <c r="I9" i="85"/>
  <c r="I8" i="85"/>
  <c r="I7" i="85"/>
  <c r="I6" i="85"/>
  <c r="I5" i="85"/>
  <c r="I4" i="85"/>
  <c r="I50" i="86"/>
  <c r="I49" i="86"/>
  <c r="I48" i="86"/>
  <c r="I47" i="86"/>
  <c r="I46" i="86"/>
  <c r="I45" i="86"/>
  <c r="I44" i="86"/>
  <c r="I43" i="86"/>
  <c r="I42" i="86"/>
  <c r="I41" i="86"/>
  <c r="I40" i="86"/>
  <c r="I39" i="86"/>
  <c r="I38" i="86"/>
  <c r="I37" i="86"/>
  <c r="I36" i="86"/>
  <c r="I35" i="86"/>
  <c r="I34" i="86"/>
  <c r="I33" i="86"/>
  <c r="I32" i="86"/>
  <c r="I31" i="86"/>
  <c r="I30" i="86"/>
  <c r="I29" i="86"/>
  <c r="I13" i="86"/>
  <c r="I12" i="86"/>
  <c r="I11" i="86"/>
  <c r="I10" i="86"/>
  <c r="I9" i="86"/>
  <c r="I8" i="86"/>
  <c r="I7" i="86"/>
  <c r="I57" i="84"/>
  <c r="I56" i="84"/>
  <c r="I53" i="84"/>
  <c r="I52" i="84"/>
  <c r="I51" i="84"/>
  <c r="I50" i="84"/>
  <c r="I49" i="84"/>
  <c r="I48" i="84"/>
  <c r="I47" i="84"/>
  <c r="I46" i="84"/>
  <c r="I45" i="84"/>
  <c r="I43" i="84"/>
  <c r="I42" i="84"/>
  <c r="I41" i="84"/>
  <c r="I40" i="84"/>
  <c r="I37" i="84"/>
  <c r="I36" i="84"/>
  <c r="I34" i="84"/>
  <c r="I33" i="84"/>
  <c r="I32" i="84"/>
  <c r="I31" i="84"/>
  <c r="I30" i="84"/>
  <c r="I28" i="84"/>
  <c r="I27" i="84"/>
  <c r="I16" i="84"/>
  <c r="I15" i="84"/>
  <c r="I14" i="84"/>
  <c r="F47" i="92" l="1"/>
  <c r="G47" i="92"/>
  <c r="H47" i="92"/>
  <c r="I47" i="92"/>
  <c r="J47" i="92"/>
  <c r="K47" i="92"/>
  <c r="L47" i="92"/>
  <c r="M47" i="92"/>
  <c r="F48" i="92"/>
  <c r="G48" i="92"/>
  <c r="H48" i="92"/>
  <c r="I48" i="92"/>
  <c r="J48" i="92"/>
  <c r="K48" i="92"/>
  <c r="L48" i="92"/>
  <c r="M48" i="92"/>
  <c r="F49" i="92"/>
  <c r="G49" i="92"/>
  <c r="H49" i="92"/>
  <c r="I49" i="92"/>
  <c r="J49" i="92"/>
  <c r="K49" i="92"/>
  <c r="L49" i="92"/>
  <c r="M49" i="92"/>
  <c r="E48" i="92"/>
  <c r="E49" i="92"/>
  <c r="E47" i="92"/>
  <c r="E42" i="92"/>
  <c r="E44" i="92"/>
  <c r="E43" i="92"/>
  <c r="F40" i="92"/>
  <c r="G40" i="92"/>
  <c r="H40" i="92"/>
  <c r="I40" i="92"/>
  <c r="J40" i="92"/>
  <c r="K40" i="92"/>
  <c r="L40" i="92"/>
  <c r="M40" i="92"/>
  <c r="F41" i="92"/>
  <c r="G41" i="92"/>
  <c r="H41" i="92"/>
  <c r="I41" i="92"/>
  <c r="J41" i="92"/>
  <c r="K41" i="92"/>
  <c r="L41" i="92"/>
  <c r="M41" i="92"/>
  <c r="F42" i="92"/>
  <c r="G42" i="92"/>
  <c r="H42" i="92"/>
  <c r="I42" i="92"/>
  <c r="J42" i="92"/>
  <c r="K42" i="92"/>
  <c r="L42" i="92"/>
  <c r="M42" i="92"/>
  <c r="F43" i="92"/>
  <c r="G43" i="92"/>
  <c r="H43" i="92"/>
  <c r="I43" i="92"/>
  <c r="J43" i="92"/>
  <c r="K43" i="92"/>
  <c r="L43" i="92"/>
  <c r="M43" i="92"/>
  <c r="F44" i="92"/>
  <c r="G44" i="92"/>
  <c r="H44" i="92"/>
  <c r="I44" i="92"/>
  <c r="J44" i="92"/>
  <c r="K44" i="92"/>
  <c r="L44" i="92"/>
  <c r="M44" i="92"/>
  <c r="E41" i="92"/>
  <c r="E40" i="92"/>
  <c r="E45" i="92" l="1"/>
  <c r="F45" i="92"/>
  <c r="G45" i="92"/>
  <c r="H45" i="92"/>
  <c r="E50" i="92"/>
  <c r="L45" i="92"/>
  <c r="K45" i="92"/>
  <c r="J45" i="92"/>
  <c r="I45" i="92"/>
  <c r="M45" i="92"/>
  <c r="J50" i="92"/>
  <c r="I50" i="92"/>
  <c r="L50" i="92"/>
  <c r="G50" i="92"/>
  <c r="F50" i="92"/>
  <c r="M50" i="92"/>
  <c r="H50" i="92"/>
  <c r="K50" i="92"/>
  <c r="X1" i="93" l="1"/>
  <c r="D4" i="93" l="1"/>
  <c r="H9" i="46"/>
  <c r="H4" i="91" s="1"/>
  <c r="H10" i="46"/>
  <c r="H11" i="46"/>
  <c r="H12" i="46"/>
  <c r="H13" i="46"/>
  <c r="H14" i="46"/>
  <c r="H15" i="46"/>
  <c r="H16" i="46"/>
  <c r="H19" i="46"/>
  <c r="H20" i="46"/>
  <c r="H21" i="46"/>
  <c r="H22" i="46"/>
  <c r="H26" i="46"/>
  <c r="H27" i="46"/>
  <c r="H28" i="46"/>
  <c r="H29" i="46"/>
  <c r="H30" i="46"/>
  <c r="H31" i="46"/>
  <c r="H32" i="46"/>
  <c r="H33" i="46"/>
  <c r="H34" i="46"/>
  <c r="H35" i="46"/>
  <c r="H36" i="46"/>
  <c r="H37" i="46"/>
  <c r="H38" i="46"/>
  <c r="G8" i="86" l="1"/>
  <c r="G9" i="86"/>
  <c r="G10" i="86"/>
  <c r="G11" i="86"/>
  <c r="G12" i="86"/>
  <c r="G13" i="86"/>
  <c r="G29" i="86"/>
  <c r="G30" i="86"/>
  <c r="G31" i="86"/>
  <c r="G32" i="86"/>
  <c r="G33" i="86"/>
  <c r="G34" i="86"/>
  <c r="G35" i="86"/>
  <c r="G36" i="86"/>
  <c r="G37" i="86"/>
  <c r="G38" i="86"/>
  <c r="G39" i="86"/>
  <c r="G40" i="86"/>
  <c r="G41" i="86"/>
  <c r="G42" i="86"/>
  <c r="G43" i="86"/>
  <c r="G44" i="86"/>
  <c r="G45" i="86"/>
  <c r="G46" i="86"/>
  <c r="G47" i="86"/>
  <c r="G48" i="86"/>
  <c r="G49" i="86"/>
  <c r="G50" i="86"/>
  <c r="G7" i="86"/>
  <c r="G5" i="85"/>
  <c r="G6" i="85"/>
  <c r="G7" i="85"/>
  <c r="G8" i="85"/>
  <c r="G9" i="85"/>
  <c r="G10" i="85"/>
  <c r="G11" i="85"/>
  <c r="G12" i="85"/>
  <c r="G13" i="85"/>
  <c r="G14" i="85"/>
  <c r="G15" i="85"/>
  <c r="G16" i="85"/>
  <c r="G17" i="85"/>
  <c r="G18" i="85"/>
  <c r="G19" i="85"/>
  <c r="G20" i="85"/>
  <c r="G21" i="85"/>
  <c r="G27" i="85"/>
  <c r="G28" i="85"/>
  <c r="G29" i="85"/>
  <c r="G30" i="85"/>
  <c r="G31" i="85"/>
  <c r="G32" i="85"/>
  <c r="G33" i="85"/>
  <c r="G34" i="85"/>
  <c r="G40" i="85"/>
  <c r="G42" i="85"/>
  <c r="G43" i="85"/>
  <c r="G44" i="85"/>
  <c r="G45" i="85"/>
  <c r="G46" i="85"/>
  <c r="G47" i="85"/>
  <c r="G48" i="85"/>
  <c r="G4" i="85"/>
  <c r="G8" i="84"/>
  <c r="G9" i="84"/>
  <c r="G10" i="84"/>
  <c r="G11" i="84"/>
  <c r="G12" i="84"/>
  <c r="G13" i="84"/>
  <c r="G14" i="84"/>
  <c r="G15" i="84"/>
  <c r="G16" i="84"/>
  <c r="G27" i="84"/>
  <c r="G28" i="84"/>
  <c r="G29" i="84"/>
  <c r="G30" i="84"/>
  <c r="G31" i="84"/>
  <c r="G32" i="84"/>
  <c r="G33" i="84"/>
  <c r="G34" i="84"/>
  <c r="G35" i="84"/>
  <c r="G36" i="84"/>
  <c r="G37" i="84"/>
  <c r="G38" i="84"/>
  <c r="G39" i="84"/>
  <c r="G40" i="84"/>
  <c r="G41" i="84"/>
  <c r="G42" i="84"/>
  <c r="G43" i="84"/>
  <c r="G44" i="84"/>
  <c r="G45" i="84"/>
  <c r="G46" i="84"/>
  <c r="G47" i="84"/>
  <c r="G48" i="84"/>
  <c r="G49" i="84"/>
  <c r="G50" i="84"/>
  <c r="G51" i="84"/>
  <c r="G52" i="84"/>
  <c r="G53" i="84"/>
  <c r="G54" i="84"/>
  <c r="G55" i="84"/>
  <c r="G56" i="84"/>
  <c r="G57" i="84"/>
  <c r="G6" i="83"/>
  <c r="G7" i="83"/>
  <c r="G8" i="83"/>
  <c r="G9" i="83"/>
  <c r="G10" i="83"/>
  <c r="G11" i="83"/>
  <c r="G12" i="83"/>
  <c r="G13" i="83"/>
  <c r="G14" i="83"/>
  <c r="G16" i="83"/>
  <c r="G17" i="83"/>
  <c r="G18" i="83"/>
  <c r="G19" i="83"/>
  <c r="G20" i="83"/>
  <c r="G21" i="83"/>
  <c r="G22" i="83"/>
  <c r="G23" i="83"/>
  <c r="G24" i="83"/>
  <c r="G25" i="83"/>
  <c r="G26" i="83"/>
  <c r="G27" i="83"/>
  <c r="X39" i="78"/>
  <c r="W39" i="78"/>
  <c r="V39" i="78"/>
  <c r="X38" i="78"/>
  <c r="W38" i="78"/>
  <c r="V38" i="78"/>
  <c r="X37" i="78"/>
  <c r="W37" i="78"/>
  <c r="V37" i="78"/>
  <c r="X32" i="78"/>
  <c r="W32" i="78"/>
  <c r="X31" i="78"/>
  <c r="W31" i="78"/>
  <c r="X30" i="78"/>
  <c r="W30" i="78"/>
  <c r="X29" i="78"/>
  <c r="W29" i="78"/>
  <c r="X28" i="78"/>
  <c r="W28" i="78"/>
  <c r="X27" i="78"/>
  <c r="W27" i="78"/>
  <c r="X23" i="78"/>
  <c r="W23" i="78"/>
  <c r="X22" i="78"/>
  <c r="W22" i="78"/>
  <c r="X21" i="78"/>
  <c r="W21" i="78"/>
  <c r="X20" i="78"/>
  <c r="W20" i="78"/>
  <c r="X17" i="78"/>
  <c r="W17" i="78"/>
  <c r="X16" i="78"/>
  <c r="W16" i="78"/>
  <c r="X15" i="78"/>
  <c r="W15" i="78"/>
  <c r="X14" i="78"/>
  <c r="W14" i="78"/>
  <c r="X13" i="78"/>
  <c r="W13" i="78"/>
  <c r="X12" i="78"/>
  <c r="W12" i="78"/>
  <c r="X11" i="78"/>
  <c r="W11" i="78"/>
  <c r="X10" i="78"/>
  <c r="W10" i="78"/>
  <c r="V33" i="78"/>
  <c r="V32" i="78"/>
  <c r="V31" i="78"/>
  <c r="V30" i="78"/>
  <c r="V29" i="78"/>
  <c r="V28" i="78"/>
  <c r="V27" i="78"/>
  <c r="V23" i="78"/>
  <c r="V22" i="78"/>
  <c r="V21" i="78"/>
  <c r="V20" i="78"/>
  <c r="V17" i="78"/>
  <c r="V16" i="78"/>
  <c r="V15" i="78"/>
  <c r="V14" i="78"/>
  <c r="V13" i="78"/>
  <c r="V12" i="78"/>
  <c r="V11" i="78"/>
  <c r="V10" i="78"/>
  <c r="T33" i="78"/>
  <c r="T32" i="78"/>
  <c r="T31" i="78"/>
  <c r="T30" i="78"/>
  <c r="T29" i="78"/>
  <c r="T28" i="78"/>
  <c r="T27" i="78"/>
  <c r="T23" i="78"/>
  <c r="T22" i="78"/>
  <c r="T21" i="78"/>
  <c r="T20" i="78"/>
  <c r="T17" i="78"/>
  <c r="T16" i="78"/>
  <c r="T15" i="78"/>
  <c r="T14" i="78"/>
  <c r="T13" i="78"/>
  <c r="T12" i="78"/>
  <c r="T11" i="78"/>
  <c r="T10" i="78"/>
  <c r="T39" i="78"/>
  <c r="T38" i="78"/>
  <c r="T37" i="78"/>
  <c r="U39" i="78"/>
  <c r="U38" i="78"/>
  <c r="U37" i="78"/>
  <c r="U35" i="78"/>
  <c r="U34" i="78"/>
  <c r="U33" i="78"/>
  <c r="U32" i="78"/>
  <c r="U31" i="78"/>
  <c r="U30" i="78"/>
  <c r="U29" i="78"/>
  <c r="U28" i="78"/>
  <c r="U27" i="78"/>
  <c r="U23" i="78"/>
  <c r="U20" i="78"/>
  <c r="U17" i="78"/>
  <c r="U16" i="78"/>
  <c r="U15" i="78"/>
  <c r="U14" i="78"/>
  <c r="U13" i="78"/>
  <c r="U12" i="78"/>
  <c r="U11" i="78"/>
  <c r="U10" i="78"/>
  <c r="Y10" i="78" l="1"/>
  <c r="Z10" i="78" s="1"/>
  <c r="H17" i="91"/>
  <c r="J17" i="91" s="1"/>
  <c r="H18" i="91"/>
  <c r="J18" i="91" s="1"/>
  <c r="J4" i="91"/>
  <c r="B2" i="91"/>
  <c r="D4" i="47"/>
  <c r="Y39" i="78"/>
  <c r="Z39" i="78" s="1"/>
  <c r="Y38" i="78"/>
  <c r="Z38" i="78" s="1"/>
  <c r="Y37" i="78"/>
  <c r="Z37" i="78" s="1"/>
  <c r="Y32" i="78"/>
  <c r="Z32" i="78" s="1"/>
  <c r="Y31" i="78"/>
  <c r="Z31" i="78" s="1"/>
  <c r="Y30" i="78"/>
  <c r="Z30" i="78" s="1"/>
  <c r="Y29" i="78"/>
  <c r="Z29" i="78" s="1"/>
  <c r="Y28" i="78"/>
  <c r="Z28" i="78" s="1"/>
  <c r="Y27" i="78"/>
  <c r="Z27" i="78" s="1"/>
  <c r="Y23" i="78"/>
  <c r="Z23" i="78" s="1"/>
  <c r="Y20" i="78"/>
  <c r="Z20" i="78" s="1"/>
  <c r="Y17" i="78"/>
  <c r="Z17" i="78" s="1"/>
  <c r="H16" i="104" s="1"/>
  <c r="H11" i="102" s="1"/>
  <c r="Y16" i="78"/>
  <c r="Z16" i="78" s="1"/>
  <c r="Y15" i="78"/>
  <c r="Z15" i="78" s="1"/>
  <c r="Y14" i="78"/>
  <c r="Z14" i="78" s="1"/>
  <c r="Y13" i="78"/>
  <c r="Z13" i="78" s="1"/>
  <c r="Y12" i="78"/>
  <c r="Z12" i="78" s="1"/>
  <c r="Y11" i="78"/>
  <c r="Z11" i="78" s="1"/>
  <c r="I11" i="46" l="1"/>
  <c r="I6" i="91" s="1"/>
  <c r="K6" i="91" s="1"/>
  <c r="H11" i="104"/>
  <c r="H6" i="102" s="1"/>
  <c r="J6" i="102" s="1"/>
  <c r="I12" i="46"/>
  <c r="I7" i="91" s="1"/>
  <c r="K7" i="91" s="1"/>
  <c r="H12" i="104"/>
  <c r="H7" i="102" s="1"/>
  <c r="J7" i="102" s="1"/>
  <c r="I13" i="46"/>
  <c r="I8" i="91" s="1"/>
  <c r="K8" i="91" s="1"/>
  <c r="H13" i="104"/>
  <c r="H8" i="102" s="1"/>
  <c r="J8" i="102" s="1"/>
  <c r="I14" i="46"/>
  <c r="I9" i="91" s="1"/>
  <c r="K9" i="91" s="1"/>
  <c r="H14" i="104"/>
  <c r="H9" i="102" s="1"/>
  <c r="J9" i="102" s="1"/>
  <c r="I15" i="46"/>
  <c r="I10" i="91" s="1"/>
  <c r="K10" i="91" s="1"/>
  <c r="H15" i="104"/>
  <c r="H10" i="102" s="1"/>
  <c r="J10" i="102" s="1"/>
  <c r="I37" i="46"/>
  <c r="I28" i="91" s="1"/>
  <c r="K28" i="91" s="1"/>
  <c r="H38" i="104"/>
  <c r="H32" i="102" s="1"/>
  <c r="J32" i="102" s="1"/>
  <c r="I19" i="46"/>
  <c r="I12" i="91" s="1"/>
  <c r="K12" i="91" s="1"/>
  <c r="H19" i="104"/>
  <c r="H14" i="102" s="1"/>
  <c r="J14" i="102" s="1"/>
  <c r="I26" i="46"/>
  <c r="I16" i="91" s="1"/>
  <c r="K16" i="91" s="1"/>
  <c r="H26" i="104"/>
  <c r="H21" i="102" s="1"/>
  <c r="J21" i="102" s="1"/>
  <c r="I10" i="46"/>
  <c r="I5" i="91" s="1"/>
  <c r="K5" i="91" s="1"/>
  <c r="H10" i="104"/>
  <c r="H5" i="102" s="1"/>
  <c r="J5" i="102" s="1"/>
  <c r="I19" i="91"/>
  <c r="K19" i="91" s="1"/>
  <c r="H29" i="104"/>
  <c r="I29" i="46"/>
  <c r="I20" i="91" s="1"/>
  <c r="K20" i="91" s="1"/>
  <c r="H30" i="104"/>
  <c r="H24" i="102" s="1"/>
  <c r="J24" i="102" s="1"/>
  <c r="I30" i="46"/>
  <c r="I21" i="91" s="1"/>
  <c r="K21" i="91" s="1"/>
  <c r="H31" i="104"/>
  <c r="H25" i="102" s="1"/>
  <c r="J25" i="102" s="1"/>
  <c r="I31" i="46"/>
  <c r="H32" i="104"/>
  <c r="H26" i="102" s="1"/>
  <c r="J26" i="102" s="1"/>
  <c r="I36" i="46"/>
  <c r="I27" i="91" s="1"/>
  <c r="K27" i="91" s="1"/>
  <c r="H37" i="104"/>
  <c r="H31" i="102" s="1"/>
  <c r="J31" i="102" s="1"/>
  <c r="I38" i="46"/>
  <c r="I29" i="91" s="1"/>
  <c r="K29" i="91" s="1"/>
  <c r="H39" i="104"/>
  <c r="H33" i="102" s="1"/>
  <c r="J33" i="102" s="1"/>
  <c r="I22" i="46"/>
  <c r="I15" i="91" s="1"/>
  <c r="K15" i="91" s="1"/>
  <c r="H22" i="104"/>
  <c r="H17" i="102" s="1"/>
  <c r="J17" i="102" s="1"/>
  <c r="I27" i="46"/>
  <c r="I17" i="91" s="1"/>
  <c r="K17" i="91" s="1"/>
  <c r="H27" i="104"/>
  <c r="H22" i="102" s="1"/>
  <c r="J22" i="102" s="1"/>
  <c r="I28" i="46"/>
  <c r="I18" i="91" s="1"/>
  <c r="K18" i="91" s="1"/>
  <c r="H28" i="104"/>
  <c r="H23" i="102" s="1"/>
  <c r="J23" i="102" s="1"/>
  <c r="I9" i="46"/>
  <c r="I4" i="91" s="1"/>
  <c r="K4" i="91" s="1"/>
  <c r="H9" i="104"/>
  <c r="H4" i="102" s="1"/>
  <c r="J4" i="102" s="1"/>
  <c r="H27" i="91"/>
  <c r="J27" i="91" s="1"/>
  <c r="H8" i="91"/>
  <c r="J8" i="91" s="1"/>
  <c r="H13" i="91"/>
  <c r="J13" i="91" s="1"/>
  <c r="H24" i="91"/>
  <c r="J24" i="91" s="1"/>
  <c r="H25" i="91"/>
  <c r="J25" i="91" s="1"/>
  <c r="H23" i="91"/>
  <c r="J23" i="91" s="1"/>
  <c r="H20" i="91"/>
  <c r="J20" i="91" s="1"/>
  <c r="H15" i="91"/>
  <c r="J15" i="91" s="1"/>
  <c r="H21" i="91"/>
  <c r="J21" i="91" s="1"/>
  <c r="I22" i="91"/>
  <c r="K22" i="91" s="1"/>
  <c r="H19" i="91"/>
  <c r="J19" i="91" s="1"/>
  <c r="H12" i="91"/>
  <c r="J12" i="91" s="1"/>
  <c r="H7" i="91"/>
  <c r="J7" i="91" s="1"/>
  <c r="H11" i="91"/>
  <c r="J11" i="91" s="1"/>
  <c r="J11" i="102"/>
  <c r="H6" i="91"/>
  <c r="J6" i="91" s="1"/>
  <c r="H14" i="91"/>
  <c r="J14" i="91" s="1"/>
  <c r="H29" i="91"/>
  <c r="J29" i="91" s="1"/>
  <c r="H28" i="91"/>
  <c r="J28" i="91" s="1"/>
  <c r="D52" i="91" s="1"/>
  <c r="H22" i="91"/>
  <c r="J22" i="91" s="1"/>
  <c r="H16" i="91"/>
  <c r="J16" i="91" s="1"/>
  <c r="H10" i="91"/>
  <c r="J10" i="91" s="1"/>
  <c r="H5" i="91"/>
  <c r="J5" i="91" s="1"/>
  <c r="H26" i="91"/>
  <c r="J26" i="91" s="1"/>
  <c r="H9" i="91"/>
  <c r="J9" i="91" s="1"/>
  <c r="I16" i="46"/>
  <c r="H20" i="47"/>
  <c r="H32" i="47"/>
  <c r="H21" i="47"/>
  <c r="H33" i="47"/>
  <c r="H10" i="47"/>
  <c r="H22" i="47"/>
  <c r="H34" i="47"/>
  <c r="H11" i="47"/>
  <c r="H23" i="47"/>
  <c r="H35" i="47"/>
  <c r="H12" i="47"/>
  <c r="H24" i="47"/>
  <c r="H9" i="47"/>
  <c r="H13" i="47"/>
  <c r="H25" i="47"/>
  <c r="H14" i="47"/>
  <c r="H26" i="47"/>
  <c r="H15" i="47"/>
  <c r="H27" i="47"/>
  <c r="H19" i="47"/>
  <c r="H16" i="47"/>
  <c r="H28" i="47"/>
  <c r="H17" i="47"/>
  <c r="H29" i="47"/>
  <c r="H18" i="47"/>
  <c r="H30" i="47"/>
  <c r="H31" i="47"/>
  <c r="V39" i="79"/>
  <c r="S39" i="79"/>
  <c r="R39" i="79"/>
  <c r="D46" i="102" l="1"/>
  <c r="J11" i="103" s="1"/>
  <c r="E61" i="102"/>
  <c r="J12" i="103" s="1"/>
  <c r="D41" i="91"/>
  <c r="L21" i="82" s="1"/>
  <c r="M21" i="82" s="1"/>
  <c r="E50" i="91"/>
  <c r="E51" i="91"/>
  <c r="J35" i="82" s="1"/>
  <c r="K35" i="82" s="1"/>
  <c r="F52" i="91"/>
  <c r="H36" i="82" s="1"/>
  <c r="I36" i="82" s="1"/>
  <c r="G52" i="91"/>
  <c r="F36" i="82" s="1"/>
  <c r="G36" i="82" s="1"/>
  <c r="E63" i="91"/>
  <c r="L17" i="82" s="1"/>
  <c r="D50" i="91"/>
  <c r="L34" i="82" s="1"/>
  <c r="M34" i="82" s="1"/>
  <c r="E59" i="91"/>
  <c r="L14" i="82" s="1"/>
  <c r="E42" i="91"/>
  <c r="J11" i="82" s="1"/>
  <c r="K11" i="82" s="1"/>
  <c r="E64" i="91"/>
  <c r="L18" i="82" s="1"/>
  <c r="F60" i="91"/>
  <c r="E49" i="91"/>
  <c r="J33" i="82" s="1"/>
  <c r="K33" i="82" s="1"/>
  <c r="E52" i="91"/>
  <c r="J36" i="82" s="1"/>
  <c r="K36" i="82" s="1"/>
  <c r="L36" i="82"/>
  <c r="M36" i="82" s="1"/>
  <c r="E57" i="91"/>
  <c r="E69" i="91"/>
  <c r="F57" i="91"/>
  <c r="E64" i="102"/>
  <c r="J15" i="103" s="1"/>
  <c r="E62" i="102"/>
  <c r="J13" i="103" s="1"/>
  <c r="E63" i="102"/>
  <c r="J14" i="103" s="1"/>
  <c r="E52" i="102"/>
  <c r="F32" i="103" s="1"/>
  <c r="D52" i="102"/>
  <c r="H32" i="103" s="1"/>
  <c r="G48" i="91"/>
  <c r="E70" i="91"/>
  <c r="D42" i="91"/>
  <c r="F58" i="91"/>
  <c r="E53" i="102"/>
  <c r="F33" i="103" s="1"/>
  <c r="D53" i="102"/>
  <c r="H33" i="103" s="1"/>
  <c r="I33" i="103" s="1"/>
  <c r="J34" i="82"/>
  <c r="K34" i="82" s="1"/>
  <c r="E60" i="91"/>
  <c r="D40" i="91"/>
  <c r="D49" i="91"/>
  <c r="E48" i="91"/>
  <c r="F52" i="102"/>
  <c r="G52" i="102"/>
  <c r="F56" i="102"/>
  <c r="G56" i="102"/>
  <c r="E66" i="91"/>
  <c r="F63" i="102"/>
  <c r="E46" i="102"/>
  <c r="F61" i="102"/>
  <c r="F62" i="102"/>
  <c r="F64" i="102"/>
  <c r="E65" i="91"/>
  <c r="J30" i="91"/>
  <c r="E70" i="102"/>
  <c r="J20" i="103" s="1"/>
  <c r="E69" i="102"/>
  <c r="J19" i="103" s="1"/>
  <c r="E68" i="102"/>
  <c r="J18" i="103" s="1"/>
  <c r="D44" i="102"/>
  <c r="J16" i="103" s="1"/>
  <c r="E67" i="102"/>
  <c r="J17" i="103" s="1"/>
  <c r="E72" i="91"/>
  <c r="E58" i="91"/>
  <c r="F48" i="91"/>
  <c r="D48" i="91"/>
  <c r="E71" i="91"/>
  <c r="I11" i="91"/>
  <c r="K11" i="91" s="1"/>
  <c r="E40" i="91" s="1"/>
  <c r="F53" i="102"/>
  <c r="D51" i="91"/>
  <c r="E56" i="102"/>
  <c r="F36" i="103" s="1"/>
  <c r="D56" i="102"/>
  <c r="H36" i="103" s="1"/>
  <c r="F59" i="91"/>
  <c r="Q8" i="91"/>
  <c r="S8" i="91" s="1"/>
  <c r="Q10" i="91"/>
  <c r="S10" i="91" s="1"/>
  <c r="Q9" i="91"/>
  <c r="S9" i="91" s="1"/>
  <c r="Q20" i="91"/>
  <c r="S20" i="91" s="1"/>
  <c r="Q27" i="91"/>
  <c r="S27" i="91" s="1"/>
  <c r="Q13" i="91"/>
  <c r="S13" i="91" s="1"/>
  <c r="Q4" i="91"/>
  <c r="S4" i="91" s="1"/>
  <c r="Q15" i="91"/>
  <c r="S15" i="91" s="1"/>
  <c r="Q24" i="91"/>
  <c r="S24" i="91" s="1"/>
  <c r="Q19" i="91"/>
  <c r="S19" i="91" s="1"/>
  <c r="Q17" i="91"/>
  <c r="S17" i="91" s="1"/>
  <c r="Q21" i="91"/>
  <c r="S21" i="91" s="1"/>
  <c r="Q28" i="91"/>
  <c r="S28" i="91" s="1"/>
  <c r="Q26" i="91"/>
  <c r="S26" i="91" s="1"/>
  <c r="Q25" i="91"/>
  <c r="S25" i="91" s="1"/>
  <c r="Q12" i="91"/>
  <c r="S12" i="91" s="1"/>
  <c r="Q30" i="91"/>
  <c r="S30" i="91" s="1"/>
  <c r="Q11" i="91"/>
  <c r="S11" i="91" s="1"/>
  <c r="Q18" i="91"/>
  <c r="S18" i="91" s="1"/>
  <c r="Q14" i="91"/>
  <c r="S14" i="91" s="1"/>
  <c r="Q6" i="91"/>
  <c r="S6" i="91" s="1"/>
  <c r="Q5" i="91"/>
  <c r="S5" i="91" s="1"/>
  <c r="Q16" i="91"/>
  <c r="S16" i="91" s="1"/>
  <c r="Q7" i="91"/>
  <c r="S7" i="91" s="1"/>
  <c r="Q23" i="91"/>
  <c r="S23" i="91" s="1"/>
  <c r="Q22" i="91"/>
  <c r="S22" i="91" s="1"/>
  <c r="Q29" i="91"/>
  <c r="S29" i="91" s="1"/>
  <c r="U39" i="79"/>
  <c r="T39" i="79"/>
  <c r="R34" i="79"/>
  <c r="S34" i="79"/>
  <c r="T34" i="79"/>
  <c r="U34" i="79"/>
  <c r="V34" i="79"/>
  <c r="I36" i="103" l="1"/>
  <c r="I32" i="103"/>
  <c r="G36" i="103"/>
  <c r="G32" i="103"/>
  <c r="J15" i="82"/>
  <c r="D43" i="91"/>
  <c r="L10" i="82" s="1"/>
  <c r="M10" i="82" s="1"/>
  <c r="J14" i="82"/>
  <c r="K62" i="91"/>
  <c r="K11" i="103"/>
  <c r="N66" i="102"/>
  <c r="M61" i="91"/>
  <c r="M59" i="91"/>
  <c r="L57" i="91"/>
  <c r="L65" i="102"/>
  <c r="F65" i="91"/>
  <c r="F66" i="91"/>
  <c r="J20" i="82" s="1"/>
  <c r="K59" i="91"/>
  <c r="F63" i="91"/>
  <c r="E53" i="91"/>
  <c r="F49" i="91"/>
  <c r="H33" i="82" s="1"/>
  <c r="I33" i="82" s="1"/>
  <c r="K63" i="102"/>
  <c r="J32" i="82"/>
  <c r="J38" i="82" s="1"/>
  <c r="K38" i="82" s="1"/>
  <c r="G49" i="91"/>
  <c r="F33" i="82" s="1"/>
  <c r="G33" i="82" s="1"/>
  <c r="F64" i="91"/>
  <c r="M57" i="91"/>
  <c r="J16" i="82"/>
  <c r="K16" i="103"/>
  <c r="L19" i="82"/>
  <c r="L59" i="91"/>
  <c r="J13" i="82"/>
  <c r="L66" i="102"/>
  <c r="L16" i="82"/>
  <c r="M16" i="82" s="1"/>
  <c r="L15" i="82"/>
  <c r="D86" i="91"/>
  <c r="L33" i="93" s="1"/>
  <c r="M33" i="93" s="1"/>
  <c r="L13" i="82"/>
  <c r="D53" i="91"/>
  <c r="L25" i="82"/>
  <c r="E101" i="91"/>
  <c r="L19" i="93" s="1"/>
  <c r="L61" i="91"/>
  <c r="L12" i="82"/>
  <c r="N61" i="91"/>
  <c r="M62" i="91"/>
  <c r="D85" i="91"/>
  <c r="L32" i="93" s="1"/>
  <c r="M32" i="93" s="1"/>
  <c r="L35" i="82"/>
  <c r="M35" i="82" s="1"/>
  <c r="L63" i="102"/>
  <c r="L33" i="82"/>
  <c r="M33" i="82" s="1"/>
  <c r="K65" i="102"/>
  <c r="J12" i="82"/>
  <c r="L22" i="82"/>
  <c r="K57" i="91"/>
  <c r="F68" i="102"/>
  <c r="F70" i="102"/>
  <c r="F69" i="102"/>
  <c r="F67" i="102"/>
  <c r="E44" i="102"/>
  <c r="M63" i="102"/>
  <c r="N65" i="102"/>
  <c r="N59" i="91"/>
  <c r="M66" i="102"/>
  <c r="L32" i="82"/>
  <c r="M32" i="82" s="1"/>
  <c r="E89" i="91"/>
  <c r="J36" i="93" s="1"/>
  <c r="K36" i="93" s="1"/>
  <c r="L62" i="91"/>
  <c r="H32" i="82"/>
  <c r="I32" i="82" s="1"/>
  <c r="N63" i="102"/>
  <c r="K66" i="102"/>
  <c r="L23" i="82"/>
  <c r="E105" i="91"/>
  <c r="L22" i="93" s="1"/>
  <c r="L11" i="82"/>
  <c r="M11" i="82" s="1"/>
  <c r="L20" i="82"/>
  <c r="K61" i="91"/>
  <c r="F32" i="82"/>
  <c r="G32" i="82" s="1"/>
  <c r="N57" i="91"/>
  <c r="N62" i="91"/>
  <c r="L24" i="82"/>
  <c r="G53" i="102"/>
  <c r="M65" i="102"/>
  <c r="D79" i="91"/>
  <c r="L21" i="93" s="1"/>
  <c r="M21" i="93" s="1"/>
  <c r="E88" i="91"/>
  <c r="J35" i="93" s="1"/>
  <c r="K35" i="93" s="1"/>
  <c r="E85" i="91"/>
  <c r="J32" i="93" s="1"/>
  <c r="K32" i="93" s="1"/>
  <c r="E100" i="91"/>
  <c r="L18" i="93" s="1"/>
  <c r="D89" i="91"/>
  <c r="L36" i="93" s="1"/>
  <c r="M36" i="93" s="1"/>
  <c r="E93" i="91"/>
  <c r="L12" i="93" s="1"/>
  <c r="E102" i="91"/>
  <c r="L20" i="93" s="1"/>
  <c r="E94" i="91"/>
  <c r="L13" i="93" s="1"/>
  <c r="E107" i="91"/>
  <c r="L24" i="93" s="1"/>
  <c r="D80" i="91"/>
  <c r="L11" i="93" s="1"/>
  <c r="M11" i="93" s="1"/>
  <c r="E96" i="91"/>
  <c r="L15" i="93" s="1"/>
  <c r="E106" i="91"/>
  <c r="L23" i="93" s="1"/>
  <c r="E108" i="91"/>
  <c r="L25" i="93" s="1"/>
  <c r="E95" i="91"/>
  <c r="L14" i="93" s="1"/>
  <c r="D78" i="91"/>
  <c r="L16" i="93" s="1"/>
  <c r="M16" i="93" s="1"/>
  <c r="E87" i="91"/>
  <c r="J34" i="93" s="1"/>
  <c r="K34" i="93" s="1"/>
  <c r="D88" i="91"/>
  <c r="L35" i="93" s="1"/>
  <c r="M35" i="93" s="1"/>
  <c r="E99" i="91"/>
  <c r="L17" i="93" s="1"/>
  <c r="E86" i="91"/>
  <c r="J33" i="93" s="1"/>
  <c r="K33" i="93" s="1"/>
  <c r="D87" i="91"/>
  <c r="L34" i="93" s="1"/>
  <c r="M34" i="93" s="1"/>
  <c r="W39" i="79"/>
  <c r="W34" i="79"/>
  <c r="X34" i="79" s="1"/>
  <c r="I28" i="47" s="1"/>
  <c r="K64" i="102" l="1"/>
  <c r="K32" i="82"/>
  <c r="J19" i="82"/>
  <c r="L60" i="91"/>
  <c r="M60" i="91"/>
  <c r="G33" i="103"/>
  <c r="K60" i="91"/>
  <c r="L38" i="82"/>
  <c r="M38" i="82" s="1"/>
  <c r="J17" i="82"/>
  <c r="J18" i="82"/>
  <c r="N60" i="91"/>
  <c r="L64" i="102"/>
  <c r="M64" i="102"/>
  <c r="N64" i="102"/>
  <c r="M95" i="91"/>
  <c r="N95" i="91"/>
  <c r="J38" i="93"/>
  <c r="K38" i="93" s="1"/>
  <c r="K95" i="91"/>
  <c r="L95" i="91"/>
  <c r="L38" i="93"/>
  <c r="M38" i="93" s="1"/>
  <c r="N93" i="91"/>
  <c r="M93" i="91"/>
  <c r="R23" i="91"/>
  <c r="T23" i="91" s="1"/>
  <c r="N97" i="91"/>
  <c r="M97" i="91"/>
  <c r="L93" i="91"/>
  <c r="L97" i="91"/>
  <c r="K93" i="91"/>
  <c r="K97" i="91"/>
  <c r="X39" i="79"/>
  <c r="I33" i="47" s="1"/>
  <c r="F4" i="79"/>
  <c r="R28" i="91" l="1"/>
  <c r="T28" i="91" s="1"/>
  <c r="S31" i="79"/>
  <c r="R24" i="79"/>
  <c r="U18" i="79"/>
  <c r="S22" i="79"/>
  <c r="R35" i="79"/>
  <c r="V23" i="79"/>
  <c r="U17" i="79"/>
  <c r="R20" i="79"/>
  <c r="R23" i="79"/>
  <c r="R26" i="79"/>
  <c r="R19" i="79"/>
  <c r="V27" i="79"/>
  <c r="U36" i="79"/>
  <c r="T26" i="79"/>
  <c r="V24" i="79"/>
  <c r="U26" i="79"/>
  <c r="S17" i="79"/>
  <c r="T17" i="79"/>
  <c r="U22" i="79"/>
  <c r="R17" i="79"/>
  <c r="U31" i="79"/>
  <c r="R36" i="79"/>
  <c r="V35" i="79"/>
  <c r="U23" i="79"/>
  <c r="R31" i="79"/>
  <c r="S32" i="79"/>
  <c r="V26" i="79"/>
  <c r="V21" i="79"/>
  <c r="R25" i="79"/>
  <c r="V22" i="79"/>
  <c r="T32" i="79"/>
  <c r="V36" i="79"/>
  <c r="R22" i="79"/>
  <c r="T23" i="79"/>
  <c r="R32" i="79"/>
  <c r="R21" i="79"/>
  <c r="T20" i="79"/>
  <c r="V31" i="79"/>
  <c r="T31" i="79"/>
  <c r="T18" i="79"/>
  <c r="V20" i="79"/>
  <c r="U20" i="79"/>
  <c r="S26" i="79"/>
  <c r="T21" i="79"/>
  <c r="U21" i="79"/>
  <c r="V18" i="79"/>
  <c r="T22" i="79"/>
  <c r="S18" i="79"/>
  <c r="S20" i="79"/>
  <c r="S21" i="79"/>
  <c r="T35" i="79"/>
  <c r="S35" i="79"/>
  <c r="U35" i="79"/>
  <c r="S23" i="79"/>
  <c r="S19" i="79"/>
  <c r="T36" i="79"/>
  <c r="R18" i="79"/>
  <c r="S36" i="79"/>
  <c r="T19" i="79"/>
  <c r="W21" i="79" l="1"/>
  <c r="X21" i="79" s="1"/>
  <c r="I15" i="47" s="1"/>
  <c r="W31" i="79"/>
  <c r="X31" i="79" s="1"/>
  <c r="I25" i="47" s="1"/>
  <c r="W26" i="79"/>
  <c r="X26" i="79" s="1"/>
  <c r="I20" i="47" s="1"/>
  <c r="W20" i="79"/>
  <c r="X20" i="79" s="1"/>
  <c r="I14" i="47" s="1"/>
  <c r="W35" i="79"/>
  <c r="X35" i="79" s="1"/>
  <c r="I29" i="47" s="1"/>
  <c r="W18" i="79"/>
  <c r="X18" i="79" s="1"/>
  <c r="I12" i="47" s="1"/>
  <c r="W36" i="79"/>
  <c r="X36" i="79" s="1"/>
  <c r="I30" i="47" s="1"/>
  <c r="W22" i="79"/>
  <c r="X22" i="79" s="1"/>
  <c r="I16" i="47" s="1"/>
  <c r="W23" i="79"/>
  <c r="X23" i="79" s="1"/>
  <c r="I17" i="47" s="1"/>
  <c r="R30" i="79"/>
  <c r="V28" i="79"/>
  <c r="R29" i="79"/>
  <c r="S27" i="79"/>
  <c r="R28" i="79"/>
  <c r="U28" i="79"/>
  <c r="R12" i="91" l="1"/>
  <c r="T12" i="91" s="1"/>
  <c r="R11" i="91"/>
  <c r="T11" i="91" s="1"/>
  <c r="R25" i="91"/>
  <c r="T25" i="91" s="1"/>
  <c r="R7" i="91"/>
  <c r="T7" i="91" s="1"/>
  <c r="R24" i="91"/>
  <c r="T24" i="91" s="1"/>
  <c r="R9" i="91"/>
  <c r="T9" i="91" s="1"/>
  <c r="R15" i="91"/>
  <c r="T15" i="91" s="1"/>
  <c r="R20" i="91"/>
  <c r="T20" i="91" s="1"/>
  <c r="R10" i="91"/>
  <c r="T10" i="91" s="1"/>
  <c r="S30" i="79"/>
  <c r="V19" i="79"/>
  <c r="V30" i="79"/>
  <c r="V29" i="79"/>
  <c r="T29" i="79"/>
  <c r="S16" i="79"/>
  <c r="V15" i="79"/>
  <c r="S15" i="79"/>
  <c r="T28" i="79"/>
  <c r="T16" i="79"/>
  <c r="U30" i="79"/>
  <c r="S28" i="79"/>
  <c r="S33" i="79"/>
  <c r="V32" i="79"/>
  <c r="R16" i="79"/>
  <c r="U32" i="79"/>
  <c r="T33" i="79"/>
  <c r="U33" i="79"/>
  <c r="V16" i="79"/>
  <c r="R33" i="79"/>
  <c r="V33" i="79"/>
  <c r="U19" i="79"/>
  <c r="R41" i="79"/>
  <c r="T25" i="79"/>
  <c r="T41" i="79"/>
  <c r="S25" i="79"/>
  <c r="S24" i="79"/>
  <c r="U25" i="79"/>
  <c r="T24" i="79"/>
  <c r="U41" i="79"/>
  <c r="S41" i="79"/>
  <c r="V17" i="79" l="1"/>
  <c r="W17" i="79" s="1"/>
  <c r="X17" i="79" s="1"/>
  <c r="I11" i="47" s="1"/>
  <c r="W19" i="79"/>
  <c r="I32" i="47"/>
  <c r="I31" i="47"/>
  <c r="W28" i="79"/>
  <c r="R15" i="79"/>
  <c r="U16" i="79"/>
  <c r="W16" i="79" s="1"/>
  <c r="T27" i="79"/>
  <c r="U27" i="79"/>
  <c r="T15" i="79"/>
  <c r="U29" i="79"/>
  <c r="T30" i="79"/>
  <c r="W30" i="79" s="1"/>
  <c r="X30" i="79" s="1"/>
  <c r="I24" i="47" s="1"/>
  <c r="U15" i="79"/>
  <c r="S29" i="79"/>
  <c r="R27" i="79"/>
  <c r="W33" i="79"/>
  <c r="X33" i="79" s="1"/>
  <c r="I27" i="47" s="1"/>
  <c r="W32" i="79"/>
  <c r="X32" i="79" s="1"/>
  <c r="I26" i="47" s="1"/>
  <c r="W35" i="78"/>
  <c r="W33" i="78"/>
  <c r="X33" i="78"/>
  <c r="V25" i="79"/>
  <c r="W25" i="79" s="1"/>
  <c r="X25" i="79" s="1"/>
  <c r="I19" i="47" s="1"/>
  <c r="V35" i="78"/>
  <c r="V34" i="78"/>
  <c r="T34" i="78"/>
  <c r="U21" i="78"/>
  <c r="Y21" i="78" s="1"/>
  <c r="Z21" i="78" s="1"/>
  <c r="X34" i="78"/>
  <c r="W34" i="78"/>
  <c r="U36" i="78"/>
  <c r="T36" i="78"/>
  <c r="U22" i="78"/>
  <c r="Y22" i="78" s="1"/>
  <c r="Z22" i="78" s="1"/>
  <c r="X36" i="78"/>
  <c r="T35" i="78"/>
  <c r="V41" i="79"/>
  <c r="W41" i="79" s="1"/>
  <c r="W36" i="78"/>
  <c r="U24" i="79"/>
  <c r="W24" i="79" s="1"/>
  <c r="X35" i="78"/>
  <c r="F5" i="79"/>
  <c r="V36" i="78"/>
  <c r="I21" i="46" l="1"/>
  <c r="I14" i="91" s="1"/>
  <c r="K14" i="91" s="1"/>
  <c r="H21" i="104"/>
  <c r="H16" i="102" s="1"/>
  <c r="J16" i="102" s="1"/>
  <c r="I20" i="46"/>
  <c r="I13" i="91" s="1"/>
  <c r="K13" i="91" s="1"/>
  <c r="H20" i="104"/>
  <c r="H15" i="102" s="1"/>
  <c r="J15" i="102" s="1"/>
  <c r="R14" i="91"/>
  <c r="T14" i="91" s="1"/>
  <c r="R22" i="91"/>
  <c r="T22" i="91" s="1"/>
  <c r="R6" i="91"/>
  <c r="T6" i="91" s="1"/>
  <c r="R21" i="91"/>
  <c r="T21" i="91" s="1"/>
  <c r="R19" i="91"/>
  <c r="T19" i="91" s="1"/>
  <c r="Y33" i="78"/>
  <c r="Z33" i="78" s="1"/>
  <c r="Y36" i="78"/>
  <c r="Z36" i="78" s="1"/>
  <c r="Y35" i="78"/>
  <c r="Z35" i="78" s="1"/>
  <c r="Y34" i="78"/>
  <c r="Z34" i="78" s="1"/>
  <c r="X41" i="79"/>
  <c r="I35" i="47" s="1"/>
  <c r="X16" i="79"/>
  <c r="I10" i="47" s="1"/>
  <c r="X24" i="79"/>
  <c r="I18" i="47" s="1"/>
  <c r="W15" i="79"/>
  <c r="X28" i="79"/>
  <c r="I22" i="47" s="1"/>
  <c r="X19" i="79"/>
  <c r="I13" i="47" s="1"/>
  <c r="W29" i="79"/>
  <c r="X29" i="79" s="1"/>
  <c r="I23" i="47" s="1"/>
  <c r="W27" i="79"/>
  <c r="F50" i="91" l="1"/>
  <c r="H34" i="82" s="1"/>
  <c r="G50" i="91"/>
  <c r="F34" i="82" s="1"/>
  <c r="I34" i="46"/>
  <c r="I25" i="91" s="1"/>
  <c r="K25" i="91" s="1"/>
  <c r="H35" i="104"/>
  <c r="H29" i="102" s="1"/>
  <c r="J29" i="102" s="1"/>
  <c r="I35" i="46"/>
  <c r="I26" i="91" s="1"/>
  <c r="K26" i="91" s="1"/>
  <c r="H36" i="104"/>
  <c r="H30" i="102" s="1"/>
  <c r="J30" i="102" s="1"/>
  <c r="I33" i="46"/>
  <c r="I24" i="91" s="1"/>
  <c r="K24" i="91" s="1"/>
  <c r="H34" i="104"/>
  <c r="H28" i="102" s="1"/>
  <c r="J28" i="102" s="1"/>
  <c r="I32" i="46"/>
  <c r="I23" i="91" s="1"/>
  <c r="K23" i="91" s="1"/>
  <c r="H33" i="104"/>
  <c r="H27" i="102" s="1"/>
  <c r="J27" i="102" s="1"/>
  <c r="D54" i="102"/>
  <c r="H34" i="103" s="1"/>
  <c r="I34" i="103" s="1"/>
  <c r="E54" i="102"/>
  <c r="F34" i="103" s="1"/>
  <c r="G34" i="103" s="1"/>
  <c r="G54" i="102"/>
  <c r="F54" i="102"/>
  <c r="R8" i="91"/>
  <c r="T8" i="91" s="1"/>
  <c r="G86" i="91" s="1"/>
  <c r="F33" i="93" s="1"/>
  <c r="R17" i="91"/>
  <c r="T17" i="91" s="1"/>
  <c r="F102" i="91" s="1"/>
  <c r="J20" i="93" s="1"/>
  <c r="R13" i="91"/>
  <c r="T13" i="91" s="1"/>
  <c r="G87" i="91" s="1"/>
  <c r="F34" i="93" s="1"/>
  <c r="R30" i="91"/>
  <c r="T30" i="91" s="1"/>
  <c r="G89" i="91" s="1"/>
  <c r="F36" i="93" s="1"/>
  <c r="R18" i="91"/>
  <c r="T18" i="91" s="1"/>
  <c r="R5" i="91"/>
  <c r="T5" i="91" s="1"/>
  <c r="F101" i="91"/>
  <c r="J19" i="93" s="1"/>
  <c r="F100" i="91"/>
  <c r="J18" i="93" s="1"/>
  <c r="F99" i="91"/>
  <c r="J17" i="93" s="1"/>
  <c r="E78" i="91"/>
  <c r="J16" i="93" s="1"/>
  <c r="K16" i="93" s="1"/>
  <c r="F87" i="91"/>
  <c r="H34" i="93" s="1"/>
  <c r="I34" i="93" s="1"/>
  <c r="K16" i="82"/>
  <c r="X27" i="79"/>
  <c r="I21" i="47" s="1"/>
  <c r="D81" i="91"/>
  <c r="L10" i="93" s="1"/>
  <c r="M10" i="93" s="1"/>
  <c r="X15" i="79"/>
  <c r="I9" i="47" s="1"/>
  <c r="J34" i="102" l="1"/>
  <c r="E75" i="102"/>
  <c r="J24" i="103" s="1"/>
  <c r="E73" i="102"/>
  <c r="D55" i="102"/>
  <c r="E55" i="102"/>
  <c r="D45" i="102"/>
  <c r="E74" i="102"/>
  <c r="E76" i="102"/>
  <c r="F73" i="102"/>
  <c r="G51" i="91"/>
  <c r="F35" i="82" s="1"/>
  <c r="G35" i="82" s="1"/>
  <c r="F75" i="102"/>
  <c r="F74" i="102"/>
  <c r="F76" i="102"/>
  <c r="E45" i="102"/>
  <c r="F72" i="91"/>
  <c r="J25" i="82" s="1"/>
  <c r="F69" i="91"/>
  <c r="F70" i="91"/>
  <c r="J23" i="82" s="1"/>
  <c r="F51" i="91"/>
  <c r="H35" i="82" s="1"/>
  <c r="I35" i="82" s="1"/>
  <c r="F71" i="91"/>
  <c r="J24" i="82" s="1"/>
  <c r="E41" i="91"/>
  <c r="J21" i="82" s="1"/>
  <c r="K21" i="82" s="1"/>
  <c r="G55" i="102"/>
  <c r="G57" i="102" s="1"/>
  <c r="F55" i="102"/>
  <c r="F57" i="102" s="1"/>
  <c r="F89" i="91"/>
  <c r="H36" i="93" s="1"/>
  <c r="I36" i="93" s="1"/>
  <c r="R4" i="91"/>
  <c r="T4" i="91" s="1"/>
  <c r="E79" i="91" s="1"/>
  <c r="R16" i="91"/>
  <c r="T16" i="91" s="1"/>
  <c r="E80" i="91" s="1"/>
  <c r="J11" i="93" s="1"/>
  <c r="K11" i="93" s="1"/>
  <c r="F86" i="91"/>
  <c r="H33" i="93" s="1"/>
  <c r="I33" i="93" s="1"/>
  <c r="F96" i="91"/>
  <c r="J15" i="93" s="1"/>
  <c r="L96" i="91"/>
  <c r="K96" i="91"/>
  <c r="M96" i="91"/>
  <c r="N96" i="91"/>
  <c r="F88" i="91"/>
  <c r="H35" i="93" s="1"/>
  <c r="I35" i="93" s="1"/>
  <c r="G88" i="91"/>
  <c r="F35" i="93" s="1"/>
  <c r="F95" i="91"/>
  <c r="J14" i="93" s="1"/>
  <c r="F93" i="91"/>
  <c r="J12" i="93" s="1"/>
  <c r="F94" i="91"/>
  <c r="J13" i="93" s="1"/>
  <c r="I34" i="82"/>
  <c r="G34" i="82"/>
  <c r="E57" i="102" l="1"/>
  <c r="F35" i="103"/>
  <c r="G35" i="103" s="1"/>
  <c r="D57" i="102"/>
  <c r="H35" i="103"/>
  <c r="H38" i="103" s="1"/>
  <c r="I38" i="103" s="1"/>
  <c r="E47" i="102"/>
  <c r="J23" i="103"/>
  <c r="L61" i="102"/>
  <c r="G53" i="91"/>
  <c r="J22" i="103"/>
  <c r="K61" i="102"/>
  <c r="J21" i="103"/>
  <c r="K21" i="103" s="1"/>
  <c r="D47" i="102"/>
  <c r="J10" i="103" s="1"/>
  <c r="M61" i="102"/>
  <c r="J25" i="103"/>
  <c r="N61" i="102"/>
  <c r="M62" i="102"/>
  <c r="N62" i="102"/>
  <c r="F38" i="82"/>
  <c r="G38" i="82" s="1"/>
  <c r="L62" i="102"/>
  <c r="K62" i="102"/>
  <c r="F53" i="91"/>
  <c r="E43" i="91"/>
  <c r="J22" i="82"/>
  <c r="F108" i="91"/>
  <c r="J25" i="93" s="1"/>
  <c r="F105" i="91"/>
  <c r="J22" i="93" s="1"/>
  <c r="F85" i="91"/>
  <c r="H32" i="93" s="1"/>
  <c r="G85" i="91"/>
  <c r="F32" i="93" s="1"/>
  <c r="N58" i="91"/>
  <c r="L58" i="91"/>
  <c r="K58" i="91"/>
  <c r="M58" i="91"/>
  <c r="H38" i="82"/>
  <c r="I38" i="82" s="1"/>
  <c r="F107" i="91"/>
  <c r="J24" i="93" s="1"/>
  <c r="F106" i="91"/>
  <c r="J23" i="93" s="1"/>
  <c r="K98" i="91"/>
  <c r="M98" i="91"/>
  <c r="L98" i="91"/>
  <c r="N98" i="91"/>
  <c r="I32" i="93"/>
  <c r="H38" i="93"/>
  <c r="I38" i="93" s="1"/>
  <c r="J21" i="93"/>
  <c r="K21" i="93" s="1"/>
  <c r="E81" i="91"/>
  <c r="J10" i="93" s="1"/>
  <c r="K10" i="93" s="1"/>
  <c r="G33" i="93"/>
  <c r="G34" i="93"/>
  <c r="G36" i="93"/>
  <c r="G35" i="93"/>
  <c r="I35" i="103" l="1"/>
  <c r="F38" i="103"/>
  <c r="G38" i="103" s="1"/>
  <c r="K10" i="103"/>
  <c r="J10" i="82"/>
  <c r="K10" i="82" s="1"/>
  <c r="L94" i="91"/>
  <c r="K94" i="91"/>
  <c r="M94" i="91"/>
  <c r="N94" i="91"/>
  <c r="F38" i="93"/>
  <c r="G38" i="93" s="1"/>
  <c r="G32" i="9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<sst xmlns="http://schemas.openxmlformats.org/spreadsheetml/2006/main" count="2399" uniqueCount="780">
  <si>
    <t xml:space="preserve">Issue: </t>
  </si>
  <si>
    <t xml:space="preserve">Date: </t>
  </si>
  <si>
    <t xml:space="preserve">Safety Solidification Report 
</t>
  </si>
  <si>
    <t>Site</t>
    <phoneticPr fontId="6"/>
  </si>
  <si>
    <t>Date</t>
    <phoneticPr fontId="6"/>
  </si>
  <si>
    <t>QM foundation (management system) 3 axes</t>
    <phoneticPr fontId="6"/>
  </si>
  <si>
    <t>Items</t>
    <phoneticPr fontId="6"/>
  </si>
  <si>
    <t>3 Axes Chart</t>
    <phoneticPr fontId="6"/>
  </si>
  <si>
    <t>Score</t>
    <phoneticPr fontId="6"/>
  </si>
  <si>
    <t>Level</t>
  </si>
  <si>
    <t>Total Avg</t>
  </si>
  <si>
    <t>3 Axes Evaluation</t>
    <phoneticPr fontId="6"/>
  </si>
  <si>
    <t>Risk Detection and Reduction/Continuous Improvement</t>
    <phoneticPr fontId="6"/>
  </si>
  <si>
    <t>Avg</t>
  </si>
  <si>
    <t>Distribution</t>
    <phoneticPr fontId="6"/>
  </si>
  <si>
    <t>B+ or more</t>
    <phoneticPr fontId="6"/>
  </si>
  <si>
    <t>B</t>
    <phoneticPr fontId="6"/>
  </si>
  <si>
    <t>B-</t>
    <phoneticPr fontId="6"/>
  </si>
  <si>
    <t>C</t>
    <phoneticPr fontId="6"/>
  </si>
  <si>
    <t>Safety Rule Compliance/Safety Awareness Cultivation</t>
    <phoneticPr fontId="6"/>
  </si>
  <si>
    <t>Risk</t>
    <phoneticPr fontId="6"/>
  </si>
  <si>
    <t>Strengthening of Governance and Systems to Make Quality Management More Effective</t>
    <phoneticPr fontId="6"/>
  </si>
  <si>
    <t>Compliance</t>
    <phoneticPr fontId="6"/>
  </si>
  <si>
    <t>Governance</t>
    <phoneticPr fontId="6"/>
  </si>
  <si>
    <t>QM foundation (management system) 5 axes</t>
    <phoneticPr fontId="6"/>
  </si>
  <si>
    <t>Solidification 5 items</t>
    <phoneticPr fontId="6"/>
  </si>
  <si>
    <t>Ave Score</t>
    <phoneticPr fontId="6"/>
  </si>
  <si>
    <t>Min Score</t>
    <phoneticPr fontId="6"/>
  </si>
  <si>
    <t>Min</t>
    <phoneticPr fontId="6"/>
  </si>
  <si>
    <t>Issue solving</t>
    <phoneticPr fontId="6"/>
  </si>
  <si>
    <t>Risk Management</t>
    <phoneticPr fontId="6"/>
  </si>
  <si>
    <t>Business Strategy Adjustment</t>
    <phoneticPr fontId="6"/>
  </si>
  <si>
    <t>Independency and Continuity</t>
    <phoneticPr fontId="6"/>
  </si>
  <si>
    <t>Integration/ Incorporation</t>
    <phoneticPr fontId="6"/>
  </si>
  <si>
    <t>Total</t>
  </si>
  <si>
    <t>Comment</t>
    <phoneticPr fontId="6"/>
  </si>
  <si>
    <t>Issue: 2025/7/7</t>
    <phoneticPr fontId="6"/>
  </si>
  <si>
    <t>Safety Solidification Report</t>
    <phoneticPr fontId="6"/>
  </si>
  <si>
    <t>BMT</t>
    <phoneticPr fontId="6"/>
  </si>
  <si>
    <t>June 11 - 13, 2025</t>
    <phoneticPr fontId="6"/>
  </si>
  <si>
    <t>Total Ave</t>
    <phoneticPr fontId="6"/>
  </si>
  <si>
    <t>Ave</t>
    <phoneticPr fontId="6"/>
  </si>
  <si>
    <t>&lt;Improvement Status from the last year's instruction&gt;
 From last year, some issues found in the 2024 assessment have been improved, and at this time, we could observe some items could be more improved.
&lt;Comments from 3 axes points of view&gt;
Safety activities have been conducted and followed-up as plan by EHS team's leadership. Please promote KAIZEN improvement with use of autonomously KY, RA, etc. with reviewing the activities progress and result. Not only making periodical action plan, but we can find other points could be improved.
&lt;Risk&gt;
RIsk management have been well maintained. By comparing the reslut of RA with same machine, process, not only inside plant but other SC plant to realize what/where the risks exist, and how to reduce it.
 *In GENBA tour at this time, we could find some machines that have risks by using one hand swith - should have both hands swith when it is upgraded/renewed. Please see the appendix for detail.
&lt;Compliance&gt;
This area's score is lower than the other two area because of basic training leakage. (BSFA/LOTO)
These kind of basic training should be periodically given to all teammates, to make them understand/remind the contents. Please make sure all training framework again.
&lt;Governance&gt;
Almost safety activities are well managed by action plan and its reviewing. For more works as BMT(plant wide), please confrim all managers understanding of safety activity - why do we need the items in action plan. And make sure of sharing management review from safety/DP point of view with all managers to understand safety safety activities result and what issues do we have.</t>
  </si>
  <si>
    <t>D.P. Solidification Report</t>
    <phoneticPr fontId="6"/>
  </si>
  <si>
    <r>
      <rPr>
        <b/>
        <u/>
        <sz val="11"/>
        <color theme="1"/>
        <rFont val="Calibri"/>
        <family val="2"/>
      </rPr>
      <t>&lt;Improvement Status from the last year's instruction&gt;</t>
    </r>
    <r>
      <rPr>
        <sz val="11"/>
        <color theme="1"/>
        <rFont val="Calibri"/>
        <family val="2"/>
      </rPr>
      <t xml:space="preserve">
Total score is stable and almost good condition from DP point of view. But a few issue could be found in this assessment, please see the instruction for detail and promote more KAIZEN activity.
</t>
    </r>
    <r>
      <rPr>
        <b/>
        <u/>
        <sz val="11"/>
        <color theme="1"/>
        <rFont val="Calibri"/>
        <family val="2"/>
      </rPr>
      <t>&lt;Comments from 3 axes points of view&gt;</t>
    </r>
    <r>
      <rPr>
        <sz val="11"/>
        <color theme="1"/>
        <rFont val="Calibri"/>
        <family val="3"/>
      </rPr>
      <t xml:space="preserve">
From three axes point if view, BMT is in good condtion. Please keep this conditon and improve as stated in DP instruction.</t>
    </r>
    <r>
      <rPr>
        <sz val="11"/>
        <color theme="1"/>
        <rFont val="Calibri"/>
        <family val="2"/>
      </rPr>
      <t xml:space="preserve">
</t>
    </r>
    <r>
      <rPr>
        <b/>
        <u/>
        <sz val="11"/>
        <color theme="1"/>
        <rFont val="Calibri"/>
        <family val="2"/>
      </rPr>
      <t>&lt;Risk&gt;</t>
    </r>
    <r>
      <rPr>
        <sz val="11"/>
        <color theme="1"/>
        <rFont val="Calibri"/>
        <family val="2"/>
      </rPr>
      <t xml:space="preserve">
All items have been validated B or more. With conducting new (BSJP tire version) Fire RA, clarify risks in workplace and promote it to reduce them.
</t>
    </r>
    <r>
      <rPr>
        <b/>
        <u/>
        <sz val="11"/>
        <color theme="1"/>
        <rFont val="Calibri"/>
        <family val="2"/>
      </rPr>
      <t>&lt;Compliance&gt;</t>
    </r>
    <r>
      <rPr>
        <sz val="11"/>
        <color theme="1"/>
        <rFont val="Calibri"/>
        <family val="2"/>
      </rPr>
      <t xml:space="preserve">
Almost good condtion. But we could find common fire prevention rule's understanding and its training is not good enough in the interview. Please confirm the action plan including the training based on IMD fire standard.
</t>
    </r>
    <r>
      <rPr>
        <b/>
        <u/>
        <sz val="11"/>
        <color theme="1"/>
        <rFont val="Calibri"/>
        <family val="2"/>
      </rPr>
      <t>&lt;Governance&gt;</t>
    </r>
    <r>
      <rPr>
        <sz val="11"/>
        <color theme="1"/>
        <rFont val="Calibri"/>
        <family val="2"/>
      </rPr>
      <t xml:space="preserve">
Almost good condition, but some manager could not state the policy/IIP/budget management strategy of BMT. Please make sure that all manager have understood it including issues from review of activities in the action plant to make sure all managers are on same page.</t>
    </r>
    <phoneticPr fontId="6"/>
  </si>
  <si>
    <t>発行日：</t>
    <rPh sb="0" eb="3">
      <t>ハッコウビ</t>
    </rPh>
    <phoneticPr fontId="6"/>
  </si>
  <si>
    <t>Solidification Assessment Safety Instruction</t>
    <phoneticPr fontId="6"/>
  </si>
  <si>
    <t>Site</t>
    <phoneticPr fontId="9"/>
  </si>
  <si>
    <t>継続：現状維持、
レベルアップ：A、B＋、Bレベルへの改善
新規：過去に指摘・提案がない</t>
    <rPh sb="0" eb="2">
      <t>ケイゾク</t>
    </rPh>
    <rPh sb="3" eb="5">
      <t>ゲンジョウ</t>
    </rPh>
    <rPh sb="5" eb="7">
      <t>イジ</t>
    </rPh>
    <rPh sb="22" eb="24">
      <t>シンキ</t>
    </rPh>
    <rPh sb="25" eb="27">
      <t>カコ</t>
    </rPh>
    <rPh sb="30" eb="32">
      <t>シンキ</t>
    </rPh>
    <rPh sb="31" eb="33">
      <t>テイアン</t>
    </rPh>
    <phoneticPr fontId="6"/>
  </si>
  <si>
    <t>Solidification
 5 items</t>
  </si>
  <si>
    <t>Point of Evaluation</t>
    <phoneticPr fontId="6"/>
  </si>
  <si>
    <t>Primary Categoty</t>
    <phoneticPr fontId="6"/>
  </si>
  <si>
    <t>Secondary Categoty</t>
    <phoneticPr fontId="9"/>
  </si>
  <si>
    <t>3 Axes Evaluation</t>
  </si>
  <si>
    <t>Result</t>
    <phoneticPr fontId="6"/>
  </si>
  <si>
    <t>2028
Target</t>
  </si>
  <si>
    <t>Issues and/or Changes</t>
    <phoneticPr fontId="6"/>
  </si>
  <si>
    <t>Instruction
- Items could be Incorporated into MBP</t>
    <phoneticPr fontId="6"/>
  </si>
  <si>
    <t>Implementation Items</t>
    <phoneticPr fontId="6"/>
  </si>
  <si>
    <t>Category</t>
    <phoneticPr fontId="6"/>
  </si>
  <si>
    <t>Continue</t>
    <phoneticPr fontId="6"/>
  </si>
  <si>
    <t>Level up</t>
    <phoneticPr fontId="6"/>
  </si>
  <si>
    <t>New</t>
    <phoneticPr fontId="6"/>
  </si>
  <si>
    <t>Issue solving</t>
  </si>
  <si>
    <t>Quickness of issue solving
Deep root cause analysis, standardization and implementation</t>
  </si>
  <si>
    <t>Cuntermeasures and Recurrence prevention</t>
  </si>
  <si>
    <t>Information Sharing</t>
    <phoneticPr fontId="9"/>
  </si>
  <si>
    <t>X</t>
    <phoneticPr fontId="6"/>
  </si>
  <si>
    <t>情報展開</t>
    <rPh sb="0" eb="4">
      <t>ジョウホウテンカイ</t>
    </rPh>
    <phoneticPr fontId="29"/>
  </si>
  <si>
    <t>Recurrence
Prevention</t>
    <phoneticPr fontId="9"/>
  </si>
  <si>
    <t>再発防止
対策</t>
    <rPh sb="0" eb="4">
      <t>サイハツボウシ</t>
    </rPh>
    <rPh sb="5" eb="7">
      <t>タイサク</t>
    </rPh>
    <phoneticPr fontId="29"/>
  </si>
  <si>
    <t>Injury
 Reporting</t>
    <phoneticPr fontId="9"/>
  </si>
  <si>
    <t>災害報告</t>
    <rPh sb="0" eb="4">
      <t>サイガイホウコク</t>
    </rPh>
    <phoneticPr fontId="29"/>
  </si>
  <si>
    <t>Recurrence
Prevention
Process KPI</t>
    <phoneticPr fontId="9"/>
  </si>
  <si>
    <t>類災対策
プロセスKPI</t>
    <rPh sb="0" eb="2">
      <t>ルイサイ</t>
    </rPh>
    <rPh sb="2" eb="4">
      <t>タイサク</t>
    </rPh>
    <phoneticPr fontId="29"/>
  </si>
  <si>
    <t>Risk Management</t>
  </si>
  <si>
    <t>Symptom Management for QM defect
Management and analysis of information which is explored, issued</t>
    <phoneticPr fontId="6"/>
  </si>
  <si>
    <t>Risk Management</t>
    <phoneticPr fontId="9"/>
  </si>
  <si>
    <t>RA
Progress</t>
    <phoneticPr fontId="9"/>
  </si>
  <si>
    <t>RA評価推進</t>
    <rPh sb="2" eb="4">
      <t>ヒョウカ</t>
    </rPh>
    <rPh sb="4" eb="6">
      <t>スイシン</t>
    </rPh>
    <phoneticPr fontId="29"/>
  </si>
  <si>
    <t>Equipment RA</t>
    <phoneticPr fontId="9"/>
  </si>
  <si>
    <t>設備RA
プロセスKPI</t>
    <rPh sb="0" eb="2">
      <t>セツビ</t>
    </rPh>
    <phoneticPr fontId="29"/>
  </si>
  <si>
    <t>Task RA</t>
    <phoneticPr fontId="9"/>
  </si>
  <si>
    <t>作業RA
プロセスKPI</t>
    <rPh sb="0" eb="2">
      <t>サギョウ</t>
    </rPh>
    <phoneticPr fontId="29"/>
  </si>
  <si>
    <t>LOTO</t>
  </si>
  <si>
    <t>LOTO
運用徹底</t>
  </si>
  <si>
    <t>LOTO</t>
    <phoneticPr fontId="6"/>
  </si>
  <si>
    <t>LOTO management</t>
  </si>
  <si>
    <t>Contractor management</t>
  </si>
  <si>
    <t>Training</t>
    <phoneticPr fontId="6"/>
  </si>
  <si>
    <t>TYM/TS</t>
  </si>
  <si>
    <t>Business Strategy Adjustment</t>
    <phoneticPr fontId="9"/>
  </si>
  <si>
    <t>Fundamental enhancement by Cpk and COPQ analysis
QM management assurance across value chain</t>
    <phoneticPr fontId="6"/>
  </si>
  <si>
    <t>Management System</t>
    <phoneticPr fontId="9"/>
  </si>
  <si>
    <t>Policy/
Purpose/
Target</t>
    <phoneticPr fontId="9"/>
  </si>
  <si>
    <t>教育訓練</t>
  </si>
  <si>
    <t>Implementation
Plan</t>
    <phoneticPr fontId="9"/>
  </si>
  <si>
    <t>方針・目的・目標</t>
    <rPh sb="0" eb="2">
      <t>ホウシン</t>
    </rPh>
    <rPh sb="3" eb="5">
      <t>モクテキ</t>
    </rPh>
    <rPh sb="6" eb="8">
      <t>モクヒョウ</t>
    </rPh>
    <phoneticPr fontId="29"/>
  </si>
  <si>
    <t>Audit</t>
    <phoneticPr fontId="9"/>
  </si>
  <si>
    <t>実施計画</t>
    <rPh sb="0" eb="4">
      <t>ジッシケイカク</t>
    </rPh>
    <phoneticPr fontId="29"/>
  </si>
  <si>
    <t>Working std.
(Review/Revise)</t>
  </si>
  <si>
    <t>Governance</t>
  </si>
  <si>
    <t>TS/TYM
(Trouble management)</t>
  </si>
  <si>
    <t>Safety Patrol/Monitoring</t>
  </si>
  <si>
    <t>Independency and Continuity</t>
  </si>
  <si>
    <t>Awareness and knowledge for QM</t>
  </si>
  <si>
    <t>Independent implementation of BSFA</t>
  </si>
  <si>
    <t>BSFA
Training</t>
    <phoneticPr fontId="9"/>
  </si>
  <si>
    <t>監査</t>
    <rPh sb="0" eb="2">
      <t>カンサ</t>
    </rPh>
    <phoneticPr fontId="29"/>
  </si>
  <si>
    <t>3S</t>
    <phoneticPr fontId="9"/>
  </si>
  <si>
    <t>BS共通安全
規定項目
教育</t>
    <rPh sb="2" eb="4">
      <t>キョウツウ</t>
    </rPh>
    <rPh sb="4" eb="6">
      <t>アンゼン</t>
    </rPh>
    <rPh sb="7" eb="9">
      <t>キテイ</t>
    </rPh>
    <rPh sb="9" eb="11">
      <t>コウモク</t>
    </rPh>
    <rPh sb="12" eb="14">
      <t>キョウイク</t>
    </rPh>
    <phoneticPr fontId="29"/>
  </si>
  <si>
    <t>BSFA
Training</t>
  </si>
  <si>
    <t>KYT/
Practical KYT</t>
    <phoneticPr fontId="9"/>
  </si>
  <si>
    <t>3S</t>
  </si>
  <si>
    <t>Autonomously
KY</t>
    <phoneticPr fontId="9"/>
  </si>
  <si>
    <t>KYT
実践型KYT</t>
    <rPh sb="4" eb="7">
      <t>ジッセンガタ</t>
    </rPh>
    <phoneticPr fontId="29"/>
  </si>
  <si>
    <t>RA</t>
    <phoneticPr fontId="9"/>
  </si>
  <si>
    <t>自律的KY
・改善</t>
    <rPh sb="0" eb="3">
      <t>ジリツテキ</t>
    </rPh>
    <rPh sb="7" eb="9">
      <t>カイゼン</t>
    </rPh>
    <phoneticPr fontId="29"/>
  </si>
  <si>
    <t>Safety Rule</t>
    <phoneticPr fontId="9"/>
  </si>
  <si>
    <t>RA</t>
  </si>
  <si>
    <t>4M Change Management</t>
    <phoneticPr fontId="6"/>
  </si>
  <si>
    <t>安全ルール</t>
    <rPh sb="0" eb="2">
      <t>アンゼン</t>
    </rPh>
    <phoneticPr fontId="29"/>
  </si>
  <si>
    <t>Management System:
P</t>
    <phoneticPr fontId="9"/>
  </si>
  <si>
    <t>4M変更管理</t>
    <phoneticPr fontId="6"/>
  </si>
  <si>
    <t>Management System:
D</t>
    <phoneticPr fontId="9"/>
  </si>
  <si>
    <t>【モデル工場】
P</t>
    <rPh sb="4" eb="6">
      <t>コウジョウ</t>
    </rPh>
    <phoneticPr fontId="29"/>
  </si>
  <si>
    <t>Management System:
C</t>
    <phoneticPr fontId="9"/>
  </si>
  <si>
    <t>【モデル工場】
D</t>
    <rPh sb="4" eb="6">
      <t>コウジョウ</t>
    </rPh>
    <phoneticPr fontId="29"/>
  </si>
  <si>
    <t>Management System:
A</t>
    <phoneticPr fontId="9"/>
  </si>
  <si>
    <t>【モデル工場】
C</t>
    <rPh sb="4" eb="6">
      <t>コウジョウ</t>
    </rPh>
    <phoneticPr fontId="29"/>
  </si>
  <si>
    <t>Integration/ Incorporation</t>
    <phoneticPr fontId="9"/>
  </si>
  <si>
    <t>Resource and Organization for QM</t>
    <phoneticPr fontId="6"/>
  </si>
  <si>
    <t>Plant Management</t>
    <phoneticPr fontId="9"/>
  </si>
  <si>
    <t>Safety Organization</t>
    <phoneticPr fontId="6"/>
  </si>
  <si>
    <t>【モデル工場】
A</t>
    <rPh sb="4" eb="6">
      <t>コウジョウ</t>
    </rPh>
    <phoneticPr fontId="29"/>
  </si>
  <si>
    <t>SE</t>
    <phoneticPr fontId="9"/>
  </si>
  <si>
    <t>安全組織</t>
    <rPh sb="0" eb="2">
      <t>アンゼン</t>
    </rPh>
    <rPh sb="2" eb="4">
      <t>ソシキ</t>
    </rPh>
    <phoneticPr fontId="29"/>
  </si>
  <si>
    <t>Budget</t>
    <phoneticPr fontId="6"/>
  </si>
  <si>
    <t>安全担当</t>
    <rPh sb="0" eb="4">
      <t>アンゼンタントウ</t>
    </rPh>
    <phoneticPr fontId="29"/>
  </si>
  <si>
    <t>SE</t>
  </si>
  <si>
    <t>安全専任
職長</t>
    <rPh sb="0" eb="4">
      <t>アンゼンセンニン</t>
    </rPh>
    <rPh sb="5" eb="7">
      <t>ショクチョウ</t>
    </rPh>
    <phoneticPr fontId="29"/>
  </si>
  <si>
    <t>予算確保</t>
    <rPh sb="0" eb="2">
      <t>ヨサン</t>
    </rPh>
    <rPh sb="2" eb="4">
      <t>カクホ</t>
    </rPh>
    <phoneticPr fontId="10"/>
  </si>
  <si>
    <t>Solidification Assessment DP Instruction</t>
  </si>
  <si>
    <t>継続：現状維持、
レベルアップ：A、B＋、Bレベルへの改善
新規：過去に指摘・提案がない</t>
    <phoneticPr fontId="6"/>
  </si>
  <si>
    <t>Solidification
 5 items</t>
    <phoneticPr fontId="9"/>
  </si>
  <si>
    <t>3 Axes Evaluation</t>
    <phoneticPr fontId="9"/>
  </si>
  <si>
    <t>Solidification Score</t>
    <phoneticPr fontId="6"/>
  </si>
  <si>
    <t>2026
Target</t>
    <phoneticPr fontId="6"/>
  </si>
  <si>
    <t>Issue solving</t>
    <phoneticPr fontId="9"/>
  </si>
  <si>
    <t>Quickness of issue solving
Deep root cause analysis, standardization and implementation</t>
    <phoneticPr fontId="6"/>
  </si>
  <si>
    <t>Cuntermeasures and Recurrence prevention</t>
    <phoneticPr fontId="9"/>
  </si>
  <si>
    <t>Information Sharing</t>
  </si>
  <si>
    <t>A</t>
    <phoneticPr fontId="6"/>
  </si>
  <si>
    <t>Keep the current condition.</t>
    <phoneticPr fontId="6"/>
  </si>
  <si>
    <t>-</t>
    <phoneticPr fontId="6"/>
  </si>
  <si>
    <t>Continue to share the incident information.</t>
    <phoneticPr fontId="6"/>
  </si>
  <si>
    <t>Recurrence
Prevention</t>
  </si>
  <si>
    <t>Risk</t>
  </si>
  <si>
    <t>Recurrence prevention measures have been taken but some SV could not state actual aciton clearly.</t>
    <phoneticPr fontId="6"/>
  </si>
  <si>
    <t>Make sure all SVs understanding of recurrence prevention measures, especially in case that the action is related to their process.</t>
    <phoneticPr fontId="6"/>
  </si>
  <si>
    <t>Consider to make SVs explain not only measures itself but its back ground, what they need in their own process.</t>
    <phoneticPr fontId="6"/>
  </si>
  <si>
    <t>Fire 
Reporting</t>
  </si>
  <si>
    <t>Continue to report in case any incidents happened.</t>
    <phoneticPr fontId="6"/>
  </si>
  <si>
    <t>Recurrence
Prevention
Process KPI</t>
  </si>
  <si>
    <t>B+</t>
    <phoneticPr fontId="6"/>
  </si>
  <si>
    <t>Recurrence prevention measures are on-going to the plan, but not yet completed.</t>
    <phoneticPr fontId="6"/>
  </si>
  <si>
    <t>Consider progressing ahead of the plan</t>
    <phoneticPr fontId="6"/>
  </si>
  <si>
    <t>Discuss whether the plan can be moved forward.</t>
    <phoneticPr fontId="6"/>
  </si>
  <si>
    <t>Fire RA
Progress</t>
  </si>
  <si>
    <t>Fire RA have not been completed so that the result have not been shared in the plant.</t>
    <phoneticPr fontId="6"/>
  </si>
  <si>
    <t>Please complete Fire RA and share its result in plant.</t>
    <phoneticPr fontId="6"/>
  </si>
  <si>
    <t>Complete Fire RA and prepare an opportunity to educate teammates about the fire risks of each process.</t>
    <phoneticPr fontId="6"/>
  </si>
  <si>
    <t>Fire RA</t>
  </si>
  <si>
    <t>Countermeasures for the fire risk are on-going to the plan.</t>
    <phoneticPr fontId="6"/>
  </si>
  <si>
    <t>Consider progressing ahead of the plan</t>
  </si>
  <si>
    <t>Discuss whether the plan can be moved forward.</t>
  </si>
  <si>
    <t>DP
Inspection</t>
  </si>
  <si>
    <t>Continue to keep inspection from DP point of view.</t>
    <phoneticPr fontId="6"/>
  </si>
  <si>
    <t>Electrical Wiring Inspection</t>
  </si>
  <si>
    <t>Continue to keep DP inspection including electrical wiring inspection.</t>
    <phoneticPr fontId="6"/>
  </si>
  <si>
    <t>Noise patrol</t>
  </si>
  <si>
    <t>Continue to keep inspection including noise check.</t>
    <phoneticPr fontId="6"/>
  </si>
  <si>
    <t>Policy/
Purpose/
Target</t>
  </si>
  <si>
    <t>Continue to keep policy management.</t>
    <phoneticPr fontId="6"/>
  </si>
  <si>
    <t>Implementation
Plan</t>
  </si>
  <si>
    <t>Some manager could not clearly stated the resut of last year, and what is updated/improved point(s) in the action plan.</t>
    <phoneticPr fontId="6"/>
  </si>
  <si>
    <t>From previous result, please review the IIP's progress (and good/bad point) and consider to update it to go more forward.</t>
    <phoneticPr fontId="6"/>
  </si>
  <si>
    <t>Consider to have a step to review the result of IIP, and update BMT's safety activity based on the review.</t>
    <phoneticPr fontId="6"/>
  </si>
  <si>
    <t>Audit</t>
  </si>
  <si>
    <t>Internal audit have been completed and some NC and OFI found and taking countermeasure in on progress.</t>
    <phoneticPr fontId="6"/>
  </si>
  <si>
    <t>Promote to plan and conduct countermeasures for non-conformities.</t>
    <phoneticPr fontId="6"/>
  </si>
  <si>
    <t>Discuss plans for non-conformities and promote countermeasures</t>
    <phoneticPr fontId="6"/>
  </si>
  <si>
    <t>Independency and Continuity</t>
    <phoneticPr fontId="9"/>
  </si>
  <si>
    <t>Awareness and knowledge for QM</t>
    <phoneticPr fontId="6"/>
  </si>
  <si>
    <t>3S
*DP perspective
(for flammable/combastible material storage)</t>
  </si>
  <si>
    <t xml:space="preserve">Workplace 3S is good condition, and almost of area's 3S level 4. </t>
    <phoneticPr fontId="6"/>
  </si>
  <si>
    <t>Keep 3S condition based on 3S guideline.</t>
    <phoneticPr fontId="6"/>
  </si>
  <si>
    <t>For more improvement, communication with the other site could be helpful so please consider to have this kind of opportunity.</t>
    <phoneticPr fontId="6"/>
  </si>
  <si>
    <t>KYT/
Practical KYT
*DP point of view</t>
  </si>
  <si>
    <t>Autonomous
KY
*DP point of view</t>
  </si>
  <si>
    <t xml:space="preserve">Autonomous KY activity is well going and updated compare with last year. </t>
    <phoneticPr fontId="6"/>
  </si>
  <si>
    <t>Please consider to visualize KY point in map to make it easy to see which place has high risk.</t>
    <phoneticPr fontId="6"/>
  </si>
  <si>
    <t>Please consider to use the maps to visualize everyone's KY point, and KAIZEN cycle to improve it.</t>
    <phoneticPr fontId="6"/>
  </si>
  <si>
    <t>Common Fire Prevention Rule</t>
  </si>
  <si>
    <t>Compliance</t>
  </si>
  <si>
    <t>Some operators state that the training has been given not periodically. (few times from hired)</t>
    <phoneticPr fontId="6"/>
  </si>
  <si>
    <t>Please conduct commom fire prevention rules training at least once a year, to all teammates.</t>
    <phoneticPr fontId="6"/>
  </si>
  <si>
    <t xml:space="preserve">Make sure that the action plan includes training of common fire prevention rule. </t>
    <phoneticPr fontId="6"/>
  </si>
  <si>
    <t>Fire Fighting</t>
  </si>
  <si>
    <t>Hot Work</t>
  </si>
  <si>
    <t>Inspection/
clean-up of mobile equipment</t>
  </si>
  <si>
    <t>Compliance of standards and inspection for gasoline cement houses and Warehouse storing flammable materials</t>
  </si>
  <si>
    <t>Control of specified combustibles 
handling areas</t>
  </si>
  <si>
    <t xml:space="preserve">Inspection of unattended areas </t>
  </si>
  <si>
    <t>Carbon MUST items Selfcheck</t>
  </si>
  <si>
    <t>Carbon MUST items Training</t>
  </si>
  <si>
    <t>DP Organization</t>
  </si>
  <si>
    <t>Continue to keep EHS organization.</t>
    <phoneticPr fontId="6"/>
  </si>
  <si>
    <t>Legal lisence</t>
  </si>
  <si>
    <t>Budget</t>
  </si>
  <si>
    <t>Budget for DP was prepared and well managed, but some manager stated safety budget was not enough.</t>
    <phoneticPr fontId="6"/>
  </si>
  <si>
    <t>Make sure all manager's understanding for management of budget - prioriy, validity and so on.</t>
    <phoneticPr fontId="6"/>
  </si>
  <si>
    <t>Make sure of all teammates understanding of budget management.</t>
    <phoneticPr fontId="6"/>
  </si>
  <si>
    <t>自他事業所のトラブル内容の共有化、また、対策推進の際は技能員の意見を聞き、対応状況のフィードバックについても確実に実施していること、職長の危険物取扱者資格(乙4)についても対象者全員が取得しておりましたので活動の継続をお願いします。
精練防災専任の配置については、24MBP/OBへ組み入れ、計画通りの推進をお願い致します。</t>
    <rPh sb="10" eb="12">
      <t>ナイヨウ</t>
    </rPh>
    <rPh sb="13" eb="16">
      <t>キョウユウカ</t>
    </rPh>
    <rPh sb="20" eb="22">
      <t>タイサク</t>
    </rPh>
    <rPh sb="22" eb="24">
      <t>スイシン</t>
    </rPh>
    <rPh sb="25" eb="26">
      <t>サイ</t>
    </rPh>
    <rPh sb="27" eb="30">
      <t>ギノウイン</t>
    </rPh>
    <rPh sb="31" eb="33">
      <t>イケン</t>
    </rPh>
    <rPh sb="34" eb="35">
      <t>キ</t>
    </rPh>
    <rPh sb="37" eb="39">
      <t>タイオウ</t>
    </rPh>
    <rPh sb="39" eb="41">
      <t>ジョウキョウ</t>
    </rPh>
    <rPh sb="54" eb="56">
      <t>カクジツ</t>
    </rPh>
    <rPh sb="57" eb="59">
      <t>ジッシ</t>
    </rPh>
    <rPh sb="66" eb="68">
      <t>ショクチョウ</t>
    </rPh>
    <rPh sb="69" eb="72">
      <t>キケンブツ</t>
    </rPh>
    <rPh sb="72" eb="75">
      <t>トリアツカイシャ</t>
    </rPh>
    <rPh sb="75" eb="77">
      <t>シカク</t>
    </rPh>
    <rPh sb="78" eb="79">
      <t>オツ</t>
    </rPh>
    <rPh sb="86" eb="88">
      <t>タイショウ</t>
    </rPh>
    <rPh sb="88" eb="89">
      <t>シャ</t>
    </rPh>
    <rPh sb="89" eb="91">
      <t>ゼンイン</t>
    </rPh>
    <rPh sb="92" eb="94">
      <t>シュトク</t>
    </rPh>
    <rPh sb="124" eb="126">
      <t>ハイチ</t>
    </rPh>
    <rPh sb="141" eb="142">
      <t>ク</t>
    </rPh>
    <rPh sb="143" eb="144">
      <t>イ</t>
    </rPh>
    <rPh sb="148" eb="149">
      <t>トオ</t>
    </rPh>
    <rPh sb="151" eb="153">
      <t>スイシン</t>
    </rPh>
    <rPh sb="155" eb="156">
      <t>ネガ</t>
    </rPh>
    <rPh sb="157" eb="158">
      <t>イタ</t>
    </rPh>
    <phoneticPr fontId="6"/>
  </si>
  <si>
    <t>安全活動全般について、標準通りの管理ができており、更にPDCAサイクルを回して継続的な改善が実施され、トラブル対応等についても、技能員の意見を聞き、フィードバックも確実に実施されておりましたので活動の継続をお願いします。
個々の活動については、工程や対象者により、実施内容の差（自律的KY、３Sビジュアル標準等）がありました。
更に安全活動を向上させ盤石な体制に向け、マネジメントチーム（基幹職・主任）全員で工場全体の安全活動推進状況を
現物現場で有効性を確認し、抽出した課題について討議する等、仕組の構築や標準化について検討をお願い致します。</t>
    <rPh sb="0" eb="4">
      <t>アンゼンカツドウ</t>
    </rPh>
    <rPh sb="4" eb="6">
      <t>ゼンパン</t>
    </rPh>
    <rPh sb="11" eb="13">
      <t>ヒョウジュン</t>
    </rPh>
    <rPh sb="13" eb="14">
      <t>ドオ</t>
    </rPh>
    <rPh sb="16" eb="18">
      <t>カンリ</t>
    </rPh>
    <rPh sb="25" eb="26">
      <t>サラ</t>
    </rPh>
    <rPh sb="36" eb="37">
      <t>マワ</t>
    </rPh>
    <rPh sb="39" eb="42">
      <t>ケイゾクテキ</t>
    </rPh>
    <rPh sb="43" eb="45">
      <t>カイゼン</t>
    </rPh>
    <rPh sb="46" eb="48">
      <t>ジッシ</t>
    </rPh>
    <rPh sb="52" eb="54">
      <t>ココ</t>
    </rPh>
    <rPh sb="55" eb="57">
      <t>カツドウ</t>
    </rPh>
    <rPh sb="63" eb="65">
      <t>コウテイ</t>
    </rPh>
    <rPh sb="66" eb="69">
      <t>タイショウシャ</t>
    </rPh>
    <rPh sb="73" eb="75">
      <t>ジッシ</t>
    </rPh>
    <rPh sb="75" eb="77">
      <t>ナイヨウ</t>
    </rPh>
    <rPh sb="78" eb="80">
      <t>シンド</t>
    </rPh>
    <rPh sb="81" eb="82">
      <t>サ</t>
    </rPh>
    <rPh sb="83" eb="86">
      <t>ジリツテキ</t>
    </rPh>
    <rPh sb="110" eb="112">
      <t>ヒョウジュン</t>
    </rPh>
    <rPh sb="112" eb="113">
      <t>トウ</t>
    </rPh>
    <rPh sb="124" eb="126">
      <t>アンゼン</t>
    </rPh>
    <rPh sb="126" eb="128">
      <t>カツドウ</t>
    </rPh>
    <rPh sb="132" eb="133">
      <t>ハカ</t>
    </rPh>
    <rPh sb="167" eb="169">
      <t>ジョウキョウ</t>
    </rPh>
    <rPh sb="171" eb="173">
      <t>コウジョウ</t>
    </rPh>
    <rPh sb="175" eb="177">
      <t>バンジャク</t>
    </rPh>
    <rPh sb="178" eb="180">
      <t>タイセイ</t>
    </rPh>
    <rPh sb="181" eb="182">
      <t>ム</t>
    </rPh>
    <rPh sb="187" eb="189">
      <t>チュウシュツ</t>
    </rPh>
    <rPh sb="191" eb="193">
      <t>カダイ</t>
    </rPh>
    <rPh sb="197" eb="199">
      <t>トウギ</t>
    </rPh>
    <rPh sb="201" eb="202">
      <t>トウ</t>
    </rPh>
    <rPh sb="203" eb="205">
      <t>シクミ</t>
    </rPh>
    <rPh sb="206" eb="208">
      <t>コウチク</t>
    </rPh>
    <rPh sb="209" eb="212">
      <t>ヒョウジュンカ</t>
    </rPh>
    <rPh sb="221" eb="222">
      <t>ネガ</t>
    </rPh>
    <rPh sb="223" eb="224">
      <t>イタ</t>
    </rPh>
    <phoneticPr fontId="6"/>
  </si>
  <si>
    <t>Judgement Criteria</t>
    <phoneticPr fontId="9"/>
  </si>
  <si>
    <t>Legend</t>
    <phoneticPr fontId="6"/>
  </si>
  <si>
    <t>・Pick the lowest score from each items</t>
  </si>
  <si>
    <t>Ver_1:2023/3/31作成</t>
    <rPh sb="15" eb="17">
      <t>サクセイ</t>
    </rPh>
    <phoneticPr fontId="6"/>
  </si>
  <si>
    <t>: Items from Safety Maturity Assessment</t>
    <phoneticPr fontId="9"/>
  </si>
  <si>
    <t xml:space="preserve">・Time scope is one year from evaluating </t>
  </si>
  <si>
    <t>Ver_2:2024/3/19作成</t>
    <phoneticPr fontId="6"/>
  </si>
  <si>
    <t>: Items that is newly added for solidification assessment</t>
    <phoneticPr fontId="9"/>
  </si>
  <si>
    <t xml:space="preserve">・ Questions for operators, need to have interview at least one person from production department. </t>
  </si>
  <si>
    <t>Ver_3:2025/4/1作成</t>
    <phoneticPr fontId="6"/>
  </si>
  <si>
    <t>Blue text</t>
  </si>
  <si>
    <t>: Items added by BSAPIC</t>
  </si>
  <si>
    <t>・In case of question that is asking its progress, that should be evaluated at the day of evaluation.</t>
  </si>
  <si>
    <t>Ver_4:2025/8/9 BSAPIC updated</t>
  </si>
  <si>
    <t>Safety/
DP</t>
    <phoneticPr fontId="6"/>
  </si>
  <si>
    <t>Secondary Categoty</t>
    <phoneticPr fontId="6"/>
  </si>
  <si>
    <t>Current Issues Disposition</t>
    <phoneticPr fontId="9"/>
  </si>
  <si>
    <t>Judge</t>
    <phoneticPr fontId="6"/>
  </si>
  <si>
    <t>Potential Risk Prevention</t>
    <phoneticPr fontId="9"/>
  </si>
  <si>
    <t>Proactive Prevention</t>
    <phoneticPr fontId="9"/>
  </si>
  <si>
    <t>Independent Quality Management</t>
    <phoneticPr fontId="9"/>
  </si>
  <si>
    <t>安全/
防災</t>
  </si>
  <si>
    <t>Judement</t>
  </si>
  <si>
    <t>Score</t>
  </si>
  <si>
    <t>Grade</t>
  </si>
  <si>
    <t>3 Axis</t>
  </si>
  <si>
    <t>C</t>
    <phoneticPr fontId="9"/>
  </si>
  <si>
    <t>B-</t>
    <phoneticPr fontId="9"/>
  </si>
  <si>
    <t>B</t>
    <phoneticPr fontId="9"/>
  </si>
  <si>
    <t>B+</t>
    <phoneticPr fontId="9"/>
  </si>
  <si>
    <t>A</t>
    <phoneticPr fontId="9"/>
  </si>
  <si>
    <t xml:space="preserve">Quickness of issue solving
Deep root cause analysis, standardization and implementation </t>
    <phoneticPr fontId="6"/>
  </si>
  <si>
    <t>Safety</t>
    <phoneticPr fontId="6"/>
  </si>
  <si>
    <t>All teammates stated that, at least, safety manager and site leadership representative (e.g. plant manager, department manager, line manager) was involved in the root cause analysis process when a serious incident(lost-time-injury, etc.) occurred.
(Leadership: Operator: No.5)</t>
    <phoneticPr fontId="9"/>
  </si>
  <si>
    <t>All teammates can state that they are informed of recent safety incidents (injury, near-miss, etc.) in their areas and actions have been taken to address these.
(Teammate Engagement: Operator: No.7)</t>
  </si>
  <si>
    <t>All teammates say that they are well informed and can explain how the information* communicated contributes to their safety.  
(System: Operator: No.64)
 *information: injury, near-miss etc.</t>
  </si>
  <si>
    <t>Teammates can provide examples of accidents which occurred on other facilities and how that information was obtained. 
(System: Operator: No.110)</t>
  </si>
  <si>
    <t>H&amp;S risks/measures of other departments have been shared at the safety meeting in your department.
(Teammate Engagement: Operator: No.17)</t>
  </si>
  <si>
    <t>Safety</t>
  </si>
  <si>
    <t>There is evidence that actions have been taken to prevent recurring incidents. And SVs can explain it.
And also, confirm at least one example at GENBA.
(System: Safety Manager: No.30)
 *Ask SVs</t>
  </si>
  <si>
    <t>A sample of 3 teammates, at least 1 (more than 33%) said they take part in the actions required to prevent safety accidents and provide feedback if these actions are not appropriate or useful. 
(Teammate Engagement: Operator: No.6)</t>
  </si>
  <si>
    <t>The safety manager can explain what actions are required for recurrence prevention when occuring a safety accicdent.
(System: Safety Manager: No.86)
 *Ask SVs</t>
  </si>
  <si>
    <t>All teammates stated that management had taken specific actions to address hazards they reported, and these actions have been communicated to them. (safety point of view)
(Organization: Operator: No.16)</t>
  </si>
  <si>
    <t>The safety leader can explain how such reviews are completed and why that method(s) is effective, providing feedback to SBU and assisting in determining countermeasures. (Example: Share more valid safety measreus than measures proposed by GBS/SBU)
(System: Safety Manager: No.140)
 *Ask SVs</t>
  </si>
  <si>
    <t>Injury
 Reporting</t>
    <phoneticPr fontId="6"/>
  </si>
  <si>
    <t>Issuing injury report with SBU's support.
(Safety Manager)</t>
  </si>
  <si>
    <t>Injury report is issued by plant, but there was a delay in the due date in the guideline.
(Safety Manager)</t>
  </si>
  <si>
    <t>Injury report is issued by plant, within the due date that is standardized in the guideline. 
And root cause analysis and its countermeasure has been completed and these report is issued within the due date as the guideline.
(Safety Manager)</t>
  </si>
  <si>
    <t>Injury report is issued by plant, within the due date that is standardized in the guideline. 
And root cause analysis and its countermeasure has been completed and these report is issued within the due date as the guideline.
Also, the countermeasure has been spreaded to similar machines/tasks. After the countermeasure is compleated, the report to SBU has been issued. 
(Safety Manager)</t>
    <phoneticPr fontId="6"/>
  </si>
  <si>
    <t>Past countermeasures have been re-checked its implementation status periodically.
 *At least, need to check its progress within 1 year.
(Safety Manager)</t>
  </si>
  <si>
    <t>Recurrence
Prevention
Process KPI</t>
    <phoneticPr fontId="6"/>
  </si>
  <si>
    <t>There is no plan for countermeasures from outside of plant.
 *"Countermeasure" in this part means that is issued from BSJ7310
(Safety Manager)</t>
  </si>
  <si>
    <t/>
  </si>
  <si>
    <t>There is a plan for contermeasure, but there is a delay in the plan. 
 *No corrective plan for delay.
(Safety Manager)</t>
  </si>
  <si>
    <t/>
  </si>
  <si>
    <t>There is a plan for contermeasure, and it is on-going to the plan, but not yet completed.
Or, there is a delay but corrective plan has been made for it, and it is on-going.
(Safety Manager)</t>
  </si>
  <si>
    <t>There is a plan for contermeasure, and progressing ahead of the plan, but not yet completed.
(Safety Manager)</t>
  </si>
  <si>
    <t>All contermeasures have been completed.
(Safety Manager)</t>
  </si>
  <si>
    <t>Symptom Management for QM defct
Management and analysis of information which is exploared, issued</t>
  </si>
  <si>
    <t>There is evidence that the required risk assessments have been done or there is a plan to complete.
(System: Safety Manager: No.28)
 *Ask SVs</t>
  </si>
  <si>
    <t>There is a risk tracking that lists specific risks on site.
(System: Safety Manager: No.50)
 *Ask SVs</t>
  </si>
  <si>
    <r>
      <t>There is at least one control prescribed for each risk identified. These controls are either administrative or technical by nature. The remaining risks are</t>
    </r>
    <r>
      <rPr>
        <sz val="11"/>
        <color rgb="FF0000FF"/>
        <rFont val="Yu Gothic UI"/>
        <family val="2"/>
      </rPr>
      <t xml:space="preserve"> post &amp; </t>
    </r>
    <r>
      <rPr>
        <sz val="11"/>
        <color theme="1"/>
        <rFont val="Yu Gothic UI"/>
        <family val="3"/>
        <charset val="128"/>
      </rPr>
      <t>written in the work standard.
(System: Safety Manager: No.90)
 *Ask SVs</t>
    </r>
  </si>
  <si>
    <r>
      <t>The respondent is able to provide at least one recent example of bottom-up communication on hazards and risks.
(</t>
    </r>
    <r>
      <rPr>
        <strike/>
        <sz val="11"/>
        <color theme="1"/>
        <rFont val="Yu Gothic UI"/>
        <family val="2"/>
      </rPr>
      <t>System: Safety Manager: No.xx</t>
    </r>
    <r>
      <rPr>
        <sz val="11"/>
        <color theme="1"/>
        <rFont val="Yu Gothic UI"/>
        <family val="3"/>
        <charset val="128"/>
      </rPr>
      <t>)
 *Ask SVs</t>
    </r>
  </si>
  <si>
    <t>The respondent can show evidence of at least one review performed in the past 12 months where the risk assessment result/process was improved based on external best practice. 
(System: Safety Manager: No.154)
 *Ask SVs</t>
  </si>
  <si>
    <t>Equipment RA</t>
  </si>
  <si>
    <t>There is a plan for Machine RA.
(Safety Manager)</t>
  </si>
  <si>
    <t>There is a plan for hardware countermeasures, but there is a delay in the plan. 
 *No corrective plan for the delay.
(Safety Manager)</t>
  </si>
  <si>
    <t>There is a plan for hardware countermeasures , and it is on-going to the plan.
Or, there is a delay but corrective plan has been made for it, and it is on-going.
(Safety Manager)</t>
  </si>
  <si>
    <t>There is a plan for hardware contermeasures, and progressing ahead of the plan, but not yet completed.
(Safety Manager)</t>
  </si>
  <si>
    <t>All contermeasures have been completed.
 *all risks that could be countered by hardware have been reduced by hardware.
(Safety Manager)</t>
  </si>
  <si>
    <t>Task RA</t>
  </si>
  <si>
    <t>There is a plan for Task RA.
(Safety Manager)</t>
  </si>
  <si>
    <t>There is a plan for Task RA, but there is a delay in the plan. 
 *No corrective plan for the delay.
(Safety Manager)</t>
  </si>
  <si>
    <t>There is a plan for Task RA, and it is on-going to the plan.
Or, there is a delay but corrective plan has been made for it, and it is on-going.
(Safety Manager)</t>
  </si>
  <si>
    <t>There is a plan for Task RA, and progressing ahead of the plan, but not yet completed.
(Safety Manager)</t>
  </si>
  <si>
    <t>All task RA have been completed.
(Safety Manager)</t>
  </si>
  <si>
    <t>LOTO
(Training)</t>
  </si>
  <si>
    <t>The basic LOTO training has been implemented anually, all operators understand basic LOTO operation.
And, operator take one's own key and locks to GENBA if it is necessary.
(operator)</t>
    <phoneticPr fontId="6"/>
  </si>
  <si>
    <t>With the basic LOTO training, ECP has been trained to all operators, and they understand LOTO procedure.
 *ECP should be included in SOP.
 *ECP should be prepared for all LOTO devise
(Operator)</t>
    <phoneticPr fontId="6"/>
  </si>
  <si>
    <t>With the basic LOTO training, ECP has been trained to all operators, and they understand LOTO procedure.
 *ECP included in SOP, included all related energy and prepared for all LOTO device
(Operator)</t>
  </si>
  <si>
    <t>If the operator handle LOTO procedure regularly, he/she can explain and implement its detail procedure.
If the operator do not handle LOTO, he/she can explain basic LOTO rule.
(Operator)</t>
  </si>
  <si>
    <t>Operator provide feedback or suggestions of their difficulty/improvement point of LOTO/ECP e.g. identify potential risks where LOTO should be applied and remind or guide others before unsafe conditions happen
(Operator)</t>
  </si>
  <si>
    <t>SVs lack clarity on which operations require LOTO, unclear list. 
(SVs)</t>
  </si>
  <si>
    <t>SVs can explain LOTO operation/can't do LOTO, but unclear for SOP/APM for task, which can't apply LOTO or no implementation onsite
(SVs)</t>
  </si>
  <si>
    <t>SVs can explain which operation needs LOTO in their own process. There's list of task (production, maintenance), which can/can't do LOTO, SOP has been already prepared and proper application of APM (e.g., orange tag) where LOTO cannot be applied
(SVs)</t>
  </si>
  <si>
    <t>SVs actively ensure operators understand and follow LOTO and APM rules, regularly refresh knowledge, and verify compliance before starting tasks
(SVs)</t>
  </si>
  <si>
    <t>Department/Section has a culture where SVs not only apply LOTO/APM consistently but also lead cross-functional learning, share best practices, and continuously improve SOPs to prevent energy hazards across all operations
(SVs)</t>
  </si>
  <si>
    <r>
      <t>There's</t>
    </r>
    <r>
      <rPr>
        <b/>
        <sz val="11"/>
        <color rgb="FF0000FF"/>
        <rFont val="Yu Gothic UI"/>
        <family val="2"/>
      </rPr>
      <t xml:space="preserve"> no pre-work planning and meeting or no review risk of contrator work</t>
    </r>
    <r>
      <rPr>
        <sz val="11"/>
        <color rgb="FF0000FF"/>
        <rFont val="Yu Gothic UI"/>
        <family val="2"/>
      </rPr>
      <t xml:space="preserve"> e.g. no JSA/RA
(Safety manager)</t>
    </r>
  </si>
  <si>
    <r>
      <t xml:space="preserve">There's pre-work planning and meeting to identify risk and there's JSA/RA but </t>
    </r>
    <r>
      <rPr>
        <b/>
        <sz val="11"/>
        <color rgb="FF0000FF"/>
        <rFont val="Yu Gothic UI"/>
        <family val="2"/>
      </rPr>
      <t>measure onsite is insufficient or there's risk onsite</t>
    </r>
    <r>
      <rPr>
        <sz val="11"/>
        <color rgb="FF0000FF"/>
        <rFont val="Yu Gothic UI"/>
        <family val="2"/>
      </rPr>
      <t xml:space="preserve">
(Safety manager)</t>
    </r>
  </si>
  <si>
    <t>- Identify all risks in JSA/RA with sufficient measure onsite. 
- Risk and measure has been communicated to all related members 
- All members conduct KY before start work
(Safety manager)</t>
  </si>
  <si>
    <t>There's communication to BS-PIC &amp; contractor if any change and risk has been reviewed, take measure and communicate additional/changed risk to related person
(Safety manager)</t>
  </si>
  <si>
    <t>All risks onsite has been controlled and contractor fully complied with standard and feedback risk/insufficient measure that may happen during work. 
(Safety manager)</t>
  </si>
  <si>
    <t>Safety trainings have been given to workers when new hired and/or trasfered. 
(SVs)</t>
    <phoneticPr fontId="6"/>
  </si>
  <si>
    <t>Safety training meets regional legal requirement.
(SVs)</t>
    <phoneticPr fontId="6"/>
  </si>
  <si>
    <t>Operators can work alone after their skill/knowledge is validated by the site's criteria.
(SVs)</t>
    <phoneticPr fontId="6"/>
  </si>
  <si>
    <t>Skill/knowledge training is managed by IIP for all operaters, and its criteria is clear.
Also, their skill/knowledge is followed up until they achieve 100%
(SVs)</t>
    <phoneticPr fontId="6"/>
  </si>
  <si>
    <t>All operators understanding is confirmed periodically, and the confirmation step is standardized.
(SVs)</t>
    <phoneticPr fontId="6"/>
  </si>
  <si>
    <t>Fundamental enhancement by Cpk and COPQ analysis
QM management assurerance across value chain</t>
    <phoneticPr fontId="6"/>
  </si>
  <si>
    <t>Policy/
Purpose/
Target</t>
    <phoneticPr fontId="6"/>
  </si>
  <si>
    <t>Safety policy/target has not been issued.
(Safety Manager)</t>
  </si>
  <si>
    <t>OH&amp;S policy has been established at site. And the manager can explain it.
(System: Plant Manager: No.9)
(Mgr + SV)</t>
  </si>
  <si>
    <r>
      <t>Management can describe and explain the site's OH&amp;S objectives and goals.</t>
    </r>
    <r>
      <rPr>
        <strike/>
        <sz val="11"/>
        <color theme="1"/>
        <rFont val="Yu Gothic UI"/>
        <family val="2"/>
      </rPr>
      <t xml:space="preserve">
</t>
    </r>
    <r>
      <rPr>
        <sz val="11"/>
        <color theme="1"/>
        <rFont val="Yu Gothic UI"/>
        <family val="3"/>
        <charset val="128"/>
      </rPr>
      <t>(Mgr + SV)</t>
    </r>
  </si>
  <si>
    <r>
      <t>The plan contains goals to be achieved which are relevant to the incidents and risks identified by the SBU.</t>
    </r>
    <r>
      <rPr>
        <strike/>
        <sz val="11"/>
        <color theme="1"/>
        <rFont val="Yu Gothic UI"/>
        <family val="2"/>
      </rPr>
      <t xml:space="preserve">
</t>
    </r>
    <r>
      <rPr>
        <sz val="11"/>
        <color theme="1"/>
        <rFont val="Yu Gothic UI"/>
        <family val="3"/>
        <charset val="128"/>
      </rPr>
      <t>(Mgr + SV)</t>
    </r>
  </si>
  <si>
    <t>There is evidence of OH&amp;S benchmarking with other sites.
(System: Safety Manager: No.123)
(Mgr + SV)</t>
  </si>
  <si>
    <t>Implementation
Plan</t>
    <phoneticPr fontId="6"/>
  </si>
  <si>
    <t>There is no implementation plan for safety.
(Safety Manager)</t>
  </si>
  <si>
    <t>There are documented OH&amp;S action plans and evidence of OH&amp;S results tracking.
(Mgr)</t>
  </si>
  <si>
    <t>Safety KPIs are tracked at plant, department and line level.
To solve issues on H&amp;S, site leadership follow safety KPIs, and give directions to review the safety program if necessary.
(Leadership: Plant Manager: No.7)
(Mgr)</t>
  </si>
  <si>
    <t>Safety KPIs are tracked positively at plant, department and line level - using "Leading indicators"(e.g. Progress of RA, KPI for 3S activity, etc.)
Site leadership follow not only lagging indicator(e.g. # of injuries), but also leading indicators, and give directions to review and/or improve safety programs if necessary.
(Leadership: Plant Manager: No.16)
(Mgr)</t>
  </si>
  <si>
    <t>The Plant Manager can describe his/her OH&amp;S strategy and its goals, and how it will be implemented and the goals achieved.
And, the strategy has been reviewed quarterly - its progress, validity. Also, revision/instruction for the starategy result have been implemented by plant manager.
(Leadership: Plant manager: No.24)
(mgr.)</t>
  </si>
  <si>
    <t>Internal/external audit has not been conducted.
(Safety Manager)</t>
  </si>
  <si>
    <t>Internal audit has been conducted, and its report could be found. But, it is not enough to follow up the findings.
(System: Safety Manager: No.47)</t>
  </si>
  <si>
    <t>Items/Non-Conformities pointed out at the internal audits were improved or planed to improve them.
(System: Safety Manager: No.77)</t>
  </si>
  <si>
    <t>OFIs found at last internal audit have been improved or have been planed to improve.
(System: Safety Manager: No.106)</t>
  </si>
  <si>
    <t>Regarding the safety management system in the plant, the H&amp;S manager can explain evaluation results by third party, feedback, and the actions.
(Organization: Safety Manager: No.20)</t>
  </si>
  <si>
    <r>
      <t xml:space="preserve">There's working standard but no mention necessary safety key point </t>
    </r>
    <r>
      <rPr>
        <b/>
        <u/>
        <sz val="11"/>
        <color rgb="FF0000FF"/>
        <rFont val="Yu Gothic UI"/>
        <family val="2"/>
      </rPr>
      <t>or</t>
    </r>
    <r>
      <rPr>
        <b/>
        <sz val="11"/>
        <color rgb="FF0000FF"/>
        <rFont val="Yu Gothic UI"/>
        <family val="2"/>
      </rPr>
      <t xml:space="preserve"> </t>
    </r>
    <r>
      <rPr>
        <sz val="11"/>
        <color rgb="FF0000FF"/>
        <rFont val="Yu Gothic UI"/>
        <family val="2"/>
      </rPr>
      <t>no review/revise working std. as determined period of plant's std. 
(mgr.)</t>
    </r>
  </si>
  <si>
    <t>There's working standard and review/revise as period but missing some necessary safety key point 
(mgr.)</t>
  </si>
  <si>
    <r>
      <t>There's working standard with</t>
    </r>
    <r>
      <rPr>
        <b/>
        <sz val="11"/>
        <color rgb="FF0000FF"/>
        <rFont val="Yu Gothic UI"/>
        <family val="2"/>
      </rPr>
      <t xml:space="preserve"> cover all </t>
    </r>
    <r>
      <rPr>
        <sz val="11"/>
        <color rgb="FF0000FF"/>
        <rFont val="Yu Gothic UI"/>
        <family val="2"/>
      </rPr>
      <t xml:space="preserve">necessary safety key point </t>
    </r>
    <r>
      <rPr>
        <b/>
        <u/>
        <sz val="11"/>
        <color rgb="FF0000FF"/>
        <rFont val="Yu Gothic UI"/>
        <family val="2"/>
      </rPr>
      <t>and</t>
    </r>
    <r>
      <rPr>
        <sz val="11"/>
        <color rgb="FF0000FF"/>
        <rFont val="Yu Gothic UI"/>
        <family val="2"/>
      </rPr>
      <t xml:space="preserve"> it's review/revise periodically as plant std. 
(mgr.)</t>
    </r>
  </si>
  <si>
    <t>O/P feedback missing step/improvement point and inform for further enhancement and there's evidence 
(mgr.)</t>
  </si>
  <si>
    <t xml:space="preserve">The best practices on working std. creation activity has been gathered from other facility/plants/industry, and it has been incorporated into plant. </t>
  </si>
  <si>
    <t>There's list of troubles but no review or classification of risks
 *Ask Manager (not safety)</t>
  </si>
  <si>
    <t>Actions taken only after frequent troubles occur, without systematic risk classification or preventive planning
 *Ask Manager (not safety)</t>
  </si>
  <si>
    <t>There's list of trouble, review risk of each trouble to classify for TS/TYM action, create all TS standard, communicate to related O/P and they understand risk and how to avoid those risk. 
 *Ask Manager (not safety)</t>
  </si>
  <si>
    <t>Analyze trouble trend especially frequent trouble by considering potential risk and take measure for reduction.  
 *Ask Manager (not safety)</t>
  </si>
  <si>
    <t>The best practices/similar trouble of has been gathered from other facility/plants/industry, and implement in the plant or clear KPI to reduce frequent trouble 
 *Ask Manager (not safety)</t>
  </si>
  <si>
    <t>There's only general/same issue of patrol/monitoring e.g. no cleaning, improper parking cart etc. without law compliance/risk point finding and/or no follow up.
(Mgr, SV)</t>
  </si>
  <si>
    <t>Risks, non-compliance, or unsafe behaviors are identified but follow up only after being highlighted by audits, incidents. 
(Mgr, SV)</t>
  </si>
  <si>
    <t>The patroller identify risk/non-compliance/unsafe behavior during patrol/monitoring and measure has been followed up until completion
(Mgr, SV)</t>
  </si>
  <si>
    <t>Patrollers/section actively engage responsible persons, track corrective actions, and verify effectiveness to ensure risks are fully mitigated.
(Mgr, SV)</t>
  </si>
  <si>
    <t>The patrol/monitoring process not only eliminate identified risks but also drive cross-functional learning among section, and a culture where everyone proactively prevents unsafe behaviors
(Mgr, SV)</t>
  </si>
  <si>
    <t>Independent implementation of BSFA</t>
    <phoneticPr fontId="9"/>
  </si>
  <si>
    <t>All teammates are taking BSFA training more than annually.
(Operator)</t>
  </si>
  <si>
    <t>All teammates are taking BSFA training more than annually, but the material is not the latest version.
(Safety Manager)</t>
  </si>
  <si>
    <t>All teammates are taking BSFA training more than annually, and the material is the latest version.
 *Confirm the the material and training records
 *In case that the material is not updated, if the site have a plan for the training, this item could be judged "Yes".
(Safety Manager)</t>
  </si>
  <si>
    <t>After the BSFA training, all teammates' understandings are validated in GENBA situation by manager or supervisor.
(Safety Manager)</t>
  </si>
  <si>
    <t>After the BSFA training, all teammates' understandings are validated in GENBA situation by manager or supervisor, and all teammates could answer correctly. 
(Safety Manager)</t>
  </si>
  <si>
    <t>3S Documents are displayed in work areas, and there is evidence of this being followed.
And, self-check has been implemented.
(System: Operator: No.19)</t>
    <phoneticPr fontId="11"/>
  </si>
  <si>
    <t>There is an officially appointed 3S leader on site. There is evidence of 3S inspections and recommended actions to improve 3S. 
(System: Safety Manager: No.44+45)
(SV)</t>
  </si>
  <si>
    <t>3S standard setting:
The 3S standard was set with considering of risk/rule compliance and work ability e.g. no necessary item place inside dangerous zone etc. 
3S onsite implementation:
All inspected work areas were cleaned (no debris on floor, no spillages) as defined in the 3S visual standard, and there were no unnecessary objects that were not currently in use in the work area.
  *work area: production area and office
(System: Operator: No.75)</t>
  </si>
  <si>
    <r>
      <t xml:space="preserve">3S activity for the improvement of 3S level has been  proceeded. (or </t>
    </r>
    <r>
      <rPr>
        <b/>
        <sz val="11"/>
        <rFont val="Yu Gothic UI"/>
        <family val="2"/>
      </rPr>
      <t>Improvement of 3S level can be confirmed</t>
    </r>
    <r>
      <rPr>
        <sz val="11"/>
        <rFont val="Yu Gothic UI"/>
        <family val="2"/>
      </rPr>
      <t xml:space="preserve">, </t>
    </r>
    <r>
      <rPr>
        <sz val="11"/>
        <color theme="1"/>
        <rFont val="Yu Gothic UI"/>
        <family val="3"/>
        <charset val="128"/>
      </rPr>
      <t>or 3s level is over 4.)
(System: Operator: No.105)</t>
    </r>
  </si>
  <si>
    <t>The best practices on 3S have been gathered from other plants/industry, and it has been incorporated into the site procedure. or There is a evidence of the comparison with other plants.
(System: Safety Manager: No.133)
(Safety manager)</t>
  </si>
  <si>
    <t>KYT/
Practical KYT</t>
    <phoneticPr fontId="6"/>
  </si>
  <si>
    <t>KYT has not been implemented.
(Safety Manager)
　*Ask SVs</t>
    <phoneticPr fontId="9"/>
  </si>
  <si>
    <t>There is evidence of a defined KY process that been communicated with all staff at least once in the past year.
(System: Manager: No.26)</t>
  </si>
  <si>
    <r>
      <t xml:space="preserve">There is an officially appointed KY leader and KY representatives on site.
</t>
    </r>
    <r>
      <rPr>
        <sz val="11"/>
        <color rgb="FF0000FF"/>
        <rFont val="Yu Gothic UI"/>
        <family val="2"/>
      </rPr>
      <t xml:space="preserve">
KYT records show that everyone (all teammates and temporary staff) completed KYT monthly </t>
    </r>
  </si>
  <si>
    <t>KY is performed by everyone onsite (at workstation, equipment, machine, office)
The results from KYT/KY onsite used to develop new safety rules or adjust old rules or improvement of safety measures for hazards((risk mitigation/administrative measures)</t>
  </si>
  <si>
    <t>The KYT activity is evaluated and opportunity for inprovement is discussed with the plant manager annually. 
(System: Safety Manager: No.113)</t>
  </si>
  <si>
    <t>All teammates recognize the H&amp;S risks applicable in their areas and confirmed these were addressed in trainings. 
(Teammate Engagement: Operator: No.1)</t>
    <phoneticPr fontId="9"/>
  </si>
  <si>
    <t>A sample of 3 teammates could all state that they took the traning on residual risks based on the work standard.
(Teammate Engagement: Operator: No.11)</t>
  </si>
  <si>
    <t>A sample of 3 teammates could all describe and explain the greatest potential H&amp;S risks in their work, and what controls they use or are in place to mitigate these risks.
(Teammate Engagement: Operator: No.13)</t>
  </si>
  <si>
    <t>In a sample of 3 teammates, at least one have participated RA process, and he/she could explain a full and accurate Risk Assessment.
(Teammate Engagement: Operator: No.14)</t>
  </si>
  <si>
    <t>Safety Rule</t>
  </si>
  <si>
    <t>All operators shows understanding of the applicable All Bridgestone Safety Rules in their areas.
(System: Operator: No.13)</t>
    <phoneticPr fontId="6"/>
  </si>
  <si>
    <t>The respondent can clearly indicate how Site Safety Rules are reviewed and improved.
(System: Safety Manager: No.41)
(SV)</t>
  </si>
  <si>
    <t>All teammates can demonstrate knowledge of the Safety Rules and explain key points on safety in the work standard.
(System: Operator: No.70)</t>
  </si>
  <si>
    <t>Line-management conducts floor observations(e.g. site tours) and provide feedbacks to teammates to ensure adherence to safety rules, such as procedures, standards, etc. 
(Leadership: SVs: No.9)
(SV)</t>
  </si>
  <si>
    <t>The respondent explains that feedback is used to make tangible changes in the Safety Rules and can give at least 1 recent example. 
（Examples of FB: Responsed to proposed safety rules. Teammates can work based on the safety rules, or require changes due to dificulties to work based on the rules, etc.)
(System: Operator: No.128)</t>
  </si>
  <si>
    <t>4M change process is standardized/documented at the site.
(Safety Manager)</t>
    <phoneticPr fontId="6"/>
  </si>
  <si>
    <t>4M change process is standardized/documented at the site, and EHS manager confirm/approve it as a system.
(Safety Manager)</t>
    <phoneticPr fontId="6"/>
  </si>
  <si>
    <t>In 4M change process, RA before/after the change by EHS team is standardized, and could see the evidence.
 *at leastt one example should be validated
(Safety Manager)</t>
    <phoneticPr fontId="6"/>
  </si>
  <si>
    <t>The changing point is valiadted not only by documents documents or pictures, but by GENBA validation.
(Safety Manager)</t>
    <phoneticPr fontId="6"/>
  </si>
  <si>
    <t>After the change, EHS team confirm whether there is any problem or not as intial management.
(Safety manager)</t>
    <phoneticPr fontId="6"/>
  </si>
  <si>
    <t>Autonomously Managemet System</t>
    <phoneticPr fontId="6"/>
  </si>
  <si>
    <t>Management System:
P</t>
    <phoneticPr fontId="6"/>
  </si>
  <si>
    <t>There is no IIP for Safety.
(Safety Manager)</t>
  </si>
  <si>
    <t>Safety IIP is issued only by top-management  and safety committee, and the plan is deployed in plant. 
Or, the plan is approved by plant manager and issued in plant, but it was deployed not all department.
(Safety Manager)</t>
  </si>
  <si>
    <t>Safety IIP is approved by plant manager and safety committee, and it was deployed into all department.
(Safety Manager)</t>
  </si>
  <si>
    <t>Safety IIP is approved by plant manager and safety committee, and it was deployed into all department, and all department shared it in team. (Each department has each safety IIP)
(Safety Manager)
 *Ask Manager (not safety)</t>
    <phoneticPr fontId="9"/>
  </si>
  <si>
    <t>Before Safety IIP is approved by plant manager and safety committee, the plan has been discussed and built a consensus by all team.
And, all teammates has been explained it and confirmed its understandings.
(Safety Manager)
 *Ask Manager (not safety)</t>
    <phoneticPr fontId="9"/>
  </si>
  <si>
    <t>Management System:
D</t>
  </si>
  <si>
    <t>Safety activities have not been conducted as the IIP in plant.
(Safety Manager)
 *Ask Manager (not safety)</t>
    <phoneticPr fontId="9"/>
  </si>
  <si>
    <t>Almost of Safety activities have been conducted as the IIP in plant, but some activities have not.
(Safety Manager)
 *Ask Manager (not safety)</t>
    <phoneticPr fontId="9"/>
  </si>
  <si>
    <t>Safety activities have been conducted as the IIP in plant.
(Safety Manager)
 *Ask Manager (not safety)</t>
    <phoneticPr fontId="9"/>
  </si>
  <si>
    <t>Safety activities have been conducted as the IIP in plant, but it is only for direct employee. 
(Safety Manager)
 *Ask Manager (not safety)</t>
    <phoneticPr fontId="9"/>
  </si>
  <si>
    <t>Managers lead/self-implement/follow-up/instruct  safety activities as safety IIP, and 
all workers in plant have implemented these.
(Safety Manager)
 *Ask Manager (not safety)</t>
    <phoneticPr fontId="9"/>
  </si>
  <si>
    <t>Management System:
C</t>
  </si>
  <si>
    <t>Progress of safety IIP have not been followed-up.
(Safety Manager)
 *Ask Manager (not safety)</t>
    <phoneticPr fontId="9"/>
  </si>
  <si>
    <t>Progress of safety IIP have been followed-up almost, but not all items.
(Safety Manager)
 *Ask Manager (not safety)</t>
    <phoneticPr fontId="9"/>
  </si>
  <si>
    <t>All items in Safety IIP have been followed-up.
(At least once a month)
(Safety Manager)
 *Ask Manager (not safety)</t>
    <phoneticPr fontId="9"/>
  </si>
  <si>
    <t>All items in Safety IIP have been followed-up more than once a month, but it is not enough to check/confirm it in GENBA.
 *No evidence to check/confirm in GENBA
(Safety Manager)
 *Ask Manager (not safety)</t>
    <phoneticPr fontId="9"/>
  </si>
  <si>
    <t>Progress of Safety IIP have been followed-up by management team, including SVs, and it has been checked/confirmed in GENBA.
(Manager, SV)
 *Ask Manager (not safety)</t>
    <phoneticPr fontId="9"/>
  </si>
  <si>
    <t>Management System:
A</t>
  </si>
  <si>
    <t>Safety IIP has been followed-up but review/re-thinking has not been done, issued/OFI have not been extracted.
(Safety Manager)
 *Ask Manager (not safety)</t>
    <phoneticPr fontId="9"/>
  </si>
  <si>
    <r>
      <t xml:space="preserve">Safety IIP has been followed-up, and review/re-thinking has </t>
    </r>
    <r>
      <rPr>
        <strike/>
        <sz val="11"/>
        <rFont val="Yu Gothic UI"/>
        <family val="3"/>
        <charset val="128"/>
      </rPr>
      <t>not</t>
    </r>
    <r>
      <rPr>
        <sz val="11"/>
        <rFont val="Yu Gothic UI"/>
        <family val="3"/>
        <charset val="128"/>
      </rPr>
      <t xml:space="preserve"> been done, also, issued/OFI have been extracted, but not for all item.
(Safety Manager)
 *Ask Manager (not safety)</t>
    </r>
  </si>
  <si>
    <r>
      <t xml:space="preserve">Safety IIP has been followed-up, and review/re-thinking has </t>
    </r>
    <r>
      <rPr>
        <strike/>
        <sz val="11"/>
        <rFont val="Yu Gothic UI"/>
        <family val="3"/>
        <charset val="128"/>
      </rPr>
      <t>not</t>
    </r>
    <r>
      <rPr>
        <sz val="11"/>
        <rFont val="Yu Gothic UI"/>
        <family val="3"/>
        <charset val="128"/>
      </rPr>
      <t xml:space="preserve"> been done, also, issued/OFI have been extracted, but safety activities have not evolved. (just backing-up or revise frequency)
(Safety Manager)
 *Ask Manager (not safety)</t>
    </r>
  </si>
  <si>
    <r>
      <t xml:space="preserve">Safety IIP has been followed-up, and review/re-thinking has </t>
    </r>
    <r>
      <rPr>
        <strike/>
        <sz val="11"/>
        <rFont val="Yu Gothic UI"/>
        <family val="3"/>
        <charset val="128"/>
      </rPr>
      <t>not</t>
    </r>
    <r>
      <rPr>
        <sz val="11"/>
        <rFont val="Yu Gothic UI"/>
        <family val="3"/>
        <charset val="128"/>
      </rPr>
      <t xml:space="preserve"> been done, also, issued/OFI have been extracted, resulting in safety activities have evolved. But, these activities have not been standardized.
(Safety Manager)
 *Ask Manager (not safety)</t>
    </r>
  </si>
  <si>
    <r>
      <t xml:space="preserve">Safety IIP has been followed-up, and review/re-thinking has </t>
    </r>
    <r>
      <rPr>
        <strike/>
        <sz val="11"/>
        <rFont val="Yu Gothic UI"/>
        <family val="3"/>
        <charset val="128"/>
      </rPr>
      <t>not</t>
    </r>
    <r>
      <rPr>
        <sz val="11"/>
        <rFont val="Yu Gothic UI"/>
        <family val="3"/>
        <charset val="128"/>
      </rPr>
      <t xml:space="preserve"> been done, also, issued/OFI have been extracted, resulting in safety activities have evolved. And, these activities have been standardized to keep it going.
(Safety Manager)
 *Ask Manager (not safety)</t>
    </r>
  </si>
  <si>
    <t>There is a EHS manager.
(Safety manager)</t>
    <phoneticPr fontId="6"/>
  </si>
  <si>
    <t>There is a EHS manager but he/she has multiple role.
(Safety manager)</t>
    <phoneticPr fontId="6"/>
  </si>
  <si>
    <r>
      <t xml:space="preserve">Safety/DP Manager's role is exclusive duty in plant. (Safety/DP Manager is managing only safety and DP, and no any other jobs are assigned.)
</t>
    </r>
    <r>
      <rPr>
        <b/>
        <sz val="11"/>
        <color theme="1"/>
        <rFont val="Yu Gothic UI"/>
        <family val="2"/>
      </rPr>
      <t>And, a safety staff is asigned in plant.</t>
    </r>
    <r>
      <rPr>
        <sz val="11"/>
        <color theme="1"/>
        <rFont val="Yu Gothic UI"/>
        <family val="3"/>
        <charset val="128"/>
      </rPr>
      <t xml:space="preserve">
(Safety Manager)</t>
    </r>
  </si>
  <si>
    <r>
      <t xml:space="preserve">Safety/DP Manager's role is exclusive duty in plant. (Safety/DP Manager is managing only safety and DP, and no any other jobs are </t>
    </r>
    <r>
      <rPr>
        <sz val="11"/>
        <color theme="1"/>
        <rFont val="Yu Gothic UI"/>
        <family val="2"/>
      </rPr>
      <t>assigned.)</t>
    </r>
    <r>
      <rPr>
        <b/>
        <sz val="11"/>
        <color theme="1"/>
        <rFont val="Yu Gothic UI"/>
        <family val="2"/>
      </rPr>
      <t xml:space="preserve">
And, a safety staff's role also exclusive duty.
</t>
    </r>
    <r>
      <rPr>
        <sz val="11"/>
        <color theme="1"/>
        <rFont val="Yu Gothic UI"/>
        <family val="3"/>
        <charset val="128"/>
      </rPr>
      <t>(Safety Manager)</t>
    </r>
  </si>
  <si>
    <r>
      <t xml:space="preserve">Safety/DP Manager's role is exclusive duty in plant. (Safety/DP Manager is managing only safety and DP, and no any other jobs are assigned.)
</t>
    </r>
    <r>
      <rPr>
        <b/>
        <sz val="11"/>
        <color theme="1"/>
        <rFont val="Yu Gothic UI"/>
        <family val="2"/>
      </rPr>
      <t>And, his/her experiece is more than three years.</t>
    </r>
    <r>
      <rPr>
        <sz val="11"/>
        <color theme="1"/>
        <rFont val="Yu Gothic UI"/>
        <family val="3"/>
        <charset val="128"/>
      </rPr>
      <t xml:space="preserve">
(Safety Manager)</t>
    </r>
  </si>
  <si>
    <t>There is no Safety Engineer (SE).
(Safety Manager)</t>
  </si>
  <si>
    <r>
      <t xml:space="preserve">SE has </t>
    </r>
    <r>
      <rPr>
        <sz val="11"/>
        <color rgb="FF0000FF"/>
        <rFont val="Yu Gothic UI"/>
        <family val="2"/>
      </rPr>
      <t>certified by GBS/BSAPIC SBU with</t>
    </r>
    <r>
      <rPr>
        <sz val="11"/>
        <rFont val="Yu Gothic UI"/>
        <family val="3"/>
        <charset val="128"/>
      </rPr>
      <t xml:space="preserve"> multiple roles.
(Safety Manager)</t>
    </r>
  </si>
  <si>
    <r>
      <t xml:space="preserve">There is a SE exclusive staff. 
</t>
    </r>
    <r>
      <rPr>
        <sz val="11"/>
        <color rgb="FF0000FF"/>
        <rFont val="Yu Gothic UI"/>
        <family val="2"/>
      </rPr>
      <t xml:space="preserve">(Certified and has only SE role)
</t>
    </r>
    <r>
      <rPr>
        <sz val="11"/>
        <rFont val="Yu Gothic UI"/>
        <family val="3"/>
        <charset val="128"/>
      </rPr>
      <t>(Safety Manager)</t>
    </r>
  </si>
  <si>
    <t>SE has a official license certified from International certifications e.g. CMSE, JIS, CE, ISO etc. for Machinery Safety expert  
(Safety Manager)</t>
  </si>
  <si>
    <t xml:space="preserve">There are SEs (two or more), and they do not have multiple role.
(Safety Manager) </t>
  </si>
  <si>
    <t>Budget for recurrence prevention, RA countermeasure, and working hours (human resource) is not enough.
(Safety Manager)
 *Ask Manager (not safety)</t>
  </si>
  <si>
    <t>There is a lack of budget for either recurrence prevention, RA countermeasure, and working hours(human resource).
(Safety Manager)</t>
  </si>
  <si>
    <t>Budget for recurrence prevention, RA countermeasure, and working hours (human resource) is prepared enough as plan.
(Safety Manager)
 *Ask Manager (not safety)</t>
    <phoneticPr fontId="6"/>
  </si>
  <si>
    <t>Budget is used for recurrence prevention, RA countermeasure, and any other activities as planed.
(Safety Manager)
 *Ask Manager (not safety)</t>
    <phoneticPr fontId="6"/>
  </si>
  <si>
    <t>Budget is prepared even for sudden accidents. Or, in case of sudden accidents, additional budget is obtained, and recurrence prevention, RA countermeasure, and any other activities are implemented ahead of schedule.
(Safety Manager)</t>
  </si>
  <si>
    <t>Example of SE international certification</t>
  </si>
  <si>
    <t>TBD</t>
    <phoneticPr fontId="6"/>
  </si>
  <si>
    <t>安全</t>
    <rPh sb="0" eb="2">
      <t>アンゼン</t>
    </rPh>
    <phoneticPr fontId="6"/>
  </si>
  <si>
    <t>BSFA
インストラクター</t>
    <phoneticPr fontId="6"/>
  </si>
  <si>
    <t>インストラクターがいない。</t>
    <phoneticPr fontId="6"/>
  </si>
  <si>
    <t>拠点にマスターインストラクターはいないが、GBSまたはSBUによるインストラクター教育を受講経験のあるものが、安全防災機能に1名以上配置されている。</t>
    <rPh sb="0" eb="2">
      <t>キョテン</t>
    </rPh>
    <rPh sb="41" eb="43">
      <t>キョウイク</t>
    </rPh>
    <rPh sb="44" eb="46">
      <t>ジュコウ</t>
    </rPh>
    <rPh sb="46" eb="48">
      <t>ケイケン</t>
    </rPh>
    <rPh sb="55" eb="59">
      <t>アンゼンボウサイ</t>
    </rPh>
    <rPh sb="59" eb="61">
      <t>キノウ</t>
    </rPh>
    <rPh sb="63" eb="64">
      <t>メイ</t>
    </rPh>
    <rPh sb="64" eb="66">
      <t>イジョウ</t>
    </rPh>
    <rPh sb="66" eb="68">
      <t>ハイチ</t>
    </rPh>
    <phoneticPr fontId="6"/>
  </si>
  <si>
    <t>マスターインストラクターが1名以上配置されている。</t>
    <rPh sb="14" eb="15">
      <t>メイ</t>
    </rPh>
    <rPh sb="15" eb="17">
      <t>イジョウ</t>
    </rPh>
    <rPh sb="17" eb="19">
      <t>ハイチ</t>
    </rPh>
    <phoneticPr fontId="6"/>
  </si>
  <si>
    <t>マスターインストラクターによる教育が実施されているが、全部署には教育・認定がされていない。</t>
    <rPh sb="15" eb="17">
      <t>キョウイク</t>
    </rPh>
    <rPh sb="18" eb="20">
      <t>ジッシ</t>
    </rPh>
    <rPh sb="27" eb="30">
      <t>ゼンブショ</t>
    </rPh>
    <rPh sb="32" eb="34">
      <t>キョウイク</t>
    </rPh>
    <rPh sb="35" eb="37">
      <t>ニンテイ</t>
    </rPh>
    <phoneticPr fontId="6"/>
  </si>
  <si>
    <t>各部署のマネージャー全員がマスターインストラクター教育を受講しており、認定されている。</t>
    <rPh sb="0" eb="3">
      <t>カクブショ</t>
    </rPh>
    <rPh sb="10" eb="12">
      <t>ゼンイン</t>
    </rPh>
    <rPh sb="25" eb="27">
      <t>キョウイク</t>
    </rPh>
    <rPh sb="28" eb="30">
      <t>ジュコウ</t>
    </rPh>
    <rPh sb="35" eb="37">
      <t>ニンテイ</t>
    </rPh>
    <phoneticPr fontId="6"/>
  </si>
  <si>
    <t>* CMSE® – Certified Machinery Safety Expert (TÜV NORD &amp; Pilz, Germany)</t>
  </si>
  <si>
    <t>* JIS B 9700:2013 Safety of machinery — General principles for design — Risk assessment and risk reduction"</t>
  </si>
  <si>
    <t>* ISO 12100:2010 – Safety of Machinery: General Principles for Design, Risk Assessment and Risk Reduction</t>
  </si>
  <si>
    <t>* CE Machinery Directive Competence (EU)</t>
  </si>
  <si>
    <t>* IEC 62061:2021 – Functional Safety of Machinery</t>
  </si>
  <si>
    <t>文書管理</t>
    <rPh sb="0" eb="2">
      <t>ブンショ</t>
    </rPh>
    <rPh sb="2" eb="4">
      <t>カンリ</t>
    </rPh>
    <phoneticPr fontId="9"/>
  </si>
  <si>
    <t>回答者は、最新の政府が発行した安全要求を提示できる。</t>
    <phoneticPr fontId="9"/>
  </si>
  <si>
    <t>管理者は、必須の安全文書とそうでないものをリストで提示できる。</t>
    <phoneticPr fontId="9"/>
  </si>
  <si>
    <t>全ての安全衛生に関する事業所の標準は管理者がいる。また、3人の回答者は、割り当てられた安全文書がどのように最新版管理されているか説明できる。</t>
  </si>
  <si>
    <t>安全衛生に関する文書・記録の一覧表は定期的に見直されて最新版管理されている。（不要な重複の廃棄・文書管理者の更新・表示形式の統一）</t>
  </si>
  <si>
    <t>他事業所/業界の文書管理に関する好事例を入手し、自拠点へ落とし込みしていることを確認できる。または、他事業所と比較した結果がある。</t>
  </si>
  <si>
    <t>不足している文書がないかの確認、（あれば）入手するための実施計画が記録で確認できる。</t>
    <phoneticPr fontId="9"/>
  </si>
  <si>
    <t>安全衛生に関する文書・記録の管理一覧表があり、管理者によって確認・承認されている。</t>
  </si>
  <si>
    <t>変更管理</t>
    <rPh sb="0" eb="4">
      <t>ヘンコウカンリ</t>
    </rPh>
    <phoneticPr fontId="9"/>
  </si>
  <si>
    <t>変更の起案者、審議者、承認者が任命されている。また、それぞれの役割・責任が定義されている。</t>
  </si>
  <si>
    <t>変更の起案者・審議者・承認者は、変更管理(4M変更）の教育を受けている。また、その記録がある。</t>
  </si>
  <si>
    <t>回答者は、起案された変更がどのように審議されるか説明できる。また、事業所の安全ルール・作業標準が提案内容と共に分析されている。
３つの変更事例で、安全に関する審議と承認が確認できる。</t>
    <phoneticPr fontId="9"/>
  </si>
  <si>
    <t>RAは、変更管理手順の一部となっており、変更に伴う潜在的なリスク分析を行うことがRAおよび変更記録から確認できる。</t>
    <phoneticPr fontId="9"/>
  </si>
  <si>
    <t>過去6か月の変更管理要求の50%のサンプルチェックにおいて、類似の変更時に他事業所で顕在化した危険源・リスク、他事業所のベストプラクティスが含まれている。</t>
  </si>
  <si>
    <t>変更管理が規定された手順があり、法令確認のステップが含まれている。</t>
  </si>
  <si>
    <t>変更管理手順において、実行された未然防止の管理を提示できる。</t>
  </si>
  <si>
    <t>マネジメントコミットメント</t>
    <phoneticPr fontId="9"/>
  </si>
  <si>
    <t>少なくとも3人の技能員は、危険源や（改善の）機会を報告時に、叱責・報復が無い、またはそれを禁止するルールがある と回答した。</t>
    <phoneticPr fontId="9"/>
  </si>
  <si>
    <t>回答者は、自身に関係する安全の目標、どのような貢献がなされるか、説明できる。【主任】</t>
    <rPh sb="0" eb="2">
      <t>カイトウ</t>
    </rPh>
    <rPh sb="2" eb="3">
      <t>シャ</t>
    </rPh>
    <rPh sb="5" eb="7">
      <t>ジシン</t>
    </rPh>
    <rPh sb="8" eb="10">
      <t>カンケイ</t>
    </rPh>
    <rPh sb="12" eb="14">
      <t>アンゼン</t>
    </rPh>
    <rPh sb="15" eb="17">
      <t>モクヒョウ</t>
    </rPh>
    <rPh sb="23" eb="25">
      <t>コウケン</t>
    </rPh>
    <rPh sb="32" eb="34">
      <t>セツメイ</t>
    </rPh>
    <rPh sb="39" eb="41">
      <t>シュニン</t>
    </rPh>
    <phoneticPr fontId="11"/>
  </si>
  <si>
    <t>他事業所の変更管理に関する好事例を入手し、自拠点へ落とし込みしていることを確認できる。または、他事業所と比較した結果がある。</t>
  </si>
  <si>
    <t>緊急事態計画</t>
    <rPh sb="0" eb="4">
      <t>キンキュウジタイ</t>
    </rPh>
    <rPh sb="4" eb="6">
      <t>ケイカク</t>
    </rPh>
    <phoneticPr fontId="9"/>
  </si>
  <si>
    <t>自工場の緊急時対応手順の安全に関わるものは、安全機能により法令順守が確認されている。</t>
  </si>
  <si>
    <t>過去1年間、緊急事態訓練の記録がある、また訓練のレビューが完了している。</t>
  </si>
  <si>
    <t>複数のシナリオが策定されている。</t>
    <rPh sb="0" eb="2">
      <t>フクスウ</t>
    </rPh>
    <rPh sb="8" eb="10">
      <t>サクテイ</t>
    </rPh>
    <phoneticPr fontId="11"/>
  </si>
  <si>
    <t>合理的に予見可能な緊急事態が特定され、訓練もそれに基づいて全てのシフトで実施されている。また、緊急事態対応手順が文書化されているか。</t>
  </si>
  <si>
    <t>回答者は、緊急事態の対応手順について、他工場の好事例を取り入れたり工夫していることを示すことができる。または、他事業所と比較した結果がある。</t>
  </si>
  <si>
    <t>緊急時の対応者に期待されること、緊急時の役割に関し、文書化されている。</t>
    <rPh sb="0" eb="3">
      <t>キンキュウジ</t>
    </rPh>
    <rPh sb="4" eb="6">
      <t>タイオウ</t>
    </rPh>
    <rPh sb="6" eb="7">
      <t>シャ</t>
    </rPh>
    <rPh sb="8" eb="10">
      <t>キタイ</t>
    </rPh>
    <rPh sb="16" eb="19">
      <t>キンキュウジ</t>
    </rPh>
    <rPh sb="20" eb="22">
      <t>ヤクワリ</t>
    </rPh>
    <rPh sb="23" eb="24">
      <t>カン</t>
    </rPh>
    <rPh sb="26" eb="29">
      <t>ブンショカ</t>
    </rPh>
    <phoneticPr fontId="11"/>
  </si>
  <si>
    <t>緊急時対応手順は、直近の訓練レビューに基づき、更新されている。</t>
  </si>
  <si>
    <t>緊急時対応計画は、対応者が従うべき明確なルールおよびガイダンスを含んでいる。</t>
    <rPh sb="0" eb="3">
      <t>キンキュウジ</t>
    </rPh>
    <rPh sb="3" eb="5">
      <t>タイオウ</t>
    </rPh>
    <rPh sb="5" eb="7">
      <t>ケイカク</t>
    </rPh>
    <rPh sb="9" eb="11">
      <t>タイオウ</t>
    </rPh>
    <rPh sb="11" eb="12">
      <t>シャ</t>
    </rPh>
    <rPh sb="13" eb="14">
      <t>シタガ</t>
    </rPh>
    <rPh sb="17" eb="19">
      <t>メイカク</t>
    </rPh>
    <rPh sb="32" eb="33">
      <t>フク</t>
    </rPh>
    <phoneticPr fontId="11"/>
  </si>
  <si>
    <t>コミュニケーション</t>
    <phoneticPr fontId="9"/>
  </si>
  <si>
    <t>安全担当課長が、工場内で安全に関するコミュニケーションを行っているか確認する（法的要求事項、4M変更、標準改訂等）。</t>
    <phoneticPr fontId="9"/>
  </si>
  <si>
    <t>入社時の安全関連の教育において、災害発生状況、重大リスクおよびその低減方法が含まれているかどうか確認する。</t>
    <phoneticPr fontId="9"/>
  </si>
  <si>
    <t>技能員は、安全関連の課題（災害・ヒヤリ・不具合など）を発見した際に、だれに報告すべきかを知っているか確認する。</t>
    <phoneticPr fontId="9"/>
  </si>
  <si>
    <t>技能員は、災害・ヒヤリ・不具合を管理者に報告した後、管理者からその対応について報告を受けているかどうか確認する。</t>
    <phoneticPr fontId="9"/>
  </si>
  <si>
    <t>技能員が、安全に関する改善活動を行う際は、自身/自部署だけでなく、小集団・CFTで行っているかどうか確認する。</t>
    <phoneticPr fontId="9"/>
  </si>
  <si>
    <t>安全に関する標準は、有効性が評価され、必要に応じて改善されているかどうか確認する。
（安全に関する標準が協議/審議・及び審議意見が反映されているかどうか）</t>
    <phoneticPr fontId="9"/>
  </si>
  <si>
    <t>■Legend</t>
    <phoneticPr fontId="9"/>
  </si>
  <si>
    <t>評価するポイント</t>
    <rPh sb="0" eb="2">
      <t>ヒョウカ</t>
    </rPh>
    <phoneticPr fontId="6"/>
  </si>
  <si>
    <t>評価項目</t>
    <rPh sb="0" eb="2">
      <t>ヒョウカ</t>
    </rPh>
    <rPh sb="2" eb="4">
      <t>コウモク</t>
    </rPh>
    <phoneticPr fontId="6"/>
  </si>
  <si>
    <t>Point</t>
    <phoneticPr fontId="6"/>
  </si>
  <si>
    <t>Criteria</t>
    <phoneticPr fontId="9"/>
  </si>
  <si>
    <t>・課題解決のスピードとレベル
・深層・真因の深堀、しくみ構築と運用</t>
    <phoneticPr fontId="6"/>
  </si>
  <si>
    <t>災害対応、類災対策</t>
    <rPh sb="0" eb="2">
      <t>サイガイ</t>
    </rPh>
    <rPh sb="2" eb="4">
      <t>タイオウ</t>
    </rPh>
    <rPh sb="5" eb="7">
      <t>ルイサイ</t>
    </rPh>
    <rPh sb="7" eb="9">
      <t>タイサク</t>
    </rPh>
    <phoneticPr fontId="9"/>
  </si>
  <si>
    <t>・Cpk　COPQ分析での基盤強化
・VC・階層を俯瞰した品質経営担保</t>
    <phoneticPr fontId="6"/>
  </si>
  <si>
    <t>マネジメントシステム運用</t>
    <rPh sb="10" eb="12">
      <t>ウンヨウ</t>
    </rPh>
    <phoneticPr fontId="9"/>
  </si>
  <si>
    <t>・品質経営知識と意識、活動定着</t>
    <phoneticPr fontId="6"/>
  </si>
  <si>
    <t>規定項目の自律的実行</t>
    <rPh sb="0" eb="2">
      <t>キテイ</t>
    </rPh>
    <rPh sb="2" eb="4">
      <t>コウモク</t>
    </rPh>
    <rPh sb="5" eb="8">
      <t>ジリツテキ</t>
    </rPh>
    <rPh sb="8" eb="10">
      <t>ジッコウ</t>
    </rPh>
    <phoneticPr fontId="9"/>
  </si>
  <si>
    <t>マネジメントシステムの
自律的実行
※マネジメントシステムを
基盤とした
スパイラルアップ活動</t>
    <phoneticPr fontId="6"/>
  </si>
  <si>
    <t>・品質経営活動に供する組織とリソース</t>
    <phoneticPr fontId="6"/>
  </si>
  <si>
    <t>工場の管理体制</t>
    <rPh sb="0" eb="2">
      <t>コウジョウ</t>
    </rPh>
    <rPh sb="3" eb="5">
      <t>カンリ</t>
    </rPh>
    <rPh sb="5" eb="7">
      <t>タイセイ</t>
    </rPh>
    <phoneticPr fontId="9"/>
  </si>
  <si>
    <t>There's working standard but no mention necessary safety key point or no review/revise working std. as determined period of plant's std. 
(mgr.)</t>
  </si>
  <si>
    <t>There's working standard with cover all necessary safety key point and it's review/revise periodically as plant std. 
(mgr.)</t>
  </si>
  <si>
    <t>・課題解決のスピードとレベル
・深層・真因の深堀、しくみ構築と運用</t>
    <phoneticPr fontId="9"/>
  </si>
  <si>
    <t>・品質経営不具合の兆候管理
・探索・発信情報の管理分析力</t>
    <phoneticPr fontId="9"/>
  </si>
  <si>
    <t>RA
(兆候管理からの
改善)</t>
    <phoneticPr fontId="9"/>
  </si>
  <si>
    <t>Autonomous KY</t>
    <phoneticPr fontId="6"/>
  </si>
  <si>
    <t>(Memo) Reason of judgement</t>
    <phoneticPr fontId="6"/>
  </si>
  <si>
    <t>・品質経営不具合の兆候管理
・探索・発信情報の管理分析力</t>
    <phoneticPr fontId="6"/>
  </si>
  <si>
    <t>Independent implementation of BSFA</t>
    <phoneticPr fontId="6"/>
  </si>
  <si>
    <t>Legend</t>
  </si>
  <si>
    <t>: Items from Safety Maturity Assessment</t>
  </si>
  <si>
    <t>: Items that is newly added for solidification assessment</t>
  </si>
  <si>
    <t>合計中項目：</t>
    <rPh sb="0" eb="2">
      <t>ゴウケイ</t>
    </rPh>
    <rPh sb="2" eb="3">
      <t>チュウ</t>
    </rPh>
    <rPh sb="3" eb="5">
      <t>コウモク</t>
    </rPh>
    <phoneticPr fontId="9"/>
  </si>
  <si>
    <t>合計設問数：</t>
    <rPh sb="0" eb="2">
      <t>ゴウケイ</t>
    </rPh>
    <rPh sb="2" eb="5">
      <t>セツモンスウ</t>
    </rPh>
    <phoneticPr fontId="9"/>
  </si>
  <si>
    <t>Judgement Criteria</t>
  </si>
  <si>
    <t>・各項目ごとの最低点を取る Pick the lowest score from each items</t>
    <rPh sb="1" eb="4">
      <t>カクコウモク</t>
    </rPh>
    <rPh sb="7" eb="10">
      <t>サイテイテン</t>
    </rPh>
    <rPh sb="11" eb="12">
      <t>ト</t>
    </rPh>
    <phoneticPr fontId="9"/>
  </si>
  <si>
    <t xml:space="preserve">・各項目は、直近1年間の取り組み状況から判断する Time scope is one year from evaluating </t>
    <rPh sb="1" eb="4">
      <t>カクコウモク</t>
    </rPh>
    <rPh sb="6" eb="8">
      <t>チョッキン</t>
    </rPh>
    <rPh sb="9" eb="10">
      <t>ネン</t>
    </rPh>
    <rPh sb="10" eb="11">
      <t>カン</t>
    </rPh>
    <rPh sb="12" eb="13">
      <t>ト</t>
    </rPh>
    <rPh sb="14" eb="15">
      <t>ク</t>
    </rPh>
    <rPh sb="16" eb="18">
      <t>ジョウキョウ</t>
    </rPh>
    <rPh sb="20" eb="22">
      <t>ハンダン</t>
    </rPh>
    <phoneticPr fontId="9"/>
  </si>
  <si>
    <t xml:space="preserve">・技能員を対象とした設問は、原則として各係・工程から1名以上選出して評価する。  Questions for operators, need to have interview at least one person from production department. </t>
    <rPh sb="1" eb="4">
      <t>ギノウイン</t>
    </rPh>
    <rPh sb="5" eb="7">
      <t>タイショウ</t>
    </rPh>
    <rPh sb="10" eb="12">
      <t>セツモン</t>
    </rPh>
    <rPh sb="14" eb="16">
      <t>ゲンソク</t>
    </rPh>
    <rPh sb="19" eb="20">
      <t>カク</t>
    </rPh>
    <rPh sb="20" eb="21">
      <t>カカリ</t>
    </rPh>
    <rPh sb="22" eb="24">
      <t>コウテイ</t>
    </rPh>
    <rPh sb="27" eb="28">
      <t>メイ</t>
    </rPh>
    <rPh sb="28" eb="30">
      <t>イジョウ</t>
    </rPh>
    <rPh sb="30" eb="32">
      <t>センシュツ</t>
    </rPh>
    <rPh sb="34" eb="36">
      <t>ヒョウカ</t>
    </rPh>
    <phoneticPr fontId="6"/>
  </si>
  <si>
    <t>・計画対比の進捗状況について評価する設問は、評価実施時点での計画対比実施状況を見て判断する In case of question that is asking its progress, that should be evaluated at the day of evaluation.</t>
    <rPh sb="1" eb="3">
      <t>ケイカク</t>
    </rPh>
    <rPh sb="3" eb="5">
      <t>タイヒ</t>
    </rPh>
    <rPh sb="6" eb="8">
      <t>シンチョク</t>
    </rPh>
    <rPh sb="8" eb="10">
      <t>ジョウキョウ</t>
    </rPh>
    <rPh sb="14" eb="16">
      <t>ヒョウカ</t>
    </rPh>
    <rPh sb="18" eb="20">
      <t>セツモン</t>
    </rPh>
    <rPh sb="22" eb="24">
      <t>ヒョウカ</t>
    </rPh>
    <rPh sb="24" eb="26">
      <t>ジッシ</t>
    </rPh>
    <rPh sb="26" eb="28">
      <t>ジテン</t>
    </rPh>
    <rPh sb="30" eb="34">
      <t>ケイカクタイヒ</t>
    </rPh>
    <rPh sb="34" eb="38">
      <t>ジッシジョウキョウ</t>
    </rPh>
    <rPh sb="39" eb="40">
      <t>ミ</t>
    </rPh>
    <rPh sb="41" eb="43">
      <t>ハンダン</t>
    </rPh>
    <phoneticPr fontId="6"/>
  </si>
  <si>
    <t>Safety/
DP</t>
  </si>
  <si>
    <t>Secondary Category</t>
  </si>
  <si>
    <t>Current Issues Disposition</t>
  </si>
  <si>
    <t>Potential Risk Prevention</t>
  </si>
  <si>
    <t>Proactive Prevention</t>
  </si>
  <si>
    <t>Independent Quality Management</t>
  </si>
  <si>
    <t>安全/
防災</t>
    <rPh sb="0" eb="2">
      <t>アンゼン</t>
    </rPh>
    <rPh sb="4" eb="6">
      <t>ボウサイ</t>
    </rPh>
    <phoneticPr fontId="6"/>
  </si>
  <si>
    <t>判定記入</t>
    <rPh sb="0" eb="2">
      <t>ハンテイ</t>
    </rPh>
    <rPh sb="2" eb="4">
      <t>キニュウ</t>
    </rPh>
    <phoneticPr fontId="6"/>
  </si>
  <si>
    <t>スコア</t>
    <phoneticPr fontId="6"/>
  </si>
  <si>
    <t>評価</t>
    <rPh sb="0" eb="2">
      <t>ヒョウカ</t>
    </rPh>
    <phoneticPr fontId="6"/>
  </si>
  <si>
    <t>3軸分類</t>
    <rPh sb="1" eb="2">
      <t>ジク</t>
    </rPh>
    <rPh sb="2" eb="4">
      <t>ブンルイ</t>
    </rPh>
    <phoneticPr fontId="6"/>
  </si>
  <si>
    <t>Judge</t>
  </si>
  <si>
    <t>C</t>
  </si>
  <si>
    <t>B-</t>
  </si>
  <si>
    <t>B</t>
  </si>
  <si>
    <t>B+</t>
  </si>
  <si>
    <t>A</t>
  </si>
  <si>
    <t>DP</t>
  </si>
  <si>
    <t>Information Sharing</t>
    <phoneticPr fontId="6"/>
  </si>
  <si>
    <t>All teammates stated that, at least, safety manager and site leadership representative (e.g. plant manager, department manager, line manager) was involved in the root cause analysis process when a serious incident(fire incidents, etc.) occurred.
(Leadership: Operator: No.5)</t>
  </si>
  <si>
    <r>
      <t xml:space="preserve">All teammates can state that they are informed of recent D.P. related incidents (fire, near-miss, etc.) in their areas and actions have been taken to address these.
</t>
    </r>
    <r>
      <rPr>
        <sz val="11"/>
        <color rgb="FFFF0000"/>
        <rFont val="Yu Gothic UI"/>
        <family val="3"/>
        <charset val="128"/>
      </rPr>
      <t>*If there has been no DP incident since the start of employment, we will confirm DP incidents that have occurred at your site in the past</t>
    </r>
    <r>
      <rPr>
        <sz val="11"/>
        <color theme="1"/>
        <rFont val="Yu Gothic UI"/>
        <family val="3"/>
        <charset val="128"/>
      </rPr>
      <t>.
(Teammate Engagement: Operator: No.7)</t>
    </r>
  </si>
  <si>
    <r>
      <t xml:space="preserve">All teammates say that they are well informed and can explain how the information communicated contributes to secure their fire prevention.  
(System: Operator: No.64)
*information: fire, smoke, near-miss, etc.
</t>
    </r>
    <r>
      <rPr>
        <sz val="11"/>
        <color rgb="FFFF0000"/>
        <rFont val="Yu Gothic UI"/>
        <family val="3"/>
        <charset val="128"/>
      </rPr>
      <t>*If there has been no DP incident since the start of employment, we will confirm DP incidents that have occurred at your site in the past.</t>
    </r>
  </si>
  <si>
    <t>Teammates can provide examples of fire accidents which occurred on other facilities and how that information was obtained. 
(System: Operator: No.110)</t>
  </si>
  <si>
    <r>
      <t xml:space="preserve">DP risks/measures of </t>
    </r>
    <r>
      <rPr>
        <sz val="11"/>
        <color rgb="FFFF0000"/>
        <rFont val="Yu Gothic UI"/>
        <family val="3"/>
        <charset val="128"/>
      </rPr>
      <t>other site</t>
    </r>
    <r>
      <rPr>
        <sz val="11"/>
        <color theme="1"/>
        <rFont val="Yu Gothic UI"/>
        <family val="3"/>
        <charset val="128"/>
      </rPr>
      <t xml:space="preserve"> or other departments have been shared at the safety meeting in</t>
    </r>
    <r>
      <rPr>
        <sz val="11"/>
        <color rgb="FFFF0000"/>
        <rFont val="Yu Gothic UI"/>
        <family val="3"/>
        <charset val="128"/>
      </rPr>
      <t xml:space="preserve"> </t>
    </r>
    <r>
      <rPr>
        <sz val="11"/>
        <color theme="1"/>
        <rFont val="Yu Gothic UI"/>
        <family val="3"/>
        <charset val="128"/>
      </rPr>
      <t>your department.
(Teammate Engagement: Operator: No.17)</t>
    </r>
  </si>
  <si>
    <t>防災</t>
    <rPh sb="0" eb="2">
      <t>ボウサイ</t>
    </rPh>
    <phoneticPr fontId="6"/>
  </si>
  <si>
    <t>ガバナンス</t>
    <phoneticPr fontId="6"/>
  </si>
  <si>
    <t>Recurrence
Prevention</t>
    <phoneticPr fontId="6"/>
  </si>
  <si>
    <t>There is evidence that actions have been taken to prevent recurring incidents. And SVs can explain it.
(System: Safety Manager: No.30)
 *ask SVs</t>
  </si>
  <si>
    <r>
      <t xml:space="preserve">A sample of 3 teammates, at least 1 (more than 33%) said they take part in the actions required to prevent DP accidents and provide feedback if these actions are not appropriate or useful. 
</t>
    </r>
    <r>
      <rPr>
        <sz val="11"/>
        <color rgb="FFFF0000"/>
        <rFont val="Yu Gothic UI"/>
        <family val="3"/>
        <charset val="128"/>
      </rPr>
      <t>*If there has been no DP incident since the start of employment, a sample of 3 teammates, at least 1 (more than 33%) commented on the need for improvement based on the problems and defects of DP.</t>
    </r>
    <r>
      <rPr>
        <sz val="11"/>
        <color theme="1"/>
        <rFont val="Yu Gothic UI"/>
        <family val="3"/>
        <charset val="128"/>
      </rPr>
      <t xml:space="preserve">
(Teammate Engagement: Operator: No.6)</t>
    </r>
  </si>
  <si>
    <r>
      <t>SVs can explain what actions are required for recurrence prevention when occurring a DP accident.(</t>
    </r>
    <r>
      <rPr>
        <sz val="11"/>
        <color rgb="FFFF0000"/>
        <rFont val="Yu Gothic UI"/>
        <family val="3"/>
        <charset val="128"/>
      </rPr>
      <t>SV can explain that measures are taken in terms of prevention, detection, and protection from the analysis.) In addition, SVs can explain how to prevent recurrence of accidents that occurred in their own processes.</t>
    </r>
    <r>
      <rPr>
        <sz val="11"/>
        <color theme="1"/>
        <rFont val="Yu Gothic UI"/>
        <family val="3"/>
        <charset val="128"/>
      </rPr>
      <t xml:space="preserve">
(System: Safety Manager: No.86)
 *Ask SVs</t>
    </r>
  </si>
  <si>
    <t>All teammates stated that management had taken specific actions to address hazards they reported, and these actions have been communicated to them. (DP point of view)
(Organization: Operator: No.16)</t>
  </si>
  <si>
    <r>
      <t xml:space="preserve">SVs can explain how such reviews are completed and why that method(s) is effective by 4M change exmples and so on, providing feedback to SBU and assisting in determining countermeasures. (Example: Share more valid safety measures than measures proposed by GBS/SBU)
</t>
    </r>
    <r>
      <rPr>
        <sz val="11"/>
        <color rgb="FFFF0000"/>
        <rFont val="Yu Gothic UI"/>
        <family val="3"/>
        <charset val="128"/>
      </rPr>
      <t>*Subject to the countermeasures from DP incident, Near miss and defect information raised by operator.</t>
    </r>
    <r>
      <rPr>
        <sz val="11"/>
        <color theme="1"/>
        <rFont val="Yu Gothic UI"/>
        <family val="3"/>
        <charset val="128"/>
      </rPr>
      <t xml:space="preserve">
(System: Safety Manager: No.140)
 *Ask SVs Manager: No.140)
 *Ask SVs</t>
    </r>
  </si>
  <si>
    <t>リスク</t>
    <phoneticPr fontId="6"/>
  </si>
  <si>
    <t>Fire 
Reporting</t>
    <phoneticPr fontId="6"/>
  </si>
  <si>
    <t>Issuing fire report with SBU's support.
(DP Manager)</t>
  </si>
  <si>
    <t>Fire report is issued by plant, but there was a delay in the due date in the guideline.
(DP Manager)</t>
  </si>
  <si>
    <t>Fire report is issued by plant, within the due date that is standardized in the guideline. 
And root cause analysis and its countermeasure has been completed and these report is issued within the due date as the guideline.
(DP Manager)</t>
  </si>
  <si>
    <t>Fire report is issued by plant, within the due date that is standardized in the guideline. 
And root cause analysis and its countermeasure has been completed and these report is issued within the due date as the guideline.
Also, the countermeasure has been expanded to similar machines/tasks. After the countermeasure is completed, the report to SBU has been issued. 
(DP Manager)</t>
  </si>
  <si>
    <r>
      <t>Past countermeasures have been re-checked its implementation status periodically. (</t>
    </r>
    <r>
      <rPr>
        <sz val="11"/>
        <color rgb="FFFF0000"/>
        <rFont val="Yu Gothic UI"/>
        <family val="3"/>
        <charset val="128"/>
      </rPr>
      <t>Subject to DP incidents that have occurred in the past at site or their workplace.)</t>
    </r>
    <r>
      <rPr>
        <sz val="11"/>
        <color theme="1"/>
        <rFont val="Yu Gothic UI"/>
        <family val="3"/>
        <charset val="128"/>
      </rPr>
      <t xml:space="preserve">
 *At least, need to check its progress within 1 year.
(Safety Manager)
 *Also ask SVs</t>
    </r>
  </si>
  <si>
    <t>There is no plan for countermeasures from outside of plant.
 *"Countermeasure" in this part means that is issued from BSJ7310
(DP Manager)</t>
  </si>
  <si>
    <t>There is a plan for countermeasure, but there is a delay in the plan. 
 *No corrective plan for delay.
(DP Manager)</t>
  </si>
  <si>
    <t>There is a plan for countermeasure, and it is on-going to the plan, but not yet completed.
Or, there is a delay but corrective plan has been made for it, and it is on-going.
(DP Manager)</t>
  </si>
  <si>
    <t>There is a plan for countermeasure, and progressing ahead of the plan, but not yet completed.
(DP Manager)</t>
  </si>
  <si>
    <t>All countermeasures have been completed.
(DP Manager)</t>
  </si>
  <si>
    <t>Fire RA
Progress</t>
    <phoneticPr fontId="6"/>
  </si>
  <si>
    <r>
      <t xml:space="preserve">There is a plan for </t>
    </r>
    <r>
      <rPr>
        <sz val="11"/>
        <color rgb="FFFF0000"/>
        <rFont val="Yu Gothic UI"/>
        <family val="3"/>
        <charset val="128"/>
      </rPr>
      <t>BSJP Tire ver. fire prevention RA</t>
    </r>
    <r>
      <rPr>
        <sz val="11"/>
        <color theme="1"/>
        <rFont val="Yu Gothic UI"/>
        <family val="3"/>
        <charset val="128"/>
      </rPr>
      <t>.
(DP Manager)</t>
    </r>
  </si>
  <si>
    <r>
      <t xml:space="preserve">There is a plan for </t>
    </r>
    <r>
      <rPr>
        <sz val="11"/>
        <color rgb="FFFF0000"/>
        <rFont val="Yu Gothic UI"/>
        <family val="3"/>
        <charset val="128"/>
      </rPr>
      <t>BSJP Tire ver. fire prevention RA</t>
    </r>
    <r>
      <rPr>
        <sz val="11"/>
        <color rgb="FF00B050"/>
        <rFont val="Yu Gothic UI"/>
        <family val="3"/>
        <charset val="128"/>
      </rPr>
      <t>,</t>
    </r>
    <r>
      <rPr>
        <sz val="11"/>
        <color theme="1"/>
        <rFont val="Yu Gothic UI"/>
        <family val="3"/>
        <charset val="128"/>
      </rPr>
      <t xml:space="preserve"> but there is a delay in the plan. 
 *No corrective plan for the delay.
(DP Manager)</t>
    </r>
  </si>
  <si>
    <r>
      <t xml:space="preserve">There is a plan for </t>
    </r>
    <r>
      <rPr>
        <sz val="11"/>
        <color rgb="FFFF0000"/>
        <rFont val="Yu Gothic UI"/>
        <family val="3"/>
        <charset val="128"/>
      </rPr>
      <t>BSJP Tire ver. fire prevention RA</t>
    </r>
    <r>
      <rPr>
        <sz val="11"/>
        <color theme="1"/>
        <rFont val="Yu Gothic UI"/>
        <family val="3"/>
        <charset val="128"/>
      </rPr>
      <t>, and it is on-going to the plan.
Or, there is a delay but corrective plan has been made for it, and it is on-going.
Or, all Fire RA have been completed.</t>
    </r>
    <r>
      <rPr>
        <sz val="11"/>
        <color rgb="FFFF0000"/>
        <rFont val="Yu Gothic UI"/>
        <family val="3"/>
        <charset val="128"/>
      </rPr>
      <t xml:space="preserve">
*Confirm the contents of the assessment sheet.</t>
    </r>
    <r>
      <rPr>
        <sz val="11"/>
        <color theme="1"/>
        <rFont val="Yu Gothic UI"/>
        <family val="3"/>
        <charset val="128"/>
      </rPr>
      <t xml:space="preserve">
(DP Manager)</t>
    </r>
  </si>
  <si>
    <r>
      <t xml:space="preserve">The result of </t>
    </r>
    <r>
      <rPr>
        <sz val="11"/>
        <color rgb="FFFF0000"/>
        <rFont val="Yu Gothic UI"/>
        <family val="3"/>
        <charset val="128"/>
      </rPr>
      <t>BSJP Tire ver. fire prevention RA</t>
    </r>
    <r>
      <rPr>
        <sz val="11"/>
        <color theme="1"/>
        <rFont val="Yu Gothic UI"/>
        <family val="3"/>
        <charset val="128"/>
      </rPr>
      <t xml:space="preserve"> have been shared in the plant. 
 *</t>
    </r>
    <r>
      <rPr>
        <sz val="11"/>
        <color rgb="FFFF0000"/>
        <rFont val="Yu Gothic UI"/>
        <family val="3"/>
        <charset val="128"/>
      </rPr>
      <t xml:space="preserve">Operators are informed of </t>
    </r>
    <r>
      <rPr>
        <sz val="11"/>
        <color theme="1"/>
        <rFont val="Yu Gothic UI"/>
        <family val="3"/>
        <charset val="128"/>
      </rPr>
      <t xml:space="preserve">risk and countermeasure for gross risk III/IV. </t>
    </r>
    <r>
      <rPr>
        <sz val="11"/>
        <color rgb="FFFF0000"/>
        <rFont val="Yu Gothic UI"/>
        <family val="3"/>
        <charset val="128"/>
      </rPr>
      <t>If there is no Risk III/IV, they are informed that there is none.
 *If BSJP Tire ver. fire prevention RA is being assessed, the deployment status of IMD ver. Fire RA is confirmed.</t>
    </r>
    <r>
      <rPr>
        <sz val="11"/>
        <color theme="1"/>
        <rFont val="Yu Gothic UI"/>
        <family val="3"/>
        <charset val="128"/>
      </rPr>
      <t xml:space="preserve">
(DP Manager)
 *Ask SVs</t>
    </r>
  </si>
  <si>
    <r>
      <t xml:space="preserve">The result of </t>
    </r>
    <r>
      <rPr>
        <sz val="11"/>
        <color rgb="FFFF0000"/>
        <rFont val="Yu Gothic UI"/>
        <family val="3"/>
        <charset val="128"/>
      </rPr>
      <t>BSJP Tire ver. fire prevention RA</t>
    </r>
    <r>
      <rPr>
        <sz val="11"/>
        <color theme="1"/>
        <rFont val="Yu Gothic UI"/>
        <family val="3"/>
        <charset val="128"/>
      </rPr>
      <t xml:space="preserve"> have been shared in the plant, and all teammates have been understood.
 </t>
    </r>
    <r>
      <rPr>
        <sz val="11"/>
        <color rgb="FFFF0000"/>
        <rFont val="Yu Gothic UI"/>
        <family val="3"/>
        <charset val="128"/>
      </rPr>
      <t xml:space="preserve">*Operators are informed of </t>
    </r>
    <r>
      <rPr>
        <sz val="11"/>
        <rFont val="Yu Gothic UI"/>
        <family val="3"/>
        <charset val="128"/>
      </rPr>
      <t>risk and countermeasure for gross risk III/IV</t>
    </r>
    <r>
      <rPr>
        <sz val="11"/>
        <color rgb="FF00B050"/>
        <rFont val="Yu Gothic UI"/>
        <family val="3"/>
        <charset val="128"/>
      </rPr>
      <t xml:space="preserve">. </t>
    </r>
    <r>
      <rPr>
        <sz val="11"/>
        <color rgb="FFFF0000"/>
        <rFont val="Yu Gothic UI"/>
        <family val="3"/>
        <charset val="128"/>
      </rPr>
      <t>If there is no risk III/IV, operators understand the high risk area in their plant or process in Risk I/II.
 *If BSJP Tire ver. fire prevention RA is being assessed, the deployment status of IMD ver. Fire RA is confirmed.</t>
    </r>
    <r>
      <rPr>
        <sz val="11"/>
        <color rgb="FF00B050"/>
        <rFont val="Yu Gothic UI"/>
        <family val="3"/>
        <charset val="128"/>
      </rPr>
      <t xml:space="preserve">
</t>
    </r>
    <r>
      <rPr>
        <sz val="11"/>
        <color theme="1"/>
        <rFont val="Yu Gothic UI"/>
        <family val="3"/>
        <charset val="128"/>
      </rPr>
      <t>(Operators)</t>
    </r>
  </si>
  <si>
    <t>Fire RA</t>
    <phoneticPr fontId="6"/>
  </si>
  <si>
    <t>There is no countermeasure plan for the detected risks by Fire RA.
(DP Manager)</t>
  </si>
  <si>
    <t>There is a plan for countermeasures for the fire risk, but there is a delay in the plan. 
 *No corrective plan for the delay.
(DP Manager)</t>
  </si>
  <si>
    <t>There is a plan for countermeasures for the fire risk, and it is on-going to the plan.
Or, there is a delay but corrective plan has been made for it, and it is on-going.
(DP Manager)</t>
  </si>
  <si>
    <t>There is a plan for countermeasures for the fire risk, and progressing ahead of the plan, but not yet completed.
(DP Manager)</t>
    <phoneticPr fontId="6"/>
  </si>
  <si>
    <t>All countermeasures for  fire risk III and IV have been completed. Or, there is no fire risk III and IV. 
(DP Manager)</t>
  </si>
  <si>
    <t>DP
Inspection</t>
    <phoneticPr fontId="6"/>
  </si>
  <si>
    <r>
      <rPr>
        <sz val="11"/>
        <color rgb="FFFF0000"/>
        <rFont val="Yu Gothic UI"/>
        <family val="3"/>
        <charset val="128"/>
      </rPr>
      <t>Inspection items (based on legal requirements) are determined at plant and there is a plan for inspection.</t>
    </r>
    <r>
      <rPr>
        <sz val="11"/>
        <rFont val="Yu Gothic UI"/>
        <family val="3"/>
        <charset val="128"/>
      </rPr>
      <t xml:space="preserve">
(DP Manager)</t>
    </r>
  </si>
  <si>
    <r>
      <rPr>
        <sz val="11"/>
        <color rgb="FFFF0000"/>
        <rFont val="Yu Gothic UI"/>
        <family val="3"/>
        <charset val="128"/>
      </rPr>
      <t>Inspection items (based on legal requirements) are determined at plant and there is a plan for inspection,</t>
    </r>
    <r>
      <rPr>
        <sz val="11"/>
        <color rgb="FF00B050"/>
        <rFont val="Yu Gothic UI"/>
        <family val="3"/>
        <charset val="128"/>
      </rPr>
      <t xml:space="preserve"> </t>
    </r>
    <r>
      <rPr>
        <sz val="11"/>
        <rFont val="Yu Gothic UI"/>
        <family val="3"/>
        <charset val="128"/>
      </rPr>
      <t>but there is a delay in the plan. 
 *No corrective plan for the delay.
(DP Manager)</t>
    </r>
  </si>
  <si>
    <r>
      <rPr>
        <sz val="11"/>
        <color rgb="FFFF0000"/>
        <rFont val="Yu Gothic UI"/>
        <family val="3"/>
        <charset val="128"/>
      </rPr>
      <t>Inspection items (based on legal requirements) are determined at site and there is a plan for inspection. It is on-going to the plan. There is evidence that inspections were conducted as planned.</t>
    </r>
    <r>
      <rPr>
        <sz val="11"/>
        <color theme="1"/>
        <rFont val="Yu Gothic UI"/>
        <family val="3"/>
        <charset val="128"/>
      </rPr>
      <t xml:space="preserve">
Or, there is a delay but corrective plan has been made for it, and it is on-going.
(DP Manager)</t>
    </r>
    <phoneticPr fontId="6"/>
  </si>
  <si>
    <r>
      <rPr>
        <sz val="11"/>
        <color rgb="FFFF0000"/>
        <rFont val="Yu Gothic UI"/>
        <family val="3"/>
        <charset val="128"/>
      </rPr>
      <t>The inspection defects have been shared in the plant through meetings, etc.</t>
    </r>
    <r>
      <rPr>
        <sz val="11"/>
        <color theme="1"/>
        <rFont val="Yu Gothic UI"/>
        <family val="3"/>
        <charset val="128"/>
      </rPr>
      <t xml:space="preserve">
(DP Manager)</t>
    </r>
  </si>
  <si>
    <r>
      <rPr>
        <sz val="11"/>
        <color rgb="FFFF0000"/>
        <rFont val="Yu Gothic UI"/>
        <family val="3"/>
        <charset val="128"/>
      </rPr>
      <t>There are cases that inspection items (including standards and procedures) were reviewed based on the inspection results.</t>
    </r>
    <r>
      <rPr>
        <sz val="11"/>
        <color theme="1"/>
        <rFont val="Yu Gothic UI"/>
        <family val="3"/>
        <charset val="128"/>
      </rPr>
      <t xml:space="preserve">
(DP Manager)</t>
    </r>
  </si>
  <si>
    <t>Electrical Wiring Inspection</t>
    <phoneticPr fontId="6"/>
  </si>
  <si>
    <t>Inspection to find defect wiring has not been comducted by 7 seven visual check points.
Or, there is no plan to conduct it.
(including such as; outlet, plug, over capacity, tangled cords, electric drum)
(DP manager)</t>
  </si>
  <si>
    <t>Inspection has been conducted, there is a plan for it, but there is a delay in the plant.
Also, defects have been countered immediately.
 *Need to validate at least one in GENBA. 
(DP manager)</t>
  </si>
  <si>
    <r>
      <t>There is a plan for countermeasure from defect wiring insepection, and it is on-going to the plan.
Or, there is a delay but corrective plan has been made for it, and it is on-going.</t>
    </r>
    <r>
      <rPr>
        <sz val="11"/>
        <color rgb="FFFF0000"/>
        <rFont val="Yu Gothic UI"/>
        <family val="3"/>
        <charset val="128"/>
      </rPr>
      <t xml:space="preserve">
*Confirm inspection record of electrical wiring</t>
    </r>
    <r>
      <rPr>
        <sz val="11"/>
        <color theme="1"/>
        <rFont val="Yu Gothic UI"/>
        <family val="3"/>
        <charset val="128"/>
      </rPr>
      <t xml:space="preserve">
(DP Manager)</t>
    </r>
  </si>
  <si>
    <t>There is a plan for countermeasure from defect wiring insepection, and progressing ahead of the plan, but not yet completed.
(DP manager)</t>
  </si>
  <si>
    <r>
      <t xml:space="preserve">Based on the result of electrical wiring inspection, there is no defect that should be countered. (All countermeasures has been completed </t>
    </r>
    <r>
      <rPr>
        <sz val="11"/>
        <color rgb="FFFF0000"/>
        <rFont val="Yu Gothic UI"/>
        <family val="3"/>
        <charset val="128"/>
      </rPr>
      <t>and the defects are not detected.)</t>
    </r>
    <r>
      <rPr>
        <sz val="11"/>
        <color theme="1"/>
        <rFont val="Yu Gothic UI"/>
        <family val="3"/>
        <charset val="128"/>
      </rPr>
      <t xml:space="preserve">
(DP manager)
 *At least one GENBA should be validated.</t>
    </r>
  </si>
  <si>
    <t>Noise patrol</t>
    <phoneticPr fontId="6"/>
  </si>
  <si>
    <t>Noise patrol has not been comducted, or, there is no plan to conduct it.
(DP manager)</t>
  </si>
  <si>
    <t>Noise patrol has been conducted, there is a plan for it, but there is a delay in the plan.
 *Need to validate at least one case in GENBA.
(DP manager)</t>
  </si>
  <si>
    <t>There is a plan for countermeasure from noise insepection, and it is on-going to the plan.
Or, there is a delay but corrective plan has been made for it, and it is on-going.
Or, all Fire RA have been completed.
(DP Manager)</t>
  </si>
  <si>
    <t>There is a plan for countermeasure from noise insepection, and progressing ahead of the plan, but not yet completed.
(DP manager)</t>
  </si>
  <si>
    <r>
      <t xml:space="preserve">Based on the result of noise patrol, there is no defect that should be countered. (All countermeasures has been completed </t>
    </r>
    <r>
      <rPr>
        <sz val="11"/>
        <color rgb="FFFF0000"/>
        <rFont val="Yu Gothic UI"/>
        <family val="3"/>
        <charset val="128"/>
      </rPr>
      <t>and the defects are not detected.)</t>
    </r>
    <r>
      <rPr>
        <sz val="11"/>
        <color theme="1"/>
        <rFont val="Yu Gothic UI"/>
        <family val="3"/>
        <charset val="128"/>
      </rPr>
      <t xml:space="preserve">
(DP manager)
 *At least one GENBA should be validated.</t>
    </r>
  </si>
  <si>
    <t>Business Strategy Adjustment</t>
  </si>
  <si>
    <t>DP policy/target has not been issued.
(DP Manager)</t>
  </si>
  <si>
    <t>Management can describe and explain the site's OH&amp;S objectives and goals.
(System: Manager: No.66)
 *Ask Manager (not safety)</t>
  </si>
  <si>
    <t>The plan contains goals to be achieved which are relevant to the incidents and risks identified by the SBU.
(System: Manager: No.98)
 *Ask Manager (not safety)</t>
    <phoneticPr fontId="6"/>
  </si>
  <si>
    <t>There is evidence of OH&amp;S benchmarking with other sites.
(System: DP Manager: No.123)</t>
  </si>
  <si>
    <t>DP KPIs are tracked at plant, department and line level.
To solve issues on DP, site leadership follow DP KPIs, and give directions to review the DP program if necessary.
(Leadership: Plant Manager: No.6)
 *Ask Manager (not safety)</t>
  </si>
  <si>
    <t>DP KPIs are tracked positively at plant, department and line level - using "Leading indicators"(e.g. Completion rate of training, result of inspection, etc.)
Site leadership follow not only lagging indicator(e.g. # of fires), but also leading indicators, and give directions to review and/or improve DP programs if necessary.
(Leadership: Plant Manager: No.14)
 *Ask Manager (not safety)</t>
  </si>
  <si>
    <t>The Plant Manager can describe his/her DP strategy and its goals, and how it will be implemented and the goals achieved.
And, the strategy has been reviewed quarterly - its progress, validity. Also, revision/instruction for the strategy result have been implemented by plant manager.
(Leadership: Plant manager: No.21)
 *Ask Manager (not safety)</t>
  </si>
  <si>
    <t>Internal audit has not been conducted.
(DP Manager)</t>
  </si>
  <si>
    <t>Internal audit has been conducted, but its result have not been shared in plant.
(DP Manager)</t>
  </si>
  <si>
    <t>Internal audit has been conducted, and its result have been shared in plant including managers.
(DP Manager)</t>
  </si>
  <si>
    <t>Based on the result of internal audit, making a plan for KAIZEN, and it is implemented as a plan.
(DP Manager)</t>
  </si>
  <si>
    <t>There is no non-conformity (Major/Minor) in QM audit.
(DP Manager)</t>
  </si>
  <si>
    <t>3S
*DP perspective
(for flammable/combastible material storage)</t>
    <phoneticPr fontId="6"/>
  </si>
  <si>
    <r>
      <t xml:space="preserve">3S Documents are displayed in flammable/combastible material storage, </t>
    </r>
    <r>
      <rPr>
        <sz val="11"/>
        <color rgb="FFFF0000"/>
        <rFont val="Yu Gothic UI"/>
        <family val="3"/>
        <charset val="128"/>
      </rPr>
      <t>chemical storage and paint strage</t>
    </r>
    <r>
      <rPr>
        <sz val="11"/>
        <color theme="1"/>
        <rFont val="Yu Gothic UI"/>
        <family val="3"/>
        <charset val="128"/>
      </rPr>
      <t>, and there is evidence of this being followed.
And, self-check has been implemented.
(System: Operator: No.19)</t>
    </r>
  </si>
  <si>
    <r>
      <t xml:space="preserve">There is an officially appointed 3S leader on site. There is evidence of 3S inspections and recommended actions to improve 3S.
</t>
    </r>
    <r>
      <rPr>
        <sz val="11"/>
        <color rgb="FFFF0000"/>
        <rFont val="Yu Gothic UI"/>
        <family val="3"/>
        <charset val="128"/>
      </rPr>
      <t xml:space="preserve">*3S promotion organization for own process is clear. The group members and group leader are appointed. </t>
    </r>
    <r>
      <rPr>
        <sz val="11"/>
        <color theme="1"/>
        <rFont val="Yu Gothic UI"/>
        <family val="3"/>
        <charset val="128"/>
      </rPr>
      <t xml:space="preserve">
(System: Safety Manager: No.44+45)
　*Ask SVs</t>
    </r>
  </si>
  <si>
    <t>The 3S Visual Standard was prepared and all inspected work areas were cleaned (no debris on floor, no spillages) as defined in the 3S visual standard, and there were no unnecessary objects that were not currently in use in the work area.
  *work area: production area and office
(System: Operator: No.75)</t>
  </si>
  <si>
    <t>3S activity for the improvement of 3S level has been  proceeded. (or Improvement of 3S level can be confirmed, or 3s level is over 4.)
(System: Operator: No.105)</t>
  </si>
  <si>
    <t>The best practices on 3S have been gathered from other plants/industry, and it has been incorporated into the site procedure. or There is a evidence of the comparison with other plants.
(System: DP Manager: No.133)</t>
  </si>
  <si>
    <t>KYT/
Practical KYT
*DP point of view</t>
    <phoneticPr fontId="6"/>
  </si>
  <si>
    <t>KYT has not been implemented.
(Safety Manager)
　*Ask SVs</t>
  </si>
  <si>
    <t>There is evidence of a defined KY process that been communicated with all staff at least once in the past year.
(System: Manager: No.26)
　*Ask SVs</t>
  </si>
  <si>
    <t>There is an officially appointed KY leader and KY representatives on site.
(System: Manager: No.55)
　*Ask SVs</t>
  </si>
  <si>
    <t>KYT records show that all teammates and temporary staff have submitted a KYT within the last 3 months.
KYT records indicate that KYT is completed periodically in accordance with SBU and/or site standard by everyone on site. 
(System: Safety Manager: No.83+112)
　*Ask SVs</t>
  </si>
  <si>
    <r>
      <t xml:space="preserve">The KYT activity is evaluated and opportunity for improvement is discussed with the plant manager annually. 
</t>
    </r>
    <r>
      <rPr>
        <sz val="11"/>
        <color rgb="FFFF0000"/>
        <rFont val="Yu Gothic UI"/>
        <family val="3"/>
        <charset val="128"/>
      </rPr>
      <t>*SVs can indicate improvements for next year's activities based on comments and advice from plant manager.</t>
    </r>
    <r>
      <rPr>
        <sz val="11"/>
        <color theme="1"/>
        <rFont val="Yu Gothic UI"/>
        <family val="3"/>
        <charset val="128"/>
      </rPr>
      <t xml:space="preserve">
(System: Safety Manager: No.113)
　*Ask SVs</t>
    </r>
  </si>
  <si>
    <t>順守推進</t>
    <rPh sb="0" eb="4">
      <t>ジュンシュスイシン</t>
    </rPh>
    <phoneticPr fontId="6"/>
  </si>
  <si>
    <t>Autonomous
KY
*DP point of view</t>
    <phoneticPr fontId="6"/>
  </si>
  <si>
    <t>Autonomously KY has not been conducted.
(SVs)</t>
  </si>
  <si>
    <t>Autonomously KY has been conducted but it is conducted by group. (not individual)
(Operator)</t>
    <phoneticPr fontId="6"/>
  </si>
  <si>
    <t>All teammates conduct autonomously KY everyday, decide KY point and its action to avoid.
(need to check evidence)
(Operator)</t>
  </si>
  <si>
    <t>SVs or leaders conduct GENBA patrol to confirm autonomously KY result, and instruct teammates if needed.
(Operator)</t>
  </si>
  <si>
    <t>Visualized the reslut of autonomously KY (making a map), promoted KAIZEN activity besed on the result.
Operators can explain an example of KAIZEN activity that is based on autononously KY.
 *update safety rule, machinery update, etc.
 *if the site has the system to manage bottom up KAIZEN cycle as from KY activity, this item could be judged "Yes"
(Operator)</t>
  </si>
  <si>
    <t>Common Fire Prevention Rule</t>
    <phoneticPr fontId="6"/>
  </si>
  <si>
    <t>All teammates have not been received training of Common Fire Prevention Rule.
(SVs)</t>
  </si>
  <si>
    <t>All teammates have been received the training once a year.
(Operator)</t>
  </si>
  <si>
    <r>
      <t>All teammates understand Common Fire Prevention Rule, and can explain what is the point of it in SOP to prevent fire.</t>
    </r>
    <r>
      <rPr>
        <sz val="11"/>
        <color rgb="FFFF0000"/>
        <rFont val="Yu Gothic UI"/>
        <family val="3"/>
        <charset val="128"/>
      </rPr>
      <t>(At least 2 items)</t>
    </r>
    <r>
      <rPr>
        <sz val="11"/>
        <color rgb="FF00B050"/>
        <rFont val="Yu Gothic UI"/>
        <family val="3"/>
        <charset val="128"/>
      </rPr>
      <t xml:space="preserve">
</t>
    </r>
    <r>
      <rPr>
        <sz val="11"/>
        <color theme="1"/>
        <rFont val="Yu Gothic UI"/>
        <family val="3"/>
        <charset val="128"/>
      </rPr>
      <t xml:space="preserve">
(Operator)</t>
    </r>
  </si>
  <si>
    <r>
      <t>Managers and SVs check GENBA by patrol or something to make teammates follow Common Fire Prevention Rule. And, give teammates feedback to operators.</t>
    </r>
    <r>
      <rPr>
        <sz val="11"/>
        <color rgb="FFFF0000"/>
        <rFont val="Yu Gothic UI"/>
        <family val="3"/>
        <charset val="128"/>
      </rPr>
      <t xml:space="preserve">
*Confirmation of records indicating that checks and feedback have been conducted.</t>
    </r>
    <r>
      <rPr>
        <sz val="11"/>
        <color rgb="FF00B050"/>
        <rFont val="Yu Gothic UI"/>
        <family val="3"/>
        <charset val="128"/>
      </rPr>
      <t xml:space="preserve">
</t>
    </r>
    <r>
      <rPr>
        <sz val="11"/>
        <color theme="1"/>
        <rFont val="Yu Gothic UI"/>
        <family val="3"/>
        <charset val="128"/>
      </rPr>
      <t>(SVs)</t>
    </r>
  </si>
  <si>
    <t>All teammates can explain an example of KAIZEN activity from DP point of view.
 *For example;
   - Update SOP to follow the DP rule.
   - Hardware update to follow the DP rule.
(Operator)</t>
  </si>
  <si>
    <t>順守推進</t>
    <rPh sb="0" eb="2">
      <t>ジュンシュ</t>
    </rPh>
    <rPh sb="2" eb="4">
      <t>スイシン</t>
    </rPh>
    <phoneticPr fontId="6"/>
  </si>
  <si>
    <t>Fire Fighting</t>
    <phoneticPr fontId="6"/>
  </si>
  <si>
    <t>Fire extinguisher trainings have  not been given.
【Disaster prevention department】
※In case that fire extinguisher training is given, the judgement is "Yes".
In case that fire extinguisher training is not given, the judgement is "No".</t>
  </si>
  <si>
    <r>
      <t xml:space="preserve">Fire extinguisher training has been given only to limited (not all) employees in facility. 
</t>
    </r>
    <r>
      <rPr>
        <sz val="11"/>
        <color rgb="FFFF0000"/>
        <rFont val="Yu Gothic UI"/>
        <family val="3"/>
        <charset val="128"/>
      </rPr>
      <t>Water spraying drill have been given only to limited (not all) self -firefighting members in facility.</t>
    </r>
    <r>
      <rPr>
        <sz val="11"/>
        <rFont val="Yu Gothic UI"/>
        <family val="3"/>
        <charset val="128"/>
      </rPr>
      <t xml:space="preserve">
【Disaster prevention department】</t>
    </r>
  </si>
  <si>
    <r>
      <t>Fire extinguisher training and education are given to all employees in facility once or more every year.</t>
    </r>
    <r>
      <rPr>
        <sz val="11"/>
        <color rgb="FFFF0000"/>
        <rFont val="Yu Gothic UI"/>
        <family val="3"/>
        <charset val="128"/>
      </rPr>
      <t xml:space="preserve"> And Water spraying drill are given to all employees appointed as self-firefighting members in facility once or more every year.</t>
    </r>
    <r>
      <rPr>
        <sz val="11"/>
        <color theme="1"/>
        <rFont val="Yu Gothic UI"/>
        <family val="3"/>
        <charset val="128"/>
      </rPr>
      <t xml:space="preserve">
【Disaster prevention department】</t>
    </r>
  </si>
  <si>
    <r>
      <rPr>
        <sz val="11"/>
        <color rgb="FFFF0000"/>
        <rFont val="Yu Gothic UI"/>
        <family val="3"/>
        <charset val="128"/>
      </rPr>
      <t>Water spraying drill and education are also given to employees who are not self-firefighting members in facility once or more every year.</t>
    </r>
    <r>
      <rPr>
        <sz val="11"/>
        <color theme="1"/>
        <rFont val="Yu Gothic UI"/>
        <family val="3"/>
        <charset val="128"/>
      </rPr>
      <t xml:space="preserve">
【Disaster prevention department】</t>
    </r>
  </si>
  <si>
    <t>The site plan and carry out practical training for irregular situation such as fire at night, electric power outage, fire in holiday, sudden fire.
【Disaster prevention department】</t>
  </si>
  <si>
    <t>Hot Work</t>
    <phoneticPr fontId="6"/>
  </si>
  <si>
    <t>There is no standard for hot work or hot work equipment is used without advance application, advance check*, assignment of fire watcher or checking residual fire after work. (If any one of them has defect, the judgement is "No".)
*Check presence of combustibles/flammable materials, preparation of fire extinguisher/water in bucket, prevention of spread of sparks, etc.
【Disaster prevention department】</t>
  </si>
  <si>
    <t>There are standards for hot work and hot work equipment is used with advance application. However there is defect in advance check, assignment of fire watcher, checking residual fire after work, or 3S etc.
【Disaster prevention department】</t>
  </si>
  <si>
    <t>Hot work is controlled in accordance with the standards.
※Check min. 1 site of construction area, periodic repair area or designated hot work area. 
【Disaster prevention department】</t>
  </si>
  <si>
    <t>Hot work at designated hot work area is controlled in accordance with the standards. 3S is conducted as 3S visual standards (MAP, position, number of things, cleaning level etc.) or 3S level is assessed as point 4 or more.
※Check min. 1 internal production site.
【supervisor】</t>
  </si>
  <si>
    <t>Hot work at designated hot work area is controlled in accordance with the standards. 3S is conducted as 3S visual standards and best practices of other sites/industries are used for thier own improvement. (Or 3S level is assessed as point 5.)
※Confirm the improvement at min. 1 internal production site.
【supervisor】</t>
  </si>
  <si>
    <t>Inspection/
clean-up of mobile equipment</t>
    <phoneticPr fontId="6"/>
  </si>
  <si>
    <t>Mobile equipment are not inspected/cleaned regularly. Or the inspection is carried out but there is no plan to solve the problems.
(SVs)</t>
  </si>
  <si>
    <r>
      <t xml:space="preserve">The inspection is carried out and measures to solve the problems are planned, but the plan is delayed. Using the equipment that have a ploblem is prohibited.
</t>
    </r>
    <r>
      <rPr>
        <sz val="11"/>
        <color rgb="FFFF0000"/>
        <rFont val="Yu Gothic UI"/>
        <family val="3"/>
        <charset val="128"/>
      </rPr>
      <t>*The daily inspection includes an item to check the socket part not only on the forklift side but also on the charger side.</t>
    </r>
    <r>
      <rPr>
        <sz val="11"/>
        <color theme="1"/>
        <rFont val="Yu Gothic UI"/>
        <family val="3"/>
        <charset val="128"/>
      </rPr>
      <t xml:space="preserve">
(SVs)</t>
    </r>
  </si>
  <si>
    <t>There is the plan to solve the problems and the measures are conducted as planed. If there is a problem with mobile equipment, using it is prohibited.
If the plan is delayed with adequate reason, it is reviewed and the measures are conducted according to the reviewed plan. (The measure is on-going.)
3S is conducted as the 3S standards.
(SVs)</t>
  </si>
  <si>
    <r>
      <t xml:space="preserve">When the problems are found, they are prohibited to use immediately, or the plan of the measure is developed and moved forward.
</t>
    </r>
    <r>
      <rPr>
        <sz val="11"/>
        <color rgb="FFFF0000"/>
        <rFont val="Yu Gothic UI"/>
        <family val="3"/>
        <charset val="128"/>
      </rPr>
      <t>*If the measure is conducted on the same day, it will be judged as the same as the move forward.</t>
    </r>
    <r>
      <rPr>
        <sz val="11"/>
        <color rgb="FF00B050"/>
        <rFont val="Yu Gothic UI"/>
        <family val="3"/>
        <charset val="128"/>
      </rPr>
      <t xml:space="preserve">
</t>
    </r>
    <r>
      <rPr>
        <sz val="11"/>
        <color theme="1"/>
        <rFont val="Yu Gothic UI"/>
        <family val="3"/>
        <charset val="128"/>
      </rPr>
      <t>(SVs)</t>
    </r>
  </si>
  <si>
    <t>There is no problem or all problems have already been solved.
(SVs)</t>
  </si>
  <si>
    <t>Compliance of standards and inspection for gasoline cement houses and Warehouse storing flammable materials</t>
    <phoneticPr fontId="6"/>
  </si>
  <si>
    <r>
      <t xml:space="preserve">Gasoline cement houses and flammable material storages are not inspected regularly. Or the inspection is carried out but there is no plan to solve the problems.
The standards of lock-up, pass system or controls* are not complied. (If any one of them has defect, the judgement is "No".)
*Control of required number, prevention of accumulation/spread, control of flammable gas/humidity/static electricity, strict prohibition of fire etc. </t>
    </r>
    <r>
      <rPr>
        <sz val="11"/>
        <color rgb="FFFF0000"/>
        <rFont val="Yu Gothic UI"/>
        <family val="3"/>
        <charset val="128"/>
      </rPr>
      <t xml:space="preserve">
Example: Gasoline, toluene, alcohol, diesel oil, and other liquids with a flash point of less than 60°C</t>
    </r>
    <r>
      <rPr>
        <sz val="11"/>
        <color theme="1"/>
        <rFont val="Yu Gothic UI"/>
        <family val="3"/>
        <charset val="128"/>
      </rPr>
      <t xml:space="preserve">
(DP Manager)</t>
    </r>
    <phoneticPr fontId="6"/>
  </si>
  <si>
    <t>The inspection is carried out and measures to solve the problems are planned, but the plan is delayed.
The standards of lock-up, pass system or controls are complied.
※The plan is not reviewed to catch up.
※Check min. 1 site where the inspection was carried out. 
(DP Manager)</t>
  </si>
  <si>
    <t>There is the plan to solve the problems and the measures are conducted as planed.
If the plan is delayed with adequate reason, it is reviewed and the measures are conducted according to the reviewed plan. (The measure is on-going.)
The standards of lock-up, pass system and controls are complied.
(DP Manager)</t>
  </si>
  <si>
    <t xml:space="preserve">When the problems are found, they are solved immediately. If it is temporary measure, permanent measure is planned and the plan is moved forward .
The standards of lock-up, pass system and controls are complied.
【Disaster prevention department】
</t>
  </si>
  <si>
    <r>
      <t xml:space="preserve">There is no problem or all problems have already been solved </t>
    </r>
    <r>
      <rPr>
        <sz val="11"/>
        <color rgb="FFFF0000"/>
        <rFont val="Yu Gothic UI"/>
        <family val="3"/>
        <charset val="128"/>
      </rPr>
      <t>and the defects are not detected.</t>
    </r>
    <r>
      <rPr>
        <sz val="11"/>
        <color theme="1"/>
        <rFont val="Yu Gothic UI"/>
        <family val="3"/>
        <charset val="128"/>
      </rPr>
      <t xml:space="preserve">
The standards of lock-up, pass system and controls are complied.
※Confirm min. 1 example of the completed measures on-site.
【Disaster prevention department】</t>
    </r>
  </si>
  <si>
    <t>Control of specified combustibles 
handling areas</t>
    <phoneticPr fontId="6"/>
  </si>
  <si>
    <r>
      <t>Specified combustibles handling areas are not inspected regularly. Or the inspection is carried out but there is no plan to solve the problems.
There is no 3S visual standard (MAP, position, number of things, cleaning level etc.) or 3S is not conducted as the 3S standards. (If any one of them has defect, the judgement is "No".)</t>
    </r>
    <r>
      <rPr>
        <sz val="11"/>
        <color rgb="FFFF0000"/>
        <rFont val="Yu Gothic UI"/>
        <family val="3"/>
        <charset val="128"/>
      </rPr>
      <t xml:space="preserve">
Example: Combustible cutting oil and Machine oil storage, and waste materials storage</t>
    </r>
    <r>
      <rPr>
        <sz val="11"/>
        <color theme="1"/>
        <rFont val="Yu Gothic UI"/>
        <family val="3"/>
        <charset val="128"/>
      </rPr>
      <t xml:space="preserve">
(DP Manager)</t>
    </r>
    <phoneticPr fontId="6"/>
  </si>
  <si>
    <t>The inspection is carried out and measures to solve the problems are planned, but the plan is delayed.
3S is conducted as the 3S standards.
※The plan is not reviewed to catch up.
※Check min. 1 site where the inspection was carried out.
(DP Manager)</t>
  </si>
  <si>
    <t>There is the plan to solve the problems and the measures are conducted as planed.
If the plan is delayed with adequate reason, it is reviewed and the measures are conducted according to the reviewed plan. (The measure is on-going.)
3S is conducted as the 3S standards.
(DP Manager)</t>
  </si>
  <si>
    <t>When the problems are found, they are solved immediately or the plan of the measure is developed and moved forward.
3S is conducted as the 3S standards.
(DP Manager)</t>
  </si>
  <si>
    <r>
      <t xml:space="preserve">There is no problem or all problems have already been solved </t>
    </r>
    <r>
      <rPr>
        <sz val="11"/>
        <color rgb="FFFF0000"/>
        <rFont val="Yu Gothic UI"/>
        <family val="3"/>
        <charset val="128"/>
      </rPr>
      <t>and the defects are not detected.</t>
    </r>
    <r>
      <rPr>
        <sz val="11"/>
        <color theme="1"/>
        <rFont val="Yu Gothic UI"/>
        <family val="3"/>
        <charset val="128"/>
      </rPr>
      <t xml:space="preserve">
3S is conducted as the 3S standards.
※Confirm min. 1 example of the completed measures on-site.
(DP Manager)</t>
    </r>
  </si>
  <si>
    <t xml:space="preserve">Inspection of unattended areas </t>
    <phoneticPr fontId="6"/>
  </si>
  <si>
    <t>Unattended areas are not inspected regularly. Or the inspection is carried out but there is no plan to solve the problems.
Firefighting equipment (fire alarms, fire-extinguishing equipment) at unattended areas has defect. (If any one of them has defect, the judgement is "No".)
※Confirm where is designated as unattended areas in the site. 
(DP Manager)</t>
  </si>
  <si>
    <t>The inspection is carried out and measures to solve the problems are planned, but the plan is delayed.
Firefighting equipment at unattended areas has no defect.
※The plan is not reviewed to catch up.
※Check min. 1 site where the inspection was carried out.
(DP Manager)</t>
  </si>
  <si>
    <t>There is the plan to solve the problems and the measures are conducted as planed.
If the plan is delayed with adequate reason, it is reviewed and the measures are conducted according to the reviewed plan. (The measure is on-going.)
Firefighting equipment at unattended areas has no defect.
(DP Manager)</t>
  </si>
  <si>
    <t xml:space="preserve">When the problems are found, the plan of the measure is developed and moved forward. (The measure is in-going.)
Firefighting equipment at unattended areas has no defect.
(DP Manager)
</t>
  </si>
  <si>
    <r>
      <t xml:space="preserve">There is no problem or all problems have already been solved </t>
    </r>
    <r>
      <rPr>
        <sz val="11"/>
        <color rgb="FFFF0000"/>
        <rFont val="Yu Gothic UI"/>
        <family val="3"/>
        <charset val="128"/>
      </rPr>
      <t>and the defects are not detected.</t>
    </r>
    <r>
      <rPr>
        <sz val="11"/>
        <color theme="1"/>
        <rFont val="Yu Gothic UI"/>
        <family val="3"/>
        <charset val="128"/>
      </rPr>
      <t xml:space="preserve">
※Check min. 1 example of the completed measures on-site.
(DP Manager)</t>
    </r>
  </si>
  <si>
    <t>Carbon MUST items 
Selfcheck</t>
    <phoneticPr fontId="6"/>
  </si>
  <si>
    <t>Carbon MUST items have been self-checked based on annual plan. And, there is a plan for detected non-conformity items in the selfcheck.
(SVs)</t>
    <phoneticPr fontId="9"/>
  </si>
  <si>
    <t>There is plans for the selfcheck and countermeasure, but there in a delay in the plan. 
 *there is no corrective action for the delay.
(SVs)</t>
    <phoneticPr fontId="9"/>
  </si>
  <si>
    <t>There is a plan for countermeasure from the selfcheck, and it is on-going to the plan.
Or, there is a delay but corrective plan has been made for it, and it is on-going.
(SVs)</t>
    <phoneticPr fontId="9"/>
  </si>
  <si>
    <t>There is a plan for countermeasure from the selfcheck, and progressing ahead of the plan, but not yet completed.
(SVs)</t>
    <phoneticPr fontId="9"/>
  </si>
  <si>
    <t>Self-check has been completed as a plan, and  there is no defect or all findings have beem solved.
 *At least one GENBA validation required
(SVs)</t>
    <phoneticPr fontId="9"/>
  </si>
  <si>
    <t>Carbon MUST items 
Training</t>
    <phoneticPr fontId="6"/>
  </si>
  <si>
    <r>
      <t>カーボンMUSTにかかわる従業員にカーボンMUSTの教育を実施している。
【</t>
    </r>
    <r>
      <rPr>
        <sz val="11"/>
        <color rgb="FF0000CC"/>
        <rFont val="Yu Gothic UI"/>
        <family val="3"/>
        <charset val="128"/>
      </rPr>
      <t>職長</t>
    </r>
    <r>
      <rPr>
        <sz val="11"/>
        <rFont val="Yu Gothic UI"/>
        <family val="3"/>
        <charset val="128"/>
      </rPr>
      <t>】
※教育を実施している場合は”YES”
　　　　　　していない場合は”No”で評価</t>
    </r>
    <rPh sb="26" eb="28">
      <t>キョウイク</t>
    </rPh>
    <rPh sb="29" eb="31">
      <t>ジッシ</t>
    </rPh>
    <rPh sb="38" eb="40">
      <t>ショクチョウ</t>
    </rPh>
    <rPh sb="43" eb="45">
      <t>キョウイク</t>
    </rPh>
    <rPh sb="46" eb="48">
      <t>ジッシ</t>
    </rPh>
    <rPh sb="52" eb="54">
      <t>バアイ</t>
    </rPh>
    <rPh sb="72" eb="74">
      <t>バアイ</t>
    </rPh>
    <rPh sb="80" eb="82">
      <t>ヒョウカ</t>
    </rPh>
    <phoneticPr fontId="9"/>
  </si>
  <si>
    <t>カーボンMUSTにかかわる従業員に年1回以上、教育を100％実施している（新人教育を含む）_x000B_【技能員】</t>
    <rPh sb="13" eb="16">
      <t>ジュウギョウイン</t>
    </rPh>
    <rPh sb="17" eb="18">
      <t>ネン</t>
    </rPh>
    <rPh sb="19" eb="22">
      <t>カイイジョウ</t>
    </rPh>
    <rPh sb="23" eb="25">
      <t>キョウイク</t>
    </rPh>
    <rPh sb="30" eb="32">
      <t>ジッシ</t>
    </rPh>
    <rPh sb="37" eb="39">
      <t>シンジン</t>
    </rPh>
    <rPh sb="39" eb="41">
      <t>キョウイク</t>
    </rPh>
    <rPh sb="42" eb="43">
      <t>フク</t>
    </rPh>
    <rPh sb="47" eb="50">
      <t>ギノウイン</t>
    </rPh>
    <phoneticPr fontId="9"/>
  </si>
  <si>
    <t>カーボンMUSTにかかわる従業員が、カーボンMUSTを理解し、作業標準内でのカーボンMUSTに関するポイントを説明することができる。_x000B_【技能員】</t>
    <rPh sb="13" eb="16">
      <t>ジュウギョウイン</t>
    </rPh>
    <rPh sb="27" eb="29">
      <t>リカイ</t>
    </rPh>
    <rPh sb="31" eb="33">
      <t>サギョウ</t>
    </rPh>
    <rPh sb="33" eb="35">
      <t>ヒョウジュン</t>
    </rPh>
    <rPh sb="35" eb="36">
      <t>ナイ</t>
    </rPh>
    <rPh sb="47" eb="48">
      <t>カン</t>
    </rPh>
    <rPh sb="55" eb="57">
      <t>セツメイ</t>
    </rPh>
    <rPh sb="68" eb="71">
      <t>ギノウイン</t>
    </rPh>
    <phoneticPr fontId="9"/>
  </si>
  <si>
    <t>カーボンMUSTルールに関するポイントが順守されるように、製造課長・主任・職長は巡回等の現場確認を行い、技能員へ巡回結果のフィードバックを行っている。 _x000B_【職長】</t>
    <rPh sb="12" eb="13">
      <t>カン</t>
    </rPh>
    <rPh sb="20" eb="22">
      <t>ジュンシュ</t>
    </rPh>
    <rPh sb="29" eb="31">
      <t>セイゾウ</t>
    </rPh>
    <rPh sb="31" eb="33">
      <t>カチョウ</t>
    </rPh>
    <rPh sb="34" eb="36">
      <t>シュニン</t>
    </rPh>
    <rPh sb="37" eb="39">
      <t>ショクチョウ</t>
    </rPh>
    <rPh sb="40" eb="42">
      <t>ジュンカイ</t>
    </rPh>
    <rPh sb="42" eb="43">
      <t>トウ</t>
    </rPh>
    <rPh sb="44" eb="46">
      <t>ゲンバ</t>
    </rPh>
    <rPh sb="46" eb="48">
      <t>カクニン</t>
    </rPh>
    <rPh sb="49" eb="50">
      <t>オコナ</t>
    </rPh>
    <rPh sb="52" eb="55">
      <t>ギノウイン</t>
    </rPh>
    <rPh sb="56" eb="58">
      <t>ジュンカイ</t>
    </rPh>
    <rPh sb="58" eb="60">
      <t>ケッカ</t>
    </rPh>
    <rPh sb="69" eb="70">
      <t>オコナ</t>
    </rPh>
    <rPh sb="78" eb="80">
      <t>ショクチョウ</t>
    </rPh>
    <phoneticPr fontId="9"/>
  </si>
  <si>
    <t>カーボンMUSTにかかわる従業員が、自分の提案で、カーボンMUSTに関連する改善を行った事例を、少なくとも1つ示すことができる。_x000B_【技能員】</t>
    <rPh sb="13" eb="16">
      <t>ジュウギョウイン</t>
    </rPh>
    <rPh sb="18" eb="20">
      <t>ジブン</t>
    </rPh>
    <rPh sb="21" eb="23">
      <t>テイアン</t>
    </rPh>
    <rPh sb="34" eb="36">
      <t>カンレン</t>
    </rPh>
    <rPh sb="38" eb="40">
      <t>カイゼン</t>
    </rPh>
    <rPh sb="41" eb="42">
      <t>オコナ</t>
    </rPh>
    <rPh sb="44" eb="46">
      <t>ジレイ</t>
    </rPh>
    <rPh sb="48" eb="49">
      <t>スク</t>
    </rPh>
    <rPh sb="55" eb="56">
      <t>シメ</t>
    </rPh>
    <rPh sb="66" eb="69">
      <t>ギノウイン</t>
    </rPh>
    <phoneticPr fontId="9"/>
  </si>
  <si>
    <t>DP Organization</t>
    <phoneticPr fontId="6"/>
  </si>
  <si>
    <t>There is a EHS manager.
(DP manager)</t>
    <phoneticPr fontId="6"/>
  </si>
  <si>
    <t>There is a EHS manager but he/she has multiple role.
(DP manager)</t>
    <phoneticPr fontId="6"/>
  </si>
  <si>
    <t>Safety/DP Manager's role is exclusive duty in plant. (Safety/DP Manager is managing only safety and DP, and no any other jobs are assigned.)
And, a safety staff is asigned in plant.
(DP Manager)</t>
    <phoneticPr fontId="6"/>
  </si>
  <si>
    <t>Safety/DP Manager's role is exclusive duty in plant. (Safety/DP Manager is managing only safety and DP, and no any other jobs are assigned.)
And, a safety staff's role also exclusive duty.
(DP Manager)</t>
    <phoneticPr fontId="6"/>
  </si>
  <si>
    <t>Safety/DP Manager's role is exclusive duty in plant. (Safety/DP Manager is managing only safety and DP, and no any other jobs are assigned.)
And, his/her experiece is more than three years.
(DP Manager)</t>
    <phoneticPr fontId="6"/>
  </si>
  <si>
    <t>DP</t>
    <phoneticPr fontId="6"/>
  </si>
  <si>
    <t>Legal lisence</t>
    <phoneticPr fontId="6"/>
  </si>
  <si>
    <t>Budget for recurrence prevention, RA countermeasure, and working hours (human resource) is not enough.
(DP Manager)
 *Ask Manager (not safety)</t>
  </si>
  <si>
    <t>There is a lack of budget for either recurrence prevention, RA countermeasure, and working hours(human resource).
(DP Manager)
 *Ask Manager (not safety)</t>
  </si>
  <si>
    <t>Budget for recurrence prevention, RA countermeasure, and working hours (human resource) is prepared enough as plan.
(DP Manager)
 *Ask Manager (not safety)</t>
  </si>
  <si>
    <t>Budget is used for recurrence prevention, RA countermeasure, and any other activities as planed.
(DP Manager)
 *Ask Manager (not safety)</t>
  </si>
  <si>
    <t>Budget is prepared even for sudden accidents. Or, in case of sudden accidents, additional budget is obtained, and recurrence prevention, RA countermeasure, and any other activities are implemented ahead of schedule.
(DP Manager)</t>
  </si>
  <si>
    <t>Solidification
5 items</t>
    <phoneticPr fontId="9"/>
  </si>
  <si>
    <t>Fire reporting</t>
    <phoneticPr fontId="9"/>
  </si>
  <si>
    <t>Yes</t>
    <phoneticPr fontId="6"/>
  </si>
  <si>
    <t>No</t>
    <phoneticPr fontId="6"/>
  </si>
  <si>
    <t>Fire RA
Progress</t>
    <phoneticPr fontId="9"/>
  </si>
  <si>
    <t>Fire RA</t>
    <phoneticPr fontId="9"/>
  </si>
  <si>
    <t>DP
Inspection</t>
    <phoneticPr fontId="9"/>
  </si>
  <si>
    <t>Need to condict and apply the result to the government</t>
    <phoneticPr fontId="6"/>
  </si>
  <si>
    <t>3S
*DP perspective
(for flammable/combastible material storage)</t>
    <phoneticPr fontId="9"/>
  </si>
  <si>
    <t>Fire Fighting</t>
    <phoneticPr fontId="9"/>
  </si>
  <si>
    <t>Legal lisence</t>
    <phoneticPr fontId="9"/>
  </si>
  <si>
    <t>N/A</t>
    <phoneticPr fontId="6"/>
  </si>
  <si>
    <t>Fire 
Reporting</t>
    <phoneticPr fontId="9"/>
  </si>
  <si>
    <t>KYT/
Practical KYT
*DP point of view</t>
    <phoneticPr fontId="9"/>
  </si>
  <si>
    <t>Autonomous
KY
*DP point of view</t>
    <phoneticPr fontId="9"/>
  </si>
  <si>
    <t>Common Fire Prevention Rule</t>
    <phoneticPr fontId="9"/>
  </si>
  <si>
    <t>カーボンMUST
セルフチェック
(カーボン工場)</t>
    <phoneticPr fontId="6"/>
  </si>
  <si>
    <t>カーボンMUST
教育
(カーボン工場)</t>
    <phoneticPr fontId="6"/>
  </si>
  <si>
    <t>BSIDp</t>
  </si>
  <si>
    <t>佐賀</t>
    <rPh sb="0" eb="2">
      <t>サガ</t>
    </rPh>
    <phoneticPr fontId="9"/>
  </si>
  <si>
    <t>BMT</t>
    <phoneticPr fontId="9"/>
  </si>
  <si>
    <t>BSSS</t>
    <phoneticPr fontId="9"/>
  </si>
  <si>
    <t>BMU</t>
    <phoneticPr fontId="9"/>
  </si>
  <si>
    <t>日モ</t>
    <rPh sb="0" eb="1">
      <t>ニチ</t>
    </rPh>
    <phoneticPr fontId="9"/>
  </si>
  <si>
    <t>TMOT</t>
    <phoneticPr fontId="9"/>
  </si>
  <si>
    <t>ACA</t>
    <phoneticPr fontId="9"/>
  </si>
  <si>
    <t>BSCB</t>
    <phoneticPr fontId="9"/>
  </si>
  <si>
    <t>MXCB</t>
    <phoneticPr fontId="9"/>
  </si>
  <si>
    <t>課題
解決力</t>
  </si>
  <si>
    <t>リスク
管理力</t>
  </si>
  <si>
    <t>方向性
アジャスト</t>
  </si>
  <si>
    <t>自律・
持続力</t>
  </si>
  <si>
    <t>横断・
一本化</t>
  </si>
  <si>
    <t>総合</t>
    <rPh sb="0" eb="2">
      <t>ソウゴウ</t>
    </rPh>
    <phoneticPr fontId="6"/>
  </si>
  <si>
    <t>grade</t>
  </si>
  <si>
    <t>Self-directed implementation of the management system
*Management system-based
spiral-up activities</t>
  </si>
  <si>
    <t>Integration/ Incorporation</t>
  </si>
  <si>
    <t>平均</t>
    <rPh sb="0" eb="2">
      <t>ヘイキン</t>
    </rPh>
    <phoneticPr fontId="6"/>
  </si>
  <si>
    <t>最小</t>
    <rPh sb="0" eb="2">
      <t>サイショウ</t>
    </rPh>
    <phoneticPr fontId="6"/>
  </si>
  <si>
    <t>Overall avg.</t>
  </si>
  <si>
    <t>MIN</t>
  </si>
  <si>
    <t>AVG</t>
  </si>
  <si>
    <t>avg.</t>
  </si>
  <si>
    <t>3 axis details</t>
  </si>
  <si>
    <t>B+ or higher</t>
  </si>
  <si>
    <t>governance</t>
  </si>
  <si>
    <t>課題解決力</t>
    <rPh sb="0" eb="2">
      <t>カダイ</t>
    </rPh>
    <rPh sb="2" eb="4">
      <t>カイケツ</t>
    </rPh>
    <rPh sb="4" eb="5">
      <t>チカラ</t>
    </rPh>
    <phoneticPr fontId="9"/>
  </si>
  <si>
    <t>・課題解決のスピードとレベル
・深層・真因の深堀、しくみ構築と運用</t>
  </si>
  <si>
    <t>ガバナンス</t>
  </si>
  <si>
    <t>リスク</t>
  </si>
  <si>
    <t>事故報告</t>
    <rPh sb="0" eb="2">
      <t>ジコ</t>
    </rPh>
    <rPh sb="2" eb="4">
      <t>ホウコク</t>
    </rPh>
    <phoneticPr fontId="29"/>
  </si>
  <si>
    <t>リスク管理力</t>
    <rPh sb="3" eb="5">
      <t>カンリ</t>
    </rPh>
    <rPh sb="5" eb="6">
      <t>チカラ</t>
    </rPh>
    <phoneticPr fontId="9"/>
  </si>
  <si>
    <t>・品質経営不具合の兆候管理
・探索・発信情報の管理分析力</t>
  </si>
  <si>
    <t>RA
（兆候管理からの
改善）</t>
  </si>
  <si>
    <t>防火RA
評価推進</t>
    <rPh sb="0" eb="2">
      <t>ボウカ</t>
    </rPh>
    <rPh sb="5" eb="7">
      <t>ヒョウカ</t>
    </rPh>
    <rPh sb="7" eb="9">
      <t>スイシン</t>
    </rPh>
    <phoneticPr fontId="29"/>
  </si>
  <si>
    <t>防火RA
対策</t>
    <rPh sb="0" eb="2">
      <t>ボウカ</t>
    </rPh>
    <rPh sb="5" eb="7">
      <t>タイサク</t>
    </rPh>
    <phoneticPr fontId="29"/>
  </si>
  <si>
    <r>
      <t xml:space="preserve">防災点検
</t>
    </r>
    <r>
      <rPr>
        <sz val="11"/>
        <color rgb="FF0000FF"/>
        <rFont val="Calibri"/>
        <family val="3"/>
        <charset val="128"/>
        <scheme val="minor"/>
      </rPr>
      <t>【防災点検専任などの点検】</t>
    </r>
    <rPh sb="0" eb="2">
      <t>ボウサイ</t>
    </rPh>
    <rPh sb="2" eb="4">
      <t>テンケン</t>
    </rPh>
    <phoneticPr fontId="29"/>
  </si>
  <si>
    <t>不良配線ZD活動
【防災重点７項目】</t>
  </si>
  <si>
    <t>異音パトロール
【防災重点７項目】</t>
  </si>
  <si>
    <t>方向性アジャスト</t>
    <rPh sb="0" eb="3">
      <t>ホウコウセイ</t>
    </rPh>
    <phoneticPr fontId="9"/>
  </si>
  <si>
    <t>・Cpk　COPQ分析での基盤強化
・VC・階層を俯瞰した品質経営担保</t>
  </si>
  <si>
    <t>自律・持続力</t>
    <rPh sb="0" eb="2">
      <t>ジリツ</t>
    </rPh>
    <rPh sb="3" eb="5">
      <t>ジゾク</t>
    </rPh>
    <rPh sb="5" eb="6">
      <t>チカラ</t>
    </rPh>
    <phoneticPr fontId="9"/>
  </si>
  <si>
    <t>・品質経営知識と意識、活動定着</t>
  </si>
  <si>
    <t>3S
*防災目線（セメントハウス、危険物倉庫等）で評価</t>
  </si>
  <si>
    <t>KYT
実践型KYT
*活動に防災要素を含む</t>
    <rPh sb="4" eb="7">
      <t>ジッセンガタ</t>
    </rPh>
    <rPh sb="12" eb="14">
      <t>カツドウ</t>
    </rPh>
    <rPh sb="17" eb="19">
      <t>ヨウソ</t>
    </rPh>
    <rPh sb="20" eb="21">
      <t>フク</t>
    </rPh>
    <phoneticPr fontId="29"/>
  </si>
  <si>
    <t>自律的KY
*活動に防災要素を含む</t>
    <rPh sb="0" eb="3">
      <t>ジリツテキ</t>
    </rPh>
    <phoneticPr fontId="29"/>
  </si>
  <si>
    <t>共通防火ルール</t>
    <rPh sb="0" eb="4">
      <t>キョウツウボウカ</t>
    </rPh>
    <phoneticPr fontId="29"/>
  </si>
  <si>
    <r>
      <t xml:space="preserve">消火訓練
</t>
    </r>
    <r>
      <rPr>
        <sz val="11"/>
        <color rgb="FF0000CC"/>
        <rFont val="Calibri"/>
        <family val="3"/>
        <charset val="128"/>
        <scheme val="minor"/>
      </rPr>
      <t>【防災重点７項目】</t>
    </r>
    <rPh sb="0" eb="2">
      <t>ショウカ</t>
    </rPh>
    <rPh sb="2" eb="4">
      <t>クンレン</t>
    </rPh>
    <phoneticPr fontId="29"/>
  </si>
  <si>
    <t>火気取扱運用基準
の順守</t>
  </si>
  <si>
    <t>動力車の点検・清掃
【防災重点７項目】</t>
  </si>
  <si>
    <t>マネジメントシステムの
自律的実行
※マネジメントシステムを
基盤とした
スパイラルアップ活動</t>
  </si>
  <si>
    <t>セメントハウス、
危険物倉庫の点検、標準順守
【防災重点７項目】</t>
  </si>
  <si>
    <t>指定可燃物置場の管理
【防災重点７項目】</t>
  </si>
  <si>
    <t>無人施設の巡回点検
【防災重点７項目】</t>
  </si>
  <si>
    <t>横断・一本化</t>
    <rPh sb="0" eb="2">
      <t>オウダン</t>
    </rPh>
    <rPh sb="3" eb="6">
      <t>イッポンカ</t>
    </rPh>
    <phoneticPr fontId="9"/>
  </si>
  <si>
    <t>・品質経営活動に供する組織とリソース</t>
  </si>
  <si>
    <t>防災組織</t>
    <rPh sb="0" eb="4">
      <t>ボウサイソシキ</t>
    </rPh>
    <phoneticPr fontId="6"/>
  </si>
  <si>
    <t>危険物資格
(BS本体)</t>
    <rPh sb="0" eb="3">
      <t>キケンブツ</t>
    </rPh>
    <rPh sb="3" eb="5">
      <t>シカク</t>
    </rPh>
    <rPh sb="9" eb="11">
      <t>ホンタイ</t>
    </rPh>
    <phoneticPr fontId="9"/>
  </si>
  <si>
    <t>予算確保</t>
    <rPh sb="0" eb="2">
      <t>ヨサン</t>
    </rPh>
    <rPh sb="2" eb="4">
      <t>カクホ</t>
    </rPh>
    <phoneticPr fontId="6"/>
  </si>
  <si>
    <t>■3軸</t>
    <rPh sb="2" eb="3">
      <t>ジク</t>
    </rPh>
    <phoneticPr fontId="6"/>
  </si>
  <si>
    <t>総合平均</t>
    <rPh sb="0" eb="4">
      <t>ソウゴウヘイキン</t>
    </rPh>
    <phoneticPr fontId="6"/>
  </si>
  <si>
    <t>■5軸</t>
    <rPh sb="2" eb="3">
      <t>ジク</t>
    </rPh>
    <phoneticPr fontId="6"/>
  </si>
  <si>
    <t>■3軸詳細</t>
    <rPh sb="2" eb="3">
      <t>ジク</t>
    </rPh>
    <rPh sb="3" eb="5">
      <t>ショウサイ</t>
    </rPh>
    <phoneticPr fontId="6"/>
  </si>
  <si>
    <t>B＋以上</t>
    <rPh sb="2" eb="4">
      <t>イジョウ</t>
    </rPh>
    <phoneticPr fontId="6"/>
  </si>
  <si>
    <t>Score(X)</t>
    <phoneticPr fontId="6"/>
  </si>
  <si>
    <t>QM Foundation Level</t>
    <phoneticPr fontId="6"/>
  </si>
  <si>
    <t>x = 5.0</t>
    <phoneticPr fontId="6"/>
  </si>
  <si>
    <t>Autonomous Safety, D.P. management</t>
    <phoneticPr fontId="6"/>
  </si>
  <si>
    <r>
      <t xml:space="preserve">4.0  </t>
    </r>
    <r>
      <rPr>
        <sz val="11"/>
        <color theme="1"/>
        <rFont val="Yu Gothic"/>
        <family val="2"/>
      </rPr>
      <t>≤</t>
    </r>
    <r>
      <rPr>
        <sz val="11"/>
        <color theme="1"/>
        <rFont val="Calibri"/>
        <family val="2"/>
      </rPr>
      <t xml:space="preserve">  x  &lt;  5.0</t>
    </r>
    <phoneticPr fontId="6"/>
  </si>
  <si>
    <t>Managed as standardized, and improved continuously by PDCA</t>
    <phoneticPr fontId="6"/>
  </si>
  <si>
    <r>
      <t xml:space="preserve">3.0  </t>
    </r>
    <r>
      <rPr>
        <sz val="11"/>
        <color theme="1"/>
        <rFont val="Yu Gothic"/>
        <family val="2"/>
      </rPr>
      <t>≤</t>
    </r>
    <r>
      <rPr>
        <sz val="11"/>
        <color theme="1"/>
        <rFont val="Calibri"/>
        <family val="2"/>
      </rPr>
      <t xml:space="preserve">  x  &lt;  4.0</t>
    </r>
    <phoneticPr fontId="6"/>
  </si>
  <si>
    <t>Managed as standardized</t>
    <phoneticPr fontId="6"/>
  </si>
  <si>
    <r>
      <t xml:space="preserve">2.0  </t>
    </r>
    <r>
      <rPr>
        <sz val="11"/>
        <color theme="1"/>
        <rFont val="Yu Gothic"/>
        <family val="2"/>
      </rPr>
      <t>≤</t>
    </r>
    <r>
      <rPr>
        <sz val="11"/>
        <color theme="1"/>
        <rFont val="Calibri"/>
        <family val="2"/>
      </rPr>
      <t xml:space="preserve">  x  &lt;  3.0</t>
    </r>
    <phoneticPr fontId="6"/>
  </si>
  <si>
    <t>Basically maanaged as standardized, but not enough (leakage)</t>
    <phoneticPr fontId="6"/>
  </si>
  <si>
    <t xml:space="preserve">           x  &lt;  2.0</t>
    <phoneticPr fontId="6"/>
  </si>
  <si>
    <t>NOT managed as standardized</t>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</si>
</sst>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_);[Red]\(0.0\)"/>
    <numFmt numFmtId="165" formatCode="yyyy/m/d;@"/>
    <numFmt numFmtId="166" formatCode="0.0"/>
    <numFmt numFmtId="167" formatCode="0_);[Red]\(0\)"/>
    <numFmt numFmtId="168" formatCode="0.00_);[Red]\(0.00\)"/>
  </numFmts>
  <fonts count="61">
    <font>
      <sz val="11"/>
      <color theme="1"/>
      <name val="Calibri"/>
      <family val="2"/>
      <scheme val="minor"/>
    </font>
    <font>
      <sz val="11"/>
      <color theme="1"/>
      <name val="ＭＳ Ｐゴシック"/>
      <family val="2"/>
      <charset val="128"/>
    </font>
    <font>
      <sz val="11"/>
      <color theme="1"/>
      <name val="ＭＳ Ｐゴシック"/>
      <family val="2"/>
      <charset val="128"/>
    </font>
    <font>
      <sz val="11"/>
      <color theme="1"/>
      <name val="ＭＳ Ｐゴシック"/>
      <family val="2"/>
      <charset val="128"/>
    </font>
    <font>
      <sz val="11"/>
      <color theme="1"/>
      <name val="ＭＳ Ｐゴシック"/>
      <family val="2"/>
      <charset val="128"/>
    </font>
    <font>
      <sz val="11"/>
      <color theme="1"/>
      <name val="ＭＳ Ｐゴシック"/>
      <family val="2"/>
      <charset val="128"/>
    </font>
    <font>
      <sz val="6"/>
      <name val="Calibri"/>
      <family val="3"/>
      <charset val="128"/>
      <scheme val="minor"/>
    </font>
    <font>
      <sz val="11"/>
      <name val="ＭＳ Ｐゴシック"/>
      <family val="3"/>
      <charset val="128"/>
    </font>
    <font>
      <b/>
      <sz val="11"/>
      <color theme="1"/>
      <name val="Yu Gothic UI"/>
      <family val="3"/>
      <charset val="128"/>
    </font>
    <font>
      <sz val="6"/>
      <name val="ＭＳ Ｐゴシック"/>
      <family val="2"/>
      <charset val="128"/>
    </font>
    <font>
      <sz val="11"/>
      <color theme="1"/>
      <name val="Yu Gothic UI"/>
      <family val="3"/>
      <charset val="128"/>
    </font>
    <font>
      <sz val="10.5"/>
      <color rgb="FF000000"/>
      <name val="Yu Gothic UI"/>
      <family val="3"/>
      <charset val="128"/>
    </font>
    <font>
      <sz val="11"/>
      <name val="Yu Gothic UI"/>
      <family val="3"/>
      <charset val="128"/>
    </font>
    <font>
      <sz val="11"/>
      <color rgb="FF00B050"/>
      <name val="Yu Gothic UI"/>
      <family val="3"/>
      <charset val="128"/>
    </font>
    <font>
      <sz val="11"/>
      <name val="Calibri"/>
      <family val="2"/>
      <scheme val="minor"/>
    </font>
    <font>
      <sz val="18"/>
      <color theme="1"/>
      <name val="Yu Gothic UI"/>
      <family val="3"/>
      <charset val="128"/>
    </font>
    <font>
      <sz val="28"/>
      <color theme="1"/>
      <name val="Yu Gothic UI"/>
      <family val="3"/>
      <charset val="128"/>
    </font>
    <font>
      <sz val="24"/>
      <color theme="1"/>
      <name val="Yu Gothic UI"/>
      <family val="3"/>
      <charset val="128"/>
    </font>
    <font>
      <sz val="9"/>
      <color theme="1"/>
      <name val="Calibri"/>
      <family val="2"/>
      <scheme val="minor"/>
    </font>
    <font>
      <sz val="9"/>
      <color theme="1"/>
      <name val="Calibri"/>
      <family val="3"/>
      <charset val="128"/>
      <scheme val="minor"/>
    </font>
    <font>
      <b/>
      <sz val="12"/>
      <color theme="1"/>
      <name val="Calibri"/>
      <family val="3"/>
      <charset val="128"/>
      <scheme val="minor"/>
    </font>
    <font>
      <b/>
      <sz val="16"/>
      <color theme="1"/>
      <name val="Calibri"/>
      <family val="3"/>
      <charset val="128"/>
      <scheme val="minor"/>
    </font>
    <font>
      <b/>
      <sz val="11"/>
      <color theme="1"/>
      <name val="Calibri"/>
      <family val="3"/>
      <charset val="128"/>
      <scheme val="minor"/>
    </font>
    <font>
      <sz val="11"/>
      <color theme="1"/>
      <name val="Calibri"/>
      <family val="3"/>
      <charset val="128"/>
      <scheme val="minor"/>
    </font>
    <font>
      <sz val="11"/>
      <color rgb="FF0000FF"/>
      <name val="Yu Gothic UI"/>
      <family val="3"/>
      <charset val="128"/>
    </font>
    <font>
      <sz val="11"/>
      <color rgb="FF0000CC"/>
      <name val="Yu Gothic UI"/>
      <family val="3"/>
      <charset val="128"/>
    </font>
    <font>
      <sz val="11"/>
      <color rgb="FFFF0000"/>
      <name val="Yu Gothic UI"/>
      <family val="3"/>
      <charset val="128"/>
    </font>
    <font>
      <u/>
      <sz val="11"/>
      <color theme="1"/>
      <name val="Yu Gothic UI"/>
      <family val="3"/>
      <charset val="128"/>
    </font>
    <font>
      <u/>
      <sz val="11"/>
      <color theme="1"/>
      <name val="Calibri"/>
      <family val="2"/>
      <scheme val="minor"/>
    </font>
    <font>
      <b/>
      <sz val="13"/>
      <color theme="3"/>
      <name val="ＭＳ Ｐゴシック"/>
      <family val="2"/>
      <charset val="128"/>
    </font>
    <font>
      <sz val="11"/>
      <color rgb="FF0000FF"/>
      <name val="Calibri"/>
      <family val="3"/>
      <charset val="128"/>
      <scheme val="minor"/>
    </font>
    <font>
      <sz val="11"/>
      <color rgb="FF0000CC"/>
      <name val="Calibri"/>
      <family val="3"/>
      <charset val="128"/>
      <scheme val="minor"/>
    </font>
    <font>
      <sz val="11"/>
      <color theme="1"/>
      <name val="Calibri"/>
      <family val="2"/>
      <scheme val="minor"/>
    </font>
    <font>
      <sz val="11"/>
      <color theme="1"/>
      <name val="Calibri"/>
      <family val="2"/>
    </font>
    <font>
      <b/>
      <sz val="12"/>
      <color theme="1"/>
      <name val="Calibri"/>
      <family val="2"/>
    </font>
    <font>
      <b/>
      <sz val="16"/>
      <color theme="1"/>
      <name val="Calibri"/>
      <family val="2"/>
    </font>
    <font>
      <b/>
      <sz val="11"/>
      <color theme="1"/>
      <name val="Calibri"/>
      <family val="2"/>
    </font>
    <font>
      <sz val="9"/>
      <color theme="1"/>
      <name val="Calibri"/>
      <family val="2"/>
    </font>
    <font>
      <b/>
      <sz val="11"/>
      <name val="Calibri"/>
      <family val="2"/>
    </font>
    <font>
      <b/>
      <sz val="11"/>
      <color theme="1"/>
      <name val="Calibri"/>
      <family val="3"/>
    </font>
    <font>
      <sz val="11"/>
      <color theme="1"/>
      <name val="Yu Gothic"/>
      <family val="2"/>
    </font>
    <font>
      <b/>
      <u/>
      <sz val="11"/>
      <color theme="1"/>
      <name val="Calibri"/>
      <family val="2"/>
    </font>
    <font>
      <sz val="11"/>
      <color theme="1"/>
      <name val="Calibri"/>
      <family val="3"/>
    </font>
    <font>
      <b/>
      <sz val="11"/>
      <color rgb="FFFF0000"/>
      <name val="Yu Gothic UI"/>
      <family val="3"/>
      <charset val="128"/>
    </font>
    <font>
      <b/>
      <sz val="11"/>
      <color theme="1"/>
      <name val="Calibri"/>
      <family val="2"/>
      <scheme val="minor"/>
    </font>
    <font>
      <sz val="11"/>
      <color rgb="FF0000FF"/>
      <name val="Yu Gothic UI"/>
      <family val="2"/>
    </font>
    <font>
      <b/>
      <sz val="11"/>
      <color rgb="FF0000FF"/>
      <name val="Yu Gothic UI"/>
      <family val="2"/>
    </font>
    <font>
      <b/>
      <u/>
      <sz val="11"/>
      <color rgb="FF0000FF"/>
      <name val="Yu Gothic UI"/>
      <family val="2"/>
    </font>
    <font>
      <strike/>
      <sz val="11"/>
      <name val="Yu Gothic UI"/>
      <family val="3"/>
      <charset val="128"/>
    </font>
    <font>
      <b/>
      <sz val="11"/>
      <name val="Yu Gothic UI"/>
      <family val="3"/>
      <charset val="128"/>
    </font>
    <font>
      <sz val="9"/>
      <color theme="1"/>
      <name val="BridgestoneType"/>
      <family val="2"/>
    </font>
    <font>
      <sz val="9"/>
      <color rgb="FF0000FF"/>
      <name val="BridgestoneType"/>
      <family val="2"/>
    </font>
    <font>
      <sz val="11"/>
      <color rgb="FF0000FF"/>
      <name val="Calibri"/>
      <family val="2"/>
      <scheme val="minor"/>
    </font>
    <font>
      <strike/>
      <sz val="11"/>
      <color theme="1"/>
      <name val="Yu Gothic UI"/>
      <family val="2"/>
    </font>
    <font>
      <sz val="16"/>
      <color theme="1"/>
      <name val="Calibri"/>
      <family val="2"/>
      <scheme val="minor"/>
    </font>
    <font>
      <b/>
      <sz val="11"/>
      <color theme="1"/>
      <name val="Yu Gothic UI"/>
      <family val="2"/>
    </font>
    <font>
      <b/>
      <sz val="11"/>
      <name val="Yu Gothic UI"/>
      <family val="2"/>
    </font>
    <font>
      <sz val="11"/>
      <name val="Yu Gothic UI"/>
      <family val="2"/>
    </font>
    <font>
      <sz val="11"/>
      <color theme="1"/>
      <name val="Yu Gothic UI"/>
      <family val="2"/>
    </font>
    <font>
      <b/>
      <sz val="11"/>
      <color theme="0"/>
      <name val="Calibri"/>
      <family val="2"/>
    </font>
    <font>
      <sz val="14"/>
      <color theme="1"/>
      <name val="Calibri"/>
      <family val="2"/>
    </font>
  </fonts>
  <fills count="14">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rgb="FFFFCCFF"/>
        <bgColor indexed="64"/>
      </patternFill>
    </fill>
    <fill>
      <patternFill patternType="solid">
        <fgColor theme="9" tint="0.59999389629810485"/>
        <bgColor indexed="64"/>
      </patternFill>
    </fill>
    <fill>
      <patternFill patternType="solid">
        <fgColor theme="8"/>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theme="1" tint="0.249977111117893"/>
      </left>
      <right style="thin">
        <color theme="1" tint="0.249977111117893"/>
      </right>
      <top style="thin">
        <color theme="1" tint="0.249977111117893"/>
      </top>
      <bottom style="thin">
        <color theme="1" tint="0.249977111117893"/>
      </bottom>
      <diagonal/>
    </border>
    <border>
      <left style="thin">
        <color theme="1" tint="0.249977111117893"/>
      </left>
      <right/>
      <top style="thin">
        <color theme="1" tint="0.249977111117893"/>
      </top>
      <bottom/>
      <diagonal/>
    </border>
    <border>
      <left/>
      <right/>
      <top style="thin">
        <color theme="1" tint="0.249977111117893"/>
      </top>
      <bottom/>
      <diagonal/>
    </border>
    <border>
      <left/>
      <right/>
      <top style="thin">
        <color theme="1" tint="0.249977111117893"/>
      </top>
      <bottom style="thin">
        <color theme="1" tint="0.249977111117893"/>
      </bottom>
      <diagonal/>
    </border>
    <border>
      <left/>
      <right style="thin">
        <color theme="1" tint="0.249977111117893"/>
      </right>
      <top style="thin">
        <color theme="1" tint="0.249977111117893"/>
      </top>
      <bottom style="thin">
        <color theme="1" tint="0.249977111117893"/>
      </bottom>
      <diagonal/>
    </border>
    <border>
      <left style="thin">
        <color theme="1" tint="0.249977111117893"/>
      </left>
      <right style="thin">
        <color theme="1" tint="0.249977111117893"/>
      </right>
      <top/>
      <bottom/>
      <diagonal/>
    </border>
    <border>
      <left style="thin">
        <color theme="1" tint="0.249977111117893"/>
      </left>
      <right/>
      <top style="thin">
        <color theme="1" tint="0.249977111117893"/>
      </top>
      <bottom style="thin">
        <color theme="1" tint="0.249977111117893"/>
      </bottom>
      <diagonal/>
    </border>
    <border>
      <left/>
      <right style="thin">
        <color theme="1" tint="0.249977111117893"/>
      </right>
      <top/>
      <bottom/>
      <diagonal/>
    </border>
    <border>
      <left style="thin">
        <color theme="1" tint="0.249977111117893"/>
      </left>
      <right style="thin">
        <color theme="1" tint="0.249977111117893"/>
      </right>
      <top style="thin">
        <color theme="1" tint="0.249977111117893"/>
      </top>
      <bottom/>
      <diagonal/>
    </border>
    <border>
      <left style="thin">
        <color theme="1" tint="0.249977111117893"/>
      </left>
      <right style="thin">
        <color theme="1" tint="0.249977111117893"/>
      </right>
      <top/>
      <bottom style="thin">
        <color theme="1" tint="0.249977111117893"/>
      </bottom>
      <diagonal/>
    </border>
    <border>
      <left style="thin">
        <color indexed="64"/>
      </left>
      <right/>
      <top/>
      <bottom style="thin">
        <color theme="0" tint="-0.34998626667073579"/>
      </bottom>
      <diagonal/>
    </border>
    <border>
      <left/>
      <right/>
      <top/>
      <bottom style="thin">
        <color theme="0" tint="-0.34998626667073579"/>
      </bottom>
      <diagonal/>
    </border>
    <border>
      <left/>
      <right style="thin">
        <color indexed="64"/>
      </right>
      <top/>
      <bottom style="thin">
        <color theme="0" tint="-0.34998626667073579"/>
      </bottom>
      <diagonal/>
    </border>
    <border>
      <left style="medium">
        <color indexed="64"/>
      </left>
      <right style="thin">
        <color indexed="64"/>
      </right>
      <top style="thin">
        <color indexed="64"/>
      </top>
      <bottom style="thin">
        <color indexed="64"/>
      </bottom>
      <diagonal/>
    </border>
  </borders>
  <cellStyleXfs count="13">
    <xf numFmtId="0" fontId="0" fillId="0" borderId="0"/>
    <xf numFmtId="0" fontId="7" fillId="0" borderId="0"/>
    <xf numFmtId="0" fontId="5" fillId="0" borderId="0">
      <alignment vertical="center"/>
    </xf>
    <xf numFmtId="0" fontId="4" fillId="0" borderId="0">
      <alignment vertical="center"/>
    </xf>
    <xf numFmtId="0" fontId="7" fillId="0" borderId="0">
      <alignment vertical="center"/>
    </xf>
    <xf numFmtId="0" fontId="7" fillId="0" borderId="0">
      <alignment vertical="center"/>
    </xf>
    <xf numFmtId="0" fontId="3" fillId="0" borderId="0">
      <alignment vertical="center"/>
    </xf>
    <xf numFmtId="9" fontId="3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cellStyleXfs>
  <cellXfs count="673">
    <xf numFmtId="0" fontId="0" fillId="0" borderId="0" xfId="0"/>
    <xf numFmtId="0" fontId="8" fillId="0" borderId="0" xfId="2" applyFont="1">
      <alignment vertical="center"/>
    </xf>
    <xf numFmtId="0" fontId="10" fillId="0" borderId="0" xfId="2" applyFont="1">
      <alignment vertical="center"/>
    </xf>
    <xf numFmtId="0" fontId="10" fillId="0" borderId="0" xfId="2" applyFont="1" applyAlignment="1">
      <alignment vertical="center" wrapText="1"/>
    </xf>
    <xf numFmtId="0" fontId="10" fillId="2" borderId="1" xfId="2" applyFont="1" applyFill="1" applyBorder="1">
      <alignment vertical="center"/>
    </xf>
    <xf numFmtId="0" fontId="10" fillId="3" borderId="1" xfId="2" applyFont="1" applyFill="1" applyBorder="1">
      <alignment vertical="center"/>
    </xf>
    <xf numFmtId="0" fontId="10" fillId="0" borderId="0" xfId="2" applyFont="1" applyAlignment="1">
      <alignment horizontal="center" vertical="center"/>
    </xf>
    <xf numFmtId="0" fontId="10" fillId="0" borderId="0" xfId="2" applyFont="1" applyAlignment="1">
      <alignment horizontal="right" vertical="center"/>
    </xf>
    <xf numFmtId="0" fontId="10" fillId="0" borderId="6" xfId="2" applyFont="1" applyBorder="1" applyAlignment="1">
      <alignment horizontal="center" vertical="center" wrapText="1"/>
    </xf>
    <xf numFmtId="0" fontId="10" fillId="0" borderId="1" xfId="2" applyFont="1" applyBorder="1" applyAlignment="1">
      <alignment horizontal="left" vertical="center" wrapText="1"/>
    </xf>
    <xf numFmtId="0" fontId="10" fillId="3" borderId="1" xfId="2" applyFont="1" applyFill="1" applyBorder="1" applyAlignment="1">
      <alignment horizontal="center" vertical="center"/>
    </xf>
    <xf numFmtId="0" fontId="10" fillId="3" borderId="1" xfId="2" applyFont="1" applyFill="1" applyBorder="1" applyAlignment="1">
      <alignment vertical="center" wrapText="1"/>
    </xf>
    <xf numFmtId="0" fontId="10" fillId="3" borderId="1" xfId="2" applyFont="1" applyFill="1" applyBorder="1" applyAlignment="1">
      <alignment horizontal="center" vertical="center" wrapText="1"/>
    </xf>
    <xf numFmtId="0" fontId="10" fillId="3" borderId="1" xfId="2" applyFont="1" applyFill="1" applyBorder="1" applyAlignment="1">
      <alignment horizontal="left" vertical="center" wrapText="1"/>
    </xf>
    <xf numFmtId="0" fontId="10" fillId="2" borderId="1" xfId="2" applyFont="1" applyFill="1" applyBorder="1" applyAlignment="1">
      <alignment vertical="center" wrapText="1"/>
    </xf>
    <xf numFmtId="0" fontId="10" fillId="0" borderId="1" xfId="2" applyFont="1" applyBorder="1" applyAlignment="1">
      <alignment vertical="center" wrapText="1"/>
    </xf>
    <xf numFmtId="0" fontId="10" fillId="2" borderId="1" xfId="2" applyFont="1" applyFill="1" applyBorder="1" applyAlignment="1">
      <alignment horizontal="left" vertical="center" wrapText="1"/>
    </xf>
    <xf numFmtId="0" fontId="10" fillId="4" borderId="0" xfId="2" applyFont="1" applyFill="1" applyAlignment="1">
      <alignment horizontal="center" vertical="center"/>
    </xf>
    <xf numFmtId="0" fontId="10" fillId="4" borderId="0" xfId="2" applyFont="1" applyFill="1" applyAlignment="1">
      <alignment vertical="center" wrapText="1"/>
    </xf>
    <xf numFmtId="0" fontId="10" fillId="4" borderId="0" xfId="2" applyFont="1" applyFill="1">
      <alignment vertical="center"/>
    </xf>
    <xf numFmtId="0" fontId="10" fillId="5" borderId="0" xfId="2" applyFont="1" applyFill="1" applyAlignment="1">
      <alignment horizontal="center" vertical="center"/>
    </xf>
    <xf numFmtId="0" fontId="10" fillId="5" borderId="0" xfId="2" applyFont="1" applyFill="1" applyAlignment="1">
      <alignment vertical="center" wrapText="1"/>
    </xf>
    <xf numFmtId="0" fontId="0" fillId="0" borderId="0" xfId="0" applyAlignment="1">
      <alignment horizontal="center"/>
    </xf>
    <xf numFmtId="0" fontId="10" fillId="0" borderId="1" xfId="0" applyFont="1" applyBorder="1" applyAlignment="1">
      <alignment horizontal="center" vertical="center" wrapText="1"/>
    </xf>
    <xf numFmtId="0" fontId="10" fillId="0" borderId="1" xfId="0" applyFont="1" applyBorder="1" applyAlignment="1">
      <alignment horizontal="center" vertical="center"/>
    </xf>
    <xf numFmtId="0" fontId="10" fillId="0" borderId="0" xfId="2" applyFont="1" applyAlignment="1">
      <alignment horizontal="left" vertical="center"/>
    </xf>
    <xf numFmtId="0" fontId="10" fillId="0" borderId="0" xfId="2" applyFont="1" applyAlignment="1">
      <alignment horizontal="left" vertical="center" wrapText="1"/>
    </xf>
    <xf numFmtId="0" fontId="10" fillId="0" borderId="0" xfId="2" applyFont="1" applyAlignment="1">
      <alignment horizontal="right" vertical="center" wrapText="1"/>
    </xf>
    <xf numFmtId="0" fontId="10" fillId="2" borderId="1" xfId="2" applyFont="1" applyFill="1" applyBorder="1" applyAlignment="1">
      <alignment horizontal="center" vertical="center" wrapText="1"/>
    </xf>
    <xf numFmtId="0" fontId="10" fillId="0" borderId="0" xfId="2" applyFont="1" applyAlignment="1">
      <alignment horizontal="center" vertical="center" wrapText="1"/>
    </xf>
    <xf numFmtId="0" fontId="10" fillId="4" borderId="0" xfId="2" applyFont="1" applyFill="1" applyAlignment="1">
      <alignment horizontal="center" vertical="center" wrapText="1"/>
    </xf>
    <xf numFmtId="0" fontId="10" fillId="5" borderId="0" xfId="2" applyFont="1" applyFill="1" applyAlignment="1">
      <alignment horizontal="center" vertical="center" wrapText="1"/>
    </xf>
    <xf numFmtId="0" fontId="0" fillId="0" borderId="1" xfId="0" applyBorder="1"/>
    <xf numFmtId="0" fontId="10" fillId="6" borderId="1" xfId="2" applyFont="1" applyFill="1" applyBorder="1" applyAlignment="1">
      <alignment horizontal="center" vertical="center"/>
    </xf>
    <xf numFmtId="0" fontId="14" fillId="0" borderId="0" xfId="0" applyFont="1"/>
    <xf numFmtId="0" fontId="10" fillId="0" borderId="0" xfId="3" applyFont="1">
      <alignment vertical="center"/>
    </xf>
    <xf numFmtId="0" fontId="15" fillId="0" borderId="0" xfId="3" applyFont="1" applyAlignment="1">
      <alignment horizontal="center" vertical="center"/>
    </xf>
    <xf numFmtId="0" fontId="10" fillId="0" borderId="0" xfId="3" applyFont="1" applyAlignment="1">
      <alignment horizontal="center" vertical="center"/>
    </xf>
    <xf numFmtId="0" fontId="10" fillId="0" borderId="0" xfId="3" applyFont="1" applyAlignment="1">
      <alignment horizontal="right" vertical="center"/>
    </xf>
    <xf numFmtId="0" fontId="10" fillId="0" borderId="0" xfId="3" applyFont="1" applyAlignment="1">
      <alignment vertical="center" wrapText="1"/>
    </xf>
    <xf numFmtId="0" fontId="16" fillId="0" borderId="0" xfId="3" applyFont="1">
      <alignment vertical="center"/>
    </xf>
    <xf numFmtId="0" fontId="17" fillId="0" borderId="1" xfId="3" applyFont="1" applyBorder="1" applyAlignment="1">
      <alignment horizontal="center" vertical="center"/>
    </xf>
    <xf numFmtId="0" fontId="12" fillId="0" borderId="1" xfId="3" applyFont="1" applyBorder="1" applyAlignment="1">
      <alignment horizontal="center" vertical="center" wrapText="1"/>
    </xf>
    <xf numFmtId="0" fontId="10" fillId="3" borderId="1" xfId="3" applyFont="1" applyFill="1" applyBorder="1" applyAlignment="1">
      <alignment horizontal="left" vertical="center" wrapText="1"/>
    </xf>
    <xf numFmtId="0" fontId="10" fillId="4" borderId="0" xfId="3" applyFont="1" applyFill="1" applyAlignment="1">
      <alignment horizontal="center" vertical="center"/>
    </xf>
    <xf numFmtId="0" fontId="10" fillId="5" borderId="0" xfId="3" applyFont="1" applyFill="1" applyAlignment="1">
      <alignment horizontal="center" vertical="center"/>
    </xf>
    <xf numFmtId="0" fontId="20" fillId="0" borderId="0" xfId="0" applyFont="1" applyAlignment="1">
      <alignment vertical="center"/>
    </xf>
    <xf numFmtId="0" fontId="21" fillId="0" borderId="0" xfId="0" applyFont="1" applyAlignment="1">
      <alignment vertical="center"/>
    </xf>
    <xf numFmtId="0" fontId="0" fillId="0" borderId="0" xfId="0" applyAlignment="1">
      <alignment wrapText="1"/>
    </xf>
    <xf numFmtId="0" fontId="12" fillId="0" borderId="1" xfId="3" applyFont="1" applyBorder="1" applyAlignment="1">
      <alignment horizontal="left" vertical="center" wrapText="1"/>
    </xf>
    <xf numFmtId="0" fontId="12" fillId="3" borderId="1" xfId="2" applyFont="1" applyFill="1" applyBorder="1" applyAlignment="1">
      <alignment horizontal="left" vertical="center" wrapText="1"/>
    </xf>
    <xf numFmtId="0" fontId="12" fillId="3" borderId="1" xfId="2" applyFont="1" applyFill="1" applyBorder="1" applyAlignment="1">
      <alignment horizontal="center" vertical="center" wrapText="1"/>
    </xf>
    <xf numFmtId="0" fontId="12" fillId="0" borderId="0" xfId="3" applyFont="1" applyAlignment="1">
      <alignment horizontal="center" vertical="center"/>
    </xf>
    <xf numFmtId="0" fontId="12" fillId="0" borderId="1" xfId="3" applyFont="1" applyBorder="1" applyAlignment="1">
      <alignment horizontal="left" vertical="center"/>
    </xf>
    <xf numFmtId="0" fontId="12" fillId="4" borderId="0" xfId="3" applyFont="1" applyFill="1" applyAlignment="1">
      <alignment horizontal="center" vertical="center"/>
    </xf>
    <xf numFmtId="0" fontId="12" fillId="5" borderId="0" xfId="3" applyFont="1" applyFill="1" applyAlignment="1">
      <alignment horizontal="center" vertical="center"/>
    </xf>
    <xf numFmtId="0" fontId="25" fillId="0" borderId="0" xfId="2" applyFont="1" applyAlignment="1">
      <alignment horizontal="right" vertical="center" wrapText="1"/>
    </xf>
    <xf numFmtId="0" fontId="23" fillId="0" borderId="0" xfId="0" applyFont="1"/>
    <xf numFmtId="0" fontId="10" fillId="7" borderId="7" xfId="2" applyFont="1" applyFill="1" applyBorder="1" applyAlignment="1">
      <alignment horizontal="center" vertical="center"/>
    </xf>
    <xf numFmtId="0" fontId="10" fillId="7" borderId="1" xfId="2" applyFont="1" applyFill="1" applyBorder="1" applyAlignment="1">
      <alignment horizontal="center" vertical="center"/>
    </xf>
    <xf numFmtId="164" fontId="0" fillId="0" borderId="1" xfId="0" applyNumberFormat="1" applyBorder="1" applyAlignment="1">
      <alignment horizontal="center" vertical="center"/>
    </xf>
    <xf numFmtId="0" fontId="22" fillId="3" borderId="16" xfId="0" applyFont="1" applyFill="1" applyBorder="1"/>
    <xf numFmtId="0" fontId="10" fillId="0" borderId="3" xfId="2" applyFont="1" applyBorder="1" applyAlignment="1">
      <alignment horizontal="center" vertical="center"/>
    </xf>
    <xf numFmtId="0" fontId="26" fillId="3" borderId="1" xfId="2" applyFont="1" applyFill="1" applyBorder="1" applyAlignment="1">
      <alignment horizontal="center" vertical="center" wrapText="1"/>
    </xf>
    <xf numFmtId="0" fontId="26" fillId="3" borderId="1" xfId="2" applyFont="1" applyFill="1" applyBorder="1" applyAlignment="1">
      <alignment vertical="center" wrapText="1"/>
    </xf>
    <xf numFmtId="0" fontId="23" fillId="0" borderId="0" xfId="0" applyFont="1" applyAlignment="1">
      <alignment vertical="center"/>
    </xf>
    <xf numFmtId="0" fontId="23" fillId="0" borderId="19" xfId="0" applyFont="1" applyBorder="1"/>
    <xf numFmtId="0" fontId="23" fillId="0" borderId="20" xfId="0" applyFont="1" applyBorder="1"/>
    <xf numFmtId="0" fontId="23" fillId="0" borderId="21" xfId="0" applyFont="1" applyBorder="1"/>
    <xf numFmtId="0" fontId="23" fillId="0" borderId="22" xfId="0" applyFont="1" applyBorder="1"/>
    <xf numFmtId="0" fontId="23" fillId="0" borderId="23" xfId="0" applyFont="1" applyBorder="1"/>
    <xf numFmtId="0" fontId="23" fillId="7" borderId="0" xfId="0" applyFont="1" applyFill="1"/>
    <xf numFmtId="0" fontId="23" fillId="0" borderId="1" xfId="0" applyFont="1" applyBorder="1"/>
    <xf numFmtId="0" fontId="10" fillId="0" borderId="1" xfId="2" applyFont="1" applyBorder="1" applyAlignment="1">
      <alignment horizontal="center" vertical="center"/>
    </xf>
    <xf numFmtId="0" fontId="10" fillId="0" borderId="1" xfId="2" applyFont="1" applyBorder="1" applyAlignment="1">
      <alignment horizontal="center" vertical="center" wrapText="1"/>
    </xf>
    <xf numFmtId="0" fontId="0" fillId="0" borderId="1" xfId="0" applyBorder="1" applyAlignment="1">
      <alignment horizontal="center" vertical="center"/>
    </xf>
    <xf numFmtId="0" fontId="12" fillId="0" borderId="1" xfId="2" applyFont="1" applyBorder="1" applyAlignment="1">
      <alignment horizontal="center" vertical="center" wrapText="1"/>
    </xf>
    <xf numFmtId="0" fontId="26" fillId="3" borderId="1" xfId="0" applyFont="1" applyFill="1" applyBorder="1" applyAlignment="1">
      <alignment horizontal="center" vertical="center"/>
    </xf>
    <xf numFmtId="0" fontId="27" fillId="0" borderId="0" xfId="2" applyFont="1">
      <alignment vertical="center"/>
    </xf>
    <xf numFmtId="0" fontId="28" fillId="0" borderId="0" xfId="0" applyFont="1"/>
    <xf numFmtId="0" fontId="23" fillId="0" borderId="1" xfId="0" applyFont="1" applyBorder="1" applyAlignment="1">
      <alignment horizontal="center" vertical="center"/>
    </xf>
    <xf numFmtId="0" fontId="10" fillId="0" borderId="0" xfId="0" applyFont="1"/>
    <xf numFmtId="0" fontId="23" fillId="3" borderId="0" xfId="0" applyFont="1" applyFill="1"/>
    <xf numFmtId="0" fontId="22" fillId="3" borderId="0" xfId="0" applyFont="1" applyFill="1"/>
    <xf numFmtId="0" fontId="22" fillId="7" borderId="0" xfId="0" applyFont="1" applyFill="1"/>
    <xf numFmtId="0" fontId="22" fillId="0" borderId="0" xfId="0" applyFont="1"/>
    <xf numFmtId="2" fontId="23" fillId="0" borderId="0" xfId="0" applyNumberFormat="1" applyFont="1" applyAlignment="1">
      <alignment horizontal="center"/>
    </xf>
    <xf numFmtId="2" fontId="23" fillId="0" borderId="1" xfId="0" applyNumberFormat="1" applyFont="1" applyBorder="1"/>
    <xf numFmtId="0" fontId="23" fillId="0" borderId="1" xfId="0" applyFont="1" applyBorder="1" applyAlignment="1">
      <alignment horizontal="center"/>
    </xf>
    <xf numFmtId="0" fontId="0" fillId="0" borderId="2" xfId="0" applyBorder="1"/>
    <xf numFmtId="0" fontId="0" fillId="0" borderId="14" xfId="0" applyBorder="1"/>
    <xf numFmtId="0" fontId="0" fillId="0" borderId="25" xfId="0" applyBorder="1"/>
    <xf numFmtId="0" fontId="10" fillId="0" borderId="1" xfId="3" applyFont="1" applyBorder="1" applyAlignment="1">
      <alignment horizontal="center" vertical="center" wrapText="1"/>
    </xf>
    <xf numFmtId="166" fontId="23" fillId="0" borderId="1" xfId="0" applyNumberFormat="1" applyFont="1" applyBorder="1"/>
    <xf numFmtId="0" fontId="23" fillId="0" borderId="0" xfId="0" applyFont="1" applyAlignment="1">
      <alignment horizontal="right"/>
    </xf>
    <xf numFmtId="0" fontId="22" fillId="9" borderId="28" xfId="0" applyFont="1" applyFill="1" applyBorder="1" applyAlignment="1">
      <alignment horizontal="center"/>
    </xf>
    <xf numFmtId="0" fontId="22" fillId="0" borderId="30" xfId="0" applyFont="1" applyBorder="1" applyAlignment="1">
      <alignment horizontal="left" vertical="top" wrapText="1"/>
    </xf>
    <xf numFmtId="0" fontId="22" fillId="0" borderId="31" xfId="0" applyFont="1" applyBorder="1" applyAlignment="1">
      <alignment horizontal="center" vertical="top"/>
    </xf>
    <xf numFmtId="2" fontId="22" fillId="8" borderId="28" xfId="0" applyNumberFormat="1" applyFont="1" applyFill="1" applyBorder="1" applyAlignment="1">
      <alignment horizontal="center"/>
    </xf>
    <xf numFmtId="0" fontId="22" fillId="8" borderId="28" xfId="0" applyFont="1" applyFill="1" applyBorder="1" applyAlignment="1">
      <alignment horizontal="center"/>
    </xf>
    <xf numFmtId="2" fontId="22" fillId="0" borderId="28" xfId="0" applyNumberFormat="1" applyFont="1" applyBorder="1" applyAlignment="1">
      <alignment horizontal="center"/>
    </xf>
    <xf numFmtId="0" fontId="22" fillId="0" borderId="28" xfId="0" applyFont="1" applyBorder="1" applyAlignment="1">
      <alignment horizontal="center"/>
    </xf>
    <xf numFmtId="0" fontId="22" fillId="0" borderId="33" xfId="0" applyFont="1" applyBorder="1" applyAlignment="1">
      <alignment horizontal="left" vertical="top" wrapText="1"/>
    </xf>
    <xf numFmtId="0" fontId="0" fillId="0" borderId="33" xfId="0" applyBorder="1"/>
    <xf numFmtId="0" fontId="0" fillId="0" borderId="37" xfId="0" applyBorder="1"/>
    <xf numFmtId="0" fontId="0" fillId="0" borderId="15" xfId="0" applyBorder="1"/>
    <xf numFmtId="0" fontId="0" fillId="0" borderId="0" xfId="0" quotePrefix="1"/>
    <xf numFmtId="0" fontId="0" fillId="0" borderId="38" xfId="0" applyBorder="1"/>
    <xf numFmtId="0" fontId="0" fillId="0" borderId="39" xfId="0" quotePrefix="1" applyBorder="1"/>
    <xf numFmtId="0" fontId="0" fillId="0" borderId="39" xfId="0" applyBorder="1"/>
    <xf numFmtId="0" fontId="23" fillId="0" borderId="19" xfId="0" applyFont="1" applyBorder="1" applyAlignment="1">
      <alignment vertical="top" wrapText="1"/>
    </xf>
    <xf numFmtId="0" fontId="23" fillId="0" borderId="0" xfId="0" applyFont="1" applyAlignment="1">
      <alignment vertical="top" wrapText="1"/>
    </xf>
    <xf numFmtId="0" fontId="23" fillId="0" borderId="20" xfId="0" applyFont="1" applyBorder="1" applyAlignment="1">
      <alignment vertical="top" wrapText="1"/>
    </xf>
    <xf numFmtId="0" fontId="23" fillId="0" borderId="21" xfId="0" applyFont="1" applyBorder="1" applyAlignment="1">
      <alignment vertical="top" wrapText="1"/>
    </xf>
    <xf numFmtId="0" fontId="23" fillId="0" borderId="22" xfId="0" applyFont="1" applyBorder="1" applyAlignment="1">
      <alignment vertical="top" wrapText="1"/>
    </xf>
    <xf numFmtId="0" fontId="23" fillId="0" borderId="23" xfId="0" applyFont="1" applyBorder="1" applyAlignment="1">
      <alignment vertical="top" wrapText="1"/>
    </xf>
    <xf numFmtId="9" fontId="23" fillId="0" borderId="1" xfId="7" applyFont="1" applyBorder="1" applyAlignment="1"/>
    <xf numFmtId="0" fontId="10" fillId="0" borderId="0" xfId="3" applyFont="1" applyAlignment="1">
      <alignment horizontal="center" vertical="center" wrapText="1"/>
    </xf>
    <xf numFmtId="0" fontId="0" fillId="0" borderId="0" xfId="0" applyAlignment="1">
      <alignment horizontal="center" vertical="center"/>
    </xf>
    <xf numFmtId="0" fontId="23" fillId="3" borderId="17" xfId="0" applyFont="1" applyFill="1" applyBorder="1"/>
    <xf numFmtId="0" fontId="23" fillId="3" borderId="18" xfId="0" applyFont="1" applyFill="1" applyBorder="1"/>
    <xf numFmtId="2" fontId="23" fillId="0" borderId="0" xfId="0" applyNumberFormat="1" applyFont="1"/>
    <xf numFmtId="168" fontId="0" fillId="0" borderId="1" xfId="0" applyNumberFormat="1" applyBorder="1" applyAlignment="1">
      <alignment horizontal="center" vertical="center"/>
    </xf>
    <xf numFmtId="168" fontId="0" fillId="0" borderId="0" xfId="0" applyNumberFormat="1"/>
    <xf numFmtId="0" fontId="0" fillId="2" borderId="0" xfId="0" applyFill="1"/>
    <xf numFmtId="0" fontId="10" fillId="0" borderId="7" xfId="2" applyFont="1" applyBorder="1" applyAlignment="1">
      <alignment horizontal="center" vertical="center" wrapText="1"/>
    </xf>
    <xf numFmtId="0" fontId="33" fillId="0" borderId="0" xfId="0" applyFont="1"/>
    <xf numFmtId="0" fontId="33" fillId="0" borderId="0" xfId="0" applyFont="1" applyAlignment="1">
      <alignment horizontal="right"/>
    </xf>
    <xf numFmtId="0" fontId="34" fillId="0" borderId="0" xfId="0" applyFont="1" applyAlignment="1">
      <alignment vertical="center"/>
    </xf>
    <xf numFmtId="0" fontId="35" fillId="0" borderId="0" xfId="0" applyFont="1" applyAlignment="1">
      <alignment vertical="center"/>
    </xf>
    <xf numFmtId="0" fontId="33" fillId="0" borderId="0" xfId="0" applyFont="1" applyAlignment="1">
      <alignment vertical="center"/>
    </xf>
    <xf numFmtId="0" fontId="36" fillId="7" borderId="16" xfId="0" applyFont="1" applyFill="1" applyBorder="1"/>
    <xf numFmtId="0" fontId="33" fillId="7" borderId="17" xfId="0" applyFont="1" applyFill="1" applyBorder="1"/>
    <xf numFmtId="0" fontId="33" fillId="7" borderId="18" xfId="0" applyFont="1" applyFill="1" applyBorder="1"/>
    <xf numFmtId="0" fontId="33" fillId="0" borderId="19" xfId="0" applyFont="1" applyBorder="1"/>
    <xf numFmtId="0" fontId="33" fillId="0" borderId="20" xfId="0" applyFont="1" applyBorder="1"/>
    <xf numFmtId="0" fontId="36" fillId="9" borderId="28" xfId="0" applyFont="1" applyFill="1" applyBorder="1" applyAlignment="1">
      <alignment horizontal="center"/>
    </xf>
    <xf numFmtId="0" fontId="33" fillId="2" borderId="0" xfId="0" applyFont="1" applyFill="1"/>
    <xf numFmtId="0" fontId="36" fillId="0" borderId="30" xfId="0" applyFont="1" applyBorder="1" applyAlignment="1">
      <alignment horizontal="left" vertical="top" wrapText="1"/>
    </xf>
    <xf numFmtId="0" fontId="36" fillId="0" borderId="31" xfId="0" applyFont="1" applyBorder="1" applyAlignment="1">
      <alignment horizontal="center" vertical="top"/>
    </xf>
    <xf numFmtId="0" fontId="33" fillId="0" borderId="31" xfId="0" applyFont="1" applyBorder="1"/>
    <xf numFmtId="2" fontId="36" fillId="8" borderId="28" xfId="0" applyNumberFormat="1" applyFont="1" applyFill="1" applyBorder="1" applyAlignment="1">
      <alignment horizontal="center"/>
    </xf>
    <xf numFmtId="0" fontId="36" fillId="8" borderId="28" xfId="0" applyFont="1" applyFill="1" applyBorder="1" applyAlignment="1">
      <alignment horizontal="center"/>
    </xf>
    <xf numFmtId="2" fontId="36" fillId="0" borderId="28" xfId="0" applyNumberFormat="1" applyFont="1" applyBorder="1" applyAlignment="1">
      <alignment horizontal="center"/>
    </xf>
    <xf numFmtId="0" fontId="36" fillId="0" borderId="28" xfId="0" applyFont="1" applyBorder="1" applyAlignment="1">
      <alignment horizontal="center"/>
    </xf>
    <xf numFmtId="0" fontId="36" fillId="0" borderId="33" xfId="0" applyFont="1" applyBorder="1" applyAlignment="1">
      <alignment horizontal="left" vertical="top" wrapText="1"/>
    </xf>
    <xf numFmtId="0" fontId="33" fillId="0" borderId="33" xfId="0" applyFont="1" applyBorder="1"/>
    <xf numFmtId="0" fontId="33" fillId="0" borderId="2" xfId="0" applyFont="1" applyBorder="1"/>
    <xf numFmtId="0" fontId="33" fillId="0" borderId="0" xfId="0" quotePrefix="1" applyFont="1"/>
    <xf numFmtId="0" fontId="33" fillId="0" borderId="0" xfId="0" applyFont="1" applyAlignment="1">
      <alignment horizontal="left"/>
    </xf>
    <xf numFmtId="0" fontId="33" fillId="0" borderId="38" xfId="0" applyFont="1" applyBorder="1"/>
    <xf numFmtId="0" fontId="33" fillId="0" borderId="39" xfId="0" quotePrefix="1" applyFont="1" applyBorder="1"/>
    <xf numFmtId="0" fontId="33" fillId="0" borderId="39" xfId="0" applyFont="1" applyBorder="1" applyAlignment="1">
      <alignment horizontal="left"/>
    </xf>
    <xf numFmtId="0" fontId="33" fillId="0" borderId="39" xfId="0" applyFont="1" applyBorder="1"/>
    <xf numFmtId="0" fontId="33" fillId="0" borderId="37" xfId="0" applyFont="1" applyBorder="1"/>
    <xf numFmtId="0" fontId="33" fillId="0" borderId="14" xfId="0" applyFont="1" applyBorder="1"/>
    <xf numFmtId="0" fontId="33" fillId="0" borderId="25" xfId="0" applyFont="1" applyBorder="1"/>
    <xf numFmtId="0" fontId="33" fillId="0" borderId="15" xfId="0" applyFont="1" applyBorder="1"/>
    <xf numFmtId="0" fontId="33" fillId="0" borderId="0" xfId="0" applyFont="1" applyAlignment="1">
      <alignment horizontal="center"/>
    </xf>
    <xf numFmtId="0" fontId="36" fillId="9" borderId="1" xfId="0" applyFont="1" applyFill="1" applyBorder="1" applyAlignment="1">
      <alignment horizontal="center"/>
    </xf>
    <xf numFmtId="0" fontId="38" fillId="9" borderId="1" xfId="0" applyFont="1" applyFill="1" applyBorder="1" applyAlignment="1">
      <alignment horizontal="center"/>
    </xf>
    <xf numFmtId="168" fontId="33" fillId="0" borderId="1" xfId="0" applyNumberFormat="1" applyFont="1" applyBorder="1" applyAlignment="1">
      <alignment horizontal="center" vertical="center"/>
    </xf>
    <xf numFmtId="164" fontId="33" fillId="0" borderId="1" xfId="0" applyNumberFormat="1" applyFont="1" applyBorder="1" applyAlignment="1">
      <alignment horizontal="center" vertical="center"/>
    </xf>
    <xf numFmtId="168" fontId="33" fillId="0" borderId="0" xfId="0" applyNumberFormat="1" applyFont="1"/>
    <xf numFmtId="0" fontId="33" fillId="0" borderId="21" xfId="0" applyFont="1" applyBorder="1"/>
    <xf numFmtId="0" fontId="33" fillId="0" borderId="22" xfId="0" applyFont="1" applyBorder="1"/>
    <xf numFmtId="0" fontId="33" fillId="0" borderId="23" xfId="0" applyFont="1" applyBorder="1"/>
    <xf numFmtId="0" fontId="33" fillId="7" borderId="0" xfId="0" applyFont="1" applyFill="1"/>
    <xf numFmtId="0" fontId="33" fillId="0" borderId="19" xfId="0" applyFont="1" applyBorder="1" applyAlignment="1">
      <alignment vertical="top" wrapText="1"/>
    </xf>
    <xf numFmtId="0" fontId="33" fillId="0" borderId="0" xfId="0" applyFont="1" applyAlignment="1">
      <alignment vertical="top" wrapText="1"/>
    </xf>
    <xf numFmtId="0" fontId="33" fillId="0" borderId="20" xfId="0" applyFont="1" applyBorder="1" applyAlignment="1">
      <alignment vertical="top" wrapText="1"/>
    </xf>
    <xf numFmtId="0" fontId="33" fillId="0" borderId="21" xfId="0" applyFont="1" applyBorder="1" applyAlignment="1">
      <alignment vertical="top" wrapText="1"/>
    </xf>
    <xf numFmtId="0" fontId="33" fillId="0" borderId="22" xfId="0" applyFont="1" applyBorder="1" applyAlignment="1">
      <alignment vertical="top" wrapText="1"/>
    </xf>
    <xf numFmtId="0" fontId="33" fillId="0" borderId="23" xfId="0" applyFont="1" applyBorder="1" applyAlignment="1">
      <alignment vertical="top" wrapText="1"/>
    </xf>
    <xf numFmtId="0" fontId="39" fillId="0" borderId="32" xfId="0" applyFont="1" applyBorder="1" applyAlignment="1">
      <alignment horizontal="right"/>
    </xf>
    <xf numFmtId="0" fontId="10" fillId="0" borderId="7" xfId="2" applyFont="1" applyBorder="1" applyAlignment="1">
      <alignment horizontal="center" vertical="center"/>
    </xf>
    <xf numFmtId="0" fontId="24" fillId="3" borderId="8" xfId="2" applyFont="1" applyFill="1" applyBorder="1" applyAlignment="1">
      <alignment horizontal="center" vertical="center" wrapText="1"/>
    </xf>
    <xf numFmtId="0" fontId="33" fillId="0" borderId="1" xfId="0" applyFont="1" applyBorder="1" applyAlignment="1">
      <alignment horizontal="center" vertical="center"/>
    </xf>
    <xf numFmtId="0" fontId="12" fillId="0" borderId="1" xfId="10" applyFont="1" applyBorder="1" applyAlignment="1">
      <alignment horizontal="center" vertical="center" wrapText="1"/>
    </xf>
    <xf numFmtId="0" fontId="10" fillId="0" borderId="1" xfId="10" applyFont="1" applyBorder="1" applyAlignment="1">
      <alignment horizontal="center" vertical="center" wrapText="1"/>
    </xf>
    <xf numFmtId="0" fontId="10" fillId="0" borderId="6" xfId="10" applyFont="1" applyBorder="1" applyAlignment="1">
      <alignment horizontal="center" vertical="center" wrapText="1"/>
    </xf>
    <xf numFmtId="0" fontId="10" fillId="2" borderId="1" xfId="10" applyFont="1" applyFill="1" applyBorder="1" applyAlignment="1">
      <alignment horizontal="center" vertical="center"/>
    </xf>
    <xf numFmtId="0" fontId="10" fillId="0" borderId="7" xfId="10" applyFont="1" applyBorder="1" applyAlignment="1">
      <alignment horizontal="left" vertical="center" wrapText="1"/>
    </xf>
    <xf numFmtId="0" fontId="10" fillId="0" borderId="7" xfId="0" applyFont="1" applyBorder="1" applyAlignment="1">
      <alignment horizontal="center" vertical="center"/>
    </xf>
    <xf numFmtId="0" fontId="10" fillId="0" borderId="1" xfId="10" applyFont="1" applyBorder="1" applyAlignment="1">
      <alignment horizontal="left" vertical="center" wrapText="1"/>
    </xf>
    <xf numFmtId="0" fontId="10" fillId="3" borderId="1" xfId="10" applyFont="1" applyFill="1" applyBorder="1" applyAlignment="1">
      <alignment vertical="center" wrapText="1"/>
    </xf>
    <xf numFmtId="0" fontId="10" fillId="3" borderId="1" xfId="10" applyFont="1" applyFill="1" applyBorder="1" applyAlignment="1">
      <alignment horizontal="center" vertical="center" wrapText="1"/>
    </xf>
    <xf numFmtId="0" fontId="10" fillId="0" borderId="7" xfId="10" applyFont="1" applyBorder="1" applyAlignment="1">
      <alignment horizontal="center" vertical="center" wrapText="1"/>
    </xf>
    <xf numFmtId="0" fontId="10" fillId="3" borderId="1" xfId="10" applyFont="1" applyFill="1" applyBorder="1" applyAlignment="1">
      <alignment horizontal="left" vertical="center" wrapText="1"/>
    </xf>
    <xf numFmtId="0" fontId="12" fillId="3" borderId="1" xfId="10" applyFont="1" applyFill="1" applyBorder="1" applyAlignment="1">
      <alignment horizontal="left" vertical="center" wrapText="1"/>
    </xf>
    <xf numFmtId="0" fontId="12" fillId="3" borderId="1" xfId="10" applyFont="1" applyFill="1" applyBorder="1" applyAlignment="1">
      <alignment horizontal="center" vertical="center" wrapText="1"/>
    </xf>
    <xf numFmtId="0" fontId="10" fillId="3" borderId="7" xfId="10" applyFont="1" applyFill="1" applyBorder="1" applyAlignment="1">
      <alignment horizontal="left" vertical="center" wrapText="1"/>
    </xf>
    <xf numFmtId="0" fontId="10" fillId="0" borderId="1" xfId="10" applyFont="1" applyBorder="1" applyAlignment="1">
      <alignment horizontal="center" vertical="center"/>
    </xf>
    <xf numFmtId="0" fontId="10" fillId="2" borderId="1" xfId="10" applyFont="1" applyFill="1" applyBorder="1" applyAlignment="1">
      <alignment vertical="center" wrapText="1"/>
    </xf>
    <xf numFmtId="0" fontId="10" fillId="2" borderId="1" xfId="10" applyFont="1" applyFill="1" applyBorder="1" applyAlignment="1">
      <alignment horizontal="center" vertical="center" wrapText="1"/>
    </xf>
    <xf numFmtId="0" fontId="10" fillId="0" borderId="1" xfId="10" applyFont="1" applyBorder="1" applyAlignment="1">
      <alignment vertical="center" wrapText="1"/>
    </xf>
    <xf numFmtId="0" fontId="10" fillId="2" borderId="8" xfId="10" applyFont="1" applyFill="1" applyBorder="1" applyAlignment="1">
      <alignment horizontal="center" vertical="center" wrapText="1"/>
    </xf>
    <xf numFmtId="0" fontId="10" fillId="3" borderId="8" xfId="10" applyFont="1" applyFill="1" applyBorder="1" applyAlignment="1">
      <alignment horizontal="center" vertical="center" wrapText="1"/>
    </xf>
    <xf numFmtId="0" fontId="26" fillId="3" borderId="1" xfId="10" applyFont="1" applyFill="1" applyBorder="1" applyAlignment="1">
      <alignment horizontal="center" vertical="center" wrapText="1"/>
    </xf>
    <xf numFmtId="0" fontId="10" fillId="3" borderId="1" xfId="10" applyFont="1" applyFill="1" applyBorder="1" applyAlignment="1">
      <alignment horizontal="center" vertical="center"/>
    </xf>
    <xf numFmtId="0" fontId="26" fillId="3" borderId="1" xfId="10" applyFont="1" applyFill="1" applyBorder="1" applyAlignment="1">
      <alignment vertical="center" wrapText="1"/>
    </xf>
    <xf numFmtId="0" fontId="10" fillId="2" borderId="1" xfId="10" applyFont="1" applyFill="1" applyBorder="1" applyAlignment="1">
      <alignment horizontal="left" vertical="center" wrapText="1"/>
    </xf>
    <xf numFmtId="0" fontId="8" fillId="0" borderId="0" xfId="10" applyFont="1">
      <alignment vertical="center"/>
    </xf>
    <xf numFmtId="0" fontId="10" fillId="0" borderId="0" xfId="10" applyFont="1">
      <alignment vertical="center"/>
    </xf>
    <xf numFmtId="0" fontId="10" fillId="2" borderId="1" xfId="10" applyFont="1" applyFill="1" applyBorder="1">
      <alignment vertical="center"/>
    </xf>
    <xf numFmtId="0" fontId="10" fillId="3" borderId="1" xfId="10" applyFont="1" applyFill="1" applyBorder="1">
      <alignment vertical="center"/>
    </xf>
    <xf numFmtId="0" fontId="10" fillId="0" borderId="0" xfId="11" applyFont="1">
      <alignment vertical="center"/>
    </xf>
    <xf numFmtId="0" fontId="10" fillId="0" borderId="0" xfId="11" applyFont="1" applyAlignment="1">
      <alignment vertical="center" wrapText="1"/>
    </xf>
    <xf numFmtId="0" fontId="10" fillId="0" borderId="0" xfId="11" applyFont="1" applyAlignment="1">
      <alignment horizontal="center" vertical="center" wrapText="1"/>
    </xf>
    <xf numFmtId="0" fontId="10" fillId="0" borderId="0" xfId="11" applyFont="1" applyAlignment="1">
      <alignment horizontal="right" vertical="center"/>
    </xf>
    <xf numFmtId="0" fontId="10" fillId="0" borderId="0" xfId="11" applyFont="1" applyAlignment="1">
      <alignment horizontal="center" vertical="center"/>
    </xf>
    <xf numFmtId="0" fontId="10" fillId="0" borderId="1" xfId="11" applyFont="1" applyBorder="1" applyAlignment="1">
      <alignment horizontal="center" vertical="center"/>
    </xf>
    <xf numFmtId="0" fontId="10" fillId="0" borderId="1" xfId="11" applyFont="1" applyBorder="1" applyAlignment="1">
      <alignment horizontal="center" vertical="center" wrapText="1"/>
    </xf>
    <xf numFmtId="0" fontId="12" fillId="2" borderId="1" xfId="11" applyFont="1" applyFill="1" applyBorder="1" applyAlignment="1">
      <alignment horizontal="center" vertical="center" wrapText="1"/>
    </xf>
    <xf numFmtId="0" fontId="10" fillId="2" borderId="1" xfId="11" applyFont="1" applyFill="1" applyBorder="1" applyAlignment="1">
      <alignment horizontal="center" vertical="center"/>
    </xf>
    <xf numFmtId="0" fontId="10" fillId="3" borderId="1" xfId="11" applyFont="1" applyFill="1" applyBorder="1" applyAlignment="1">
      <alignment vertical="center" wrapText="1"/>
    </xf>
    <xf numFmtId="0" fontId="10" fillId="3" borderId="1" xfId="11" applyFont="1" applyFill="1" applyBorder="1" applyAlignment="1">
      <alignment horizontal="center" vertical="center" wrapText="1"/>
    </xf>
    <xf numFmtId="0" fontId="10" fillId="3" borderId="1" xfId="12" applyFont="1" applyFill="1" applyBorder="1" applyAlignment="1">
      <alignment vertical="center" wrapText="1"/>
    </xf>
    <xf numFmtId="0" fontId="10" fillId="3" borderId="1" xfId="11" applyFont="1" applyFill="1" applyBorder="1" applyAlignment="1">
      <alignment horizontal="left" vertical="center" wrapText="1"/>
    </xf>
    <xf numFmtId="0" fontId="10" fillId="3" borderId="1" xfId="12" applyFont="1" applyFill="1" applyBorder="1" applyAlignment="1">
      <alignment horizontal="left" vertical="center" wrapText="1"/>
    </xf>
    <xf numFmtId="0" fontId="12" fillId="3" borderId="1" xfId="11" applyFont="1" applyFill="1" applyBorder="1" applyAlignment="1">
      <alignment horizontal="left" vertical="center" wrapText="1"/>
    </xf>
    <xf numFmtId="0" fontId="26" fillId="3" borderId="1" xfId="11" applyFont="1" applyFill="1" applyBorder="1" applyAlignment="1">
      <alignment horizontal="left" vertical="center" wrapText="1"/>
    </xf>
    <xf numFmtId="0" fontId="10" fillId="0" borderId="1" xfId="12" applyFont="1" applyBorder="1" applyAlignment="1">
      <alignment horizontal="left" vertical="center" wrapText="1"/>
    </xf>
    <xf numFmtId="0" fontId="10" fillId="2" borderId="1" xfId="12" applyFont="1" applyFill="1" applyBorder="1" applyAlignment="1">
      <alignment vertical="center" wrapText="1"/>
    </xf>
    <xf numFmtId="0" fontId="10" fillId="0" borderId="1" xfId="11" applyFont="1" applyBorder="1" applyAlignment="1">
      <alignment vertical="center" wrapText="1"/>
    </xf>
    <xf numFmtId="0" fontId="10" fillId="2" borderId="1" xfId="11" applyFont="1" applyFill="1" applyBorder="1" applyAlignment="1">
      <alignment horizontal="center" vertical="center" wrapText="1"/>
    </xf>
    <xf numFmtId="0" fontId="12" fillId="2" borderId="1" xfId="11" applyFont="1" applyFill="1" applyBorder="1" applyAlignment="1">
      <alignment vertical="center" wrapText="1"/>
    </xf>
    <xf numFmtId="0" fontId="12" fillId="3" borderId="1" xfId="11" applyFont="1" applyFill="1" applyBorder="1" applyAlignment="1">
      <alignment vertical="center" wrapText="1"/>
    </xf>
    <xf numFmtId="0" fontId="10" fillId="0" borderId="1" xfId="11" applyFont="1" applyBorder="1" applyAlignment="1">
      <alignment horizontal="left" vertical="center" wrapText="1"/>
    </xf>
    <xf numFmtId="0" fontId="26" fillId="3" borderId="1" xfId="11" applyFont="1" applyFill="1" applyBorder="1" applyAlignment="1">
      <alignment vertical="center" wrapText="1"/>
    </xf>
    <xf numFmtId="0" fontId="10" fillId="4" borderId="0" xfId="11" applyFont="1" applyFill="1" applyAlignment="1">
      <alignment horizontal="center" vertical="center"/>
    </xf>
    <xf numFmtId="0" fontId="10" fillId="4" borderId="0" xfId="11" applyFont="1" applyFill="1" applyAlignment="1">
      <alignment vertical="center" wrapText="1"/>
    </xf>
    <xf numFmtId="0" fontId="10" fillId="4" borderId="0" xfId="11" applyFont="1" applyFill="1" applyAlignment="1">
      <alignment horizontal="center" vertical="center" wrapText="1"/>
    </xf>
    <xf numFmtId="0" fontId="10" fillId="4" borderId="0" xfId="11" applyFont="1" applyFill="1">
      <alignment vertical="center"/>
    </xf>
    <xf numFmtId="0" fontId="10" fillId="5" borderId="0" xfId="11" applyFont="1" applyFill="1" applyAlignment="1">
      <alignment horizontal="center" vertical="center"/>
    </xf>
    <xf numFmtId="0" fontId="10" fillId="5" borderId="0" xfId="11" applyFont="1" applyFill="1" applyAlignment="1">
      <alignment vertical="center" wrapText="1"/>
    </xf>
    <xf numFmtId="0" fontId="10" fillId="5" borderId="0" xfId="11" applyFont="1" applyFill="1" applyAlignment="1">
      <alignment horizontal="center" vertical="center" wrapText="1"/>
    </xf>
    <xf numFmtId="0" fontId="10" fillId="0" borderId="0" xfId="12" applyFont="1">
      <alignment vertical="center"/>
    </xf>
    <xf numFmtId="0" fontId="10" fillId="0" borderId="0" xfId="12" applyFont="1" applyAlignment="1">
      <alignment vertical="center" wrapText="1"/>
    </xf>
    <xf numFmtId="0" fontId="10" fillId="0" borderId="0" xfId="12" applyFont="1" applyAlignment="1">
      <alignment horizontal="center" vertical="center" wrapText="1"/>
    </xf>
    <xf numFmtId="0" fontId="10" fillId="0" borderId="0" xfId="12" applyFont="1" applyAlignment="1">
      <alignment horizontal="right" vertical="center"/>
    </xf>
    <xf numFmtId="0" fontId="10" fillId="0" borderId="0" xfId="12" applyFont="1" applyAlignment="1">
      <alignment horizontal="center" vertical="center"/>
    </xf>
    <xf numFmtId="0" fontId="10" fillId="0" borderId="1" xfId="12" applyFont="1" applyBorder="1" applyAlignment="1">
      <alignment horizontal="center" vertical="center"/>
    </xf>
    <xf numFmtId="0" fontId="10" fillId="0" borderId="1" xfId="12" applyFont="1" applyBorder="1" applyAlignment="1">
      <alignment horizontal="center" vertical="center" wrapText="1"/>
    </xf>
    <xf numFmtId="0" fontId="10" fillId="2" borderId="1" xfId="12" applyFont="1" applyFill="1" applyBorder="1" applyAlignment="1">
      <alignment horizontal="center" vertical="center"/>
    </xf>
    <xf numFmtId="0" fontId="10" fillId="0" borderId="1" xfId="12" applyFont="1" applyBorder="1" applyAlignment="1">
      <alignment vertical="center" wrapText="1"/>
    </xf>
    <xf numFmtId="0" fontId="10" fillId="2" borderId="1" xfId="12" applyFont="1" applyFill="1" applyBorder="1" applyAlignment="1">
      <alignment horizontal="center" vertical="center" wrapText="1"/>
    </xf>
    <xf numFmtId="0" fontId="10" fillId="3" borderId="1" xfId="12" applyFont="1" applyFill="1" applyBorder="1" applyAlignment="1">
      <alignment horizontal="center" vertical="center" wrapText="1"/>
    </xf>
    <xf numFmtId="0" fontId="10" fillId="0" borderId="0" xfId="12" applyFont="1" applyAlignment="1">
      <alignment horizontal="left" vertical="center" wrapText="1"/>
    </xf>
    <xf numFmtId="0" fontId="12" fillId="2" borderId="1" xfId="12" applyFont="1" applyFill="1" applyBorder="1" applyAlignment="1">
      <alignment horizontal="center" vertical="center" wrapText="1"/>
    </xf>
    <xf numFmtId="0" fontId="10" fillId="0" borderId="7" xfId="12" applyFont="1" applyBorder="1" applyAlignment="1">
      <alignment horizontal="left" vertical="center" wrapText="1"/>
    </xf>
    <xf numFmtId="0" fontId="12" fillId="2" borderId="1" xfId="12" applyFont="1" applyFill="1" applyBorder="1" applyAlignment="1">
      <alignment vertical="center" wrapText="1"/>
    </xf>
    <xf numFmtId="0" fontId="12" fillId="2" borderId="1" xfId="12" applyFont="1" applyFill="1" applyBorder="1" applyAlignment="1">
      <alignment horizontal="left" vertical="center" wrapText="1"/>
    </xf>
    <xf numFmtId="0" fontId="10" fillId="2" borderId="1" xfId="12" applyFont="1" applyFill="1" applyBorder="1" applyAlignment="1">
      <alignment horizontal="left" vertical="center" wrapText="1"/>
    </xf>
    <xf numFmtId="0" fontId="12" fillId="3" borderId="1" xfId="12" applyFont="1" applyFill="1" applyBorder="1" applyAlignment="1">
      <alignment vertical="center" wrapText="1"/>
    </xf>
    <xf numFmtId="0" fontId="12" fillId="3" borderId="1" xfId="12" applyFont="1" applyFill="1" applyBorder="1" applyAlignment="1">
      <alignment horizontal="left" vertical="center" wrapText="1"/>
    </xf>
    <xf numFmtId="0" fontId="10" fillId="4" borderId="0" xfId="12" applyFont="1" applyFill="1" applyAlignment="1">
      <alignment horizontal="center" vertical="center"/>
    </xf>
    <xf numFmtId="0" fontId="10" fillId="4" borderId="0" xfId="12" applyFont="1" applyFill="1" applyAlignment="1">
      <alignment vertical="center" wrapText="1"/>
    </xf>
    <xf numFmtId="0" fontId="10" fillId="4" borderId="0" xfId="12" applyFont="1" applyFill="1" applyAlignment="1">
      <alignment horizontal="center" vertical="center" wrapText="1"/>
    </xf>
    <xf numFmtId="0" fontId="10" fillId="4" borderId="0" xfId="12" applyFont="1" applyFill="1">
      <alignment vertical="center"/>
    </xf>
    <xf numFmtId="0" fontId="10" fillId="5" borderId="0" xfId="12" applyFont="1" applyFill="1" applyAlignment="1">
      <alignment horizontal="center" vertical="center"/>
    </xf>
    <xf numFmtId="0" fontId="10" fillId="5" borderId="0" xfId="12" applyFont="1" applyFill="1" applyAlignment="1">
      <alignment vertical="center" wrapText="1"/>
    </xf>
    <xf numFmtId="0" fontId="10" fillId="5" borderId="0" xfId="12" applyFont="1" applyFill="1" applyAlignment="1">
      <alignment horizontal="center" vertical="center" wrapText="1"/>
    </xf>
    <xf numFmtId="0" fontId="0" fillId="0" borderId="0" xfId="0" applyAlignment="1">
      <alignment horizontal="center" wrapText="1"/>
    </xf>
    <xf numFmtId="0" fontId="12" fillId="0" borderId="1" xfId="12" applyFont="1" applyBorder="1" applyAlignment="1">
      <alignment horizontal="left" vertical="center" wrapText="1"/>
    </xf>
    <xf numFmtId="0" fontId="33" fillId="0" borderId="1" xfId="0" quotePrefix="1" applyFont="1" applyBorder="1" applyAlignment="1">
      <alignment horizontal="center" vertical="center"/>
    </xf>
    <xf numFmtId="0" fontId="33" fillId="0" borderId="0" xfId="0" applyFont="1" applyAlignment="1">
      <alignment horizontal="center" vertical="center"/>
    </xf>
    <xf numFmtId="0" fontId="33" fillId="0" borderId="1" xfId="0" applyFont="1" applyBorder="1" applyAlignment="1">
      <alignment vertical="center" wrapText="1"/>
    </xf>
    <xf numFmtId="0" fontId="10" fillId="0" borderId="1" xfId="3" applyFont="1" applyBorder="1" applyAlignment="1">
      <alignment horizontal="center" vertical="center"/>
    </xf>
    <xf numFmtId="0" fontId="10" fillId="0" borderId="1" xfId="3" applyFont="1" applyBorder="1" applyAlignment="1">
      <alignment horizontal="left" vertical="center" wrapText="1"/>
    </xf>
    <xf numFmtId="0" fontId="32" fillId="0" borderId="0" xfId="0" applyFont="1"/>
    <xf numFmtId="0" fontId="10" fillId="2" borderId="1" xfId="3" applyFont="1" applyFill="1" applyBorder="1" applyAlignment="1">
      <alignment horizontal="left" vertical="center" wrapText="1"/>
    </xf>
    <xf numFmtId="0" fontId="10" fillId="10" borderId="1" xfId="2" applyFont="1" applyFill="1" applyBorder="1" applyAlignment="1">
      <alignment horizontal="center" vertical="center" wrapText="1"/>
    </xf>
    <xf numFmtId="0" fontId="10" fillId="10" borderId="1" xfId="0" applyFont="1" applyFill="1" applyBorder="1" applyAlignment="1">
      <alignment horizontal="center" vertical="center"/>
    </xf>
    <xf numFmtId="0" fontId="10" fillId="0" borderId="0" xfId="0" applyFont="1" applyAlignment="1">
      <alignment vertical="center"/>
    </xf>
    <xf numFmtId="0" fontId="12" fillId="10" borderId="1" xfId="3" applyFont="1" applyFill="1" applyBorder="1" applyAlignment="1">
      <alignment horizontal="left" vertical="center" wrapText="1"/>
    </xf>
    <xf numFmtId="0" fontId="12" fillId="0" borderId="1" xfId="3" applyFont="1" applyBorder="1" applyAlignment="1">
      <alignment horizontal="center" vertical="center"/>
    </xf>
    <xf numFmtId="0" fontId="10" fillId="0" borderId="0" xfId="0" applyFont="1" applyAlignment="1">
      <alignment horizontal="center" vertical="center"/>
    </xf>
    <xf numFmtId="0" fontId="10" fillId="0" borderId="3" xfId="3" applyFont="1" applyBorder="1" applyAlignment="1">
      <alignment horizontal="center" vertical="center" wrapText="1"/>
    </xf>
    <xf numFmtId="0" fontId="37" fillId="0" borderId="28" xfId="0" applyFont="1" applyBorder="1" applyAlignment="1">
      <alignment horizontal="center" shrinkToFit="1"/>
    </xf>
    <xf numFmtId="0" fontId="33" fillId="0" borderId="28" xfId="0" applyFont="1" applyBorder="1" applyAlignment="1">
      <alignment horizontal="center" shrinkToFit="1"/>
    </xf>
    <xf numFmtId="0" fontId="37" fillId="0" borderId="1" xfId="0" applyFont="1" applyBorder="1" applyAlignment="1">
      <alignment horizontal="center" shrinkToFit="1"/>
    </xf>
    <xf numFmtId="0" fontId="12" fillId="11" borderId="1" xfId="3" applyFont="1" applyFill="1" applyBorder="1" applyAlignment="1">
      <alignment horizontal="center" vertical="center" wrapText="1"/>
    </xf>
    <xf numFmtId="0" fontId="12" fillId="12" borderId="1" xfId="3" applyFont="1" applyFill="1" applyBorder="1" applyAlignment="1">
      <alignment horizontal="center" vertical="center" wrapText="1"/>
    </xf>
    <xf numFmtId="0" fontId="43" fillId="11" borderId="1" xfId="3" applyFont="1" applyFill="1" applyBorder="1" applyAlignment="1">
      <alignment horizontal="center" vertical="center" wrapText="1"/>
    </xf>
    <xf numFmtId="0" fontId="12" fillId="0" borderId="0" xfId="3" applyFont="1" applyAlignment="1">
      <alignment vertical="center" wrapText="1"/>
    </xf>
    <xf numFmtId="0" fontId="10" fillId="3" borderId="1" xfId="10" applyFont="1" applyFill="1" applyBorder="1" applyAlignment="1">
      <alignment horizontal="left" vertical="top" wrapText="1"/>
    </xf>
    <xf numFmtId="0" fontId="10" fillId="0" borderId="3" xfId="2" applyFont="1" applyBorder="1" applyAlignment="1">
      <alignment horizontal="center" vertical="center" wrapText="1"/>
    </xf>
    <xf numFmtId="0" fontId="24" fillId="0" borderId="1" xfId="2" applyFont="1" applyBorder="1" applyAlignment="1">
      <alignment horizontal="center" vertical="center" wrapText="1"/>
    </xf>
    <xf numFmtId="0" fontId="26" fillId="0" borderId="1" xfId="2" applyFont="1" applyBorder="1" applyAlignment="1">
      <alignment horizontal="center" vertical="center" wrapText="1"/>
    </xf>
    <xf numFmtId="0" fontId="45" fillId="0" borderId="1" xfId="12" applyFont="1" applyBorder="1" applyAlignment="1">
      <alignment horizontal="center" vertical="center" wrapText="1"/>
    </xf>
    <xf numFmtId="0" fontId="45" fillId="0" borderId="3" xfId="12" applyFont="1" applyBorder="1" applyAlignment="1">
      <alignment horizontal="center" vertical="center" wrapText="1"/>
    </xf>
    <xf numFmtId="0" fontId="0" fillId="0" borderId="0" xfId="0" applyAlignment="1">
      <alignment horizontal="right"/>
    </xf>
    <xf numFmtId="0" fontId="10" fillId="0" borderId="0" xfId="0" applyFont="1" applyAlignment="1">
      <alignment horizontal="center"/>
    </xf>
    <xf numFmtId="0" fontId="10" fillId="0" borderId="8" xfId="3" applyFont="1" applyBorder="1" applyAlignment="1">
      <alignment horizontal="center" vertical="center"/>
    </xf>
    <xf numFmtId="0" fontId="10" fillId="0" borderId="9" xfId="3" applyFont="1" applyBorder="1">
      <alignment vertical="center"/>
    </xf>
    <xf numFmtId="0" fontId="49" fillId="0" borderId="1" xfId="3" applyFont="1" applyBorder="1" applyAlignment="1">
      <alignment horizontal="center" vertical="center" wrapText="1"/>
    </xf>
    <xf numFmtId="0" fontId="17" fillId="0" borderId="1" xfId="3" applyFont="1" applyBorder="1" applyAlignment="1">
      <alignment vertical="center" shrinkToFit="1"/>
    </xf>
    <xf numFmtId="0" fontId="50" fillId="0" borderId="1" xfId="0" applyFont="1" applyBorder="1"/>
    <xf numFmtId="0" fontId="50" fillId="0" borderId="1" xfId="0" applyFont="1" applyBorder="1" applyAlignment="1">
      <alignment horizontal="center" vertical="center"/>
    </xf>
    <xf numFmtId="0" fontId="50" fillId="0" borderId="1" xfId="2" applyFont="1" applyBorder="1" applyAlignment="1">
      <alignment horizontal="left" vertical="center" wrapText="1"/>
    </xf>
    <xf numFmtId="0" fontId="51" fillId="0" borderId="1" xfId="2" applyFont="1" applyBorder="1" applyAlignment="1">
      <alignment horizontal="left" vertical="center" wrapText="1"/>
    </xf>
    <xf numFmtId="0" fontId="51" fillId="0" borderId="1" xfId="12" applyFont="1" applyBorder="1" applyAlignment="1">
      <alignment horizontal="left" vertical="center" wrapText="1"/>
    </xf>
    <xf numFmtId="0" fontId="51" fillId="0" borderId="3" xfId="12" applyFont="1" applyBorder="1" applyAlignment="1">
      <alignment horizontal="left" vertical="center" wrapText="1"/>
    </xf>
    <xf numFmtId="0" fontId="50" fillId="0" borderId="1" xfId="2" applyFont="1" applyBorder="1" applyAlignment="1">
      <alignment horizontal="left" vertical="center"/>
    </xf>
    <xf numFmtId="0" fontId="23" fillId="0" borderId="0" xfId="0" applyFont="1" applyAlignment="1">
      <alignment horizontal="left"/>
    </xf>
    <xf numFmtId="0" fontId="44" fillId="0" borderId="0" xfId="0" applyFont="1"/>
    <xf numFmtId="0" fontId="45" fillId="3" borderId="14" xfId="12" applyFont="1" applyFill="1" applyBorder="1" applyAlignment="1">
      <alignment horizontal="left" vertical="center" wrapText="1"/>
    </xf>
    <xf numFmtId="0" fontId="45" fillId="3" borderId="1" xfId="12" applyFont="1" applyFill="1" applyBorder="1" applyAlignment="1">
      <alignment horizontal="left" vertical="center" wrapText="1"/>
    </xf>
    <xf numFmtId="0" fontId="10" fillId="2" borderId="41" xfId="2" applyFont="1" applyFill="1" applyBorder="1">
      <alignment vertical="center"/>
    </xf>
    <xf numFmtId="0" fontId="10" fillId="0" borderId="20" xfId="2" applyFont="1" applyBorder="1">
      <alignment vertical="center"/>
    </xf>
    <xf numFmtId="0" fontId="10" fillId="3" borderId="41" xfId="2" applyFont="1" applyFill="1" applyBorder="1">
      <alignment vertical="center"/>
    </xf>
    <xf numFmtId="0" fontId="52" fillId="0" borderId="21" xfId="0" applyFont="1" applyBorder="1"/>
    <xf numFmtId="0" fontId="0" fillId="0" borderId="22" xfId="0" applyBorder="1"/>
    <xf numFmtId="0" fontId="0" fillId="0" borderId="23" xfId="0" applyBorder="1"/>
    <xf numFmtId="0" fontId="25" fillId="0" borderId="0" xfId="2" applyFont="1" applyAlignment="1">
      <alignment horizontal="right" vertical="center"/>
    </xf>
    <xf numFmtId="0" fontId="8" fillId="0" borderId="0" xfId="2" applyFont="1" applyAlignment="1">
      <alignment horizontal="right" vertical="center"/>
    </xf>
    <xf numFmtId="0" fontId="13" fillId="0" borderId="0" xfId="2" applyFont="1">
      <alignment vertical="center"/>
    </xf>
    <xf numFmtId="0" fontId="51" fillId="0" borderId="1" xfId="0" applyFont="1" applyBorder="1" applyAlignment="1">
      <alignment horizontal="center" vertical="center"/>
    </xf>
    <xf numFmtId="0" fontId="24" fillId="0" borderId="1" xfId="0" applyFont="1" applyBorder="1" applyAlignment="1">
      <alignment horizontal="center" vertical="center"/>
    </xf>
    <xf numFmtId="0" fontId="30" fillId="0" borderId="1" xfId="0" applyFont="1" applyBorder="1"/>
    <xf numFmtId="0" fontId="10" fillId="0" borderId="1" xfId="0" applyFont="1" applyBorder="1" applyAlignment="1">
      <alignment horizontal="left" vertical="center"/>
    </xf>
    <xf numFmtId="0" fontId="10" fillId="0" borderId="0" xfId="0" applyFont="1" applyAlignment="1">
      <alignment horizontal="left" vertical="center"/>
    </xf>
    <xf numFmtId="0" fontId="44" fillId="0" borderId="0" xfId="0" applyFont="1" applyAlignment="1">
      <alignment wrapText="1"/>
    </xf>
    <xf numFmtId="0" fontId="0" fillId="0" borderId="0" xfId="0" applyAlignment="1">
      <alignment vertical="center" wrapText="1"/>
    </xf>
    <xf numFmtId="0" fontId="10" fillId="2" borderId="1" xfId="0" applyFont="1" applyFill="1" applyBorder="1" applyAlignment="1">
      <alignment horizontal="center" vertical="center"/>
    </xf>
    <xf numFmtId="0" fontId="24" fillId="2" borderId="1" xfId="2" applyFont="1" applyFill="1" applyBorder="1" applyAlignment="1">
      <alignment horizontal="center" vertical="center" wrapText="1"/>
    </xf>
    <xf numFmtId="0" fontId="24" fillId="2" borderId="1" xfId="2" applyFont="1" applyFill="1" applyBorder="1" applyAlignment="1">
      <alignment horizontal="left" vertical="center" wrapText="1"/>
    </xf>
    <xf numFmtId="0" fontId="45" fillId="2" borderId="1" xfId="12" applyFont="1" applyFill="1" applyBorder="1" applyAlignment="1">
      <alignment horizontal="center" vertical="center" wrapText="1"/>
    </xf>
    <xf numFmtId="0" fontId="45" fillId="2" borderId="14" xfId="12" applyFont="1" applyFill="1" applyBorder="1" applyAlignment="1">
      <alignment horizontal="left" vertical="center" wrapText="1"/>
    </xf>
    <xf numFmtId="0" fontId="45" fillId="2" borderId="1" xfId="12" applyFont="1" applyFill="1" applyBorder="1" applyAlignment="1">
      <alignment horizontal="left" vertical="center" wrapText="1"/>
    </xf>
    <xf numFmtId="0" fontId="45" fillId="2" borderId="1" xfId="12" quotePrefix="1" applyFont="1" applyFill="1" applyBorder="1" applyAlignment="1">
      <alignment horizontal="left" vertical="center" wrapText="1"/>
    </xf>
    <xf numFmtId="0" fontId="12" fillId="2" borderId="1" xfId="2" applyFont="1" applyFill="1" applyBorder="1" applyAlignment="1">
      <alignment horizontal="center" vertical="center" wrapText="1"/>
    </xf>
    <xf numFmtId="0" fontId="10" fillId="2" borderId="14" xfId="2" applyFont="1" applyFill="1" applyBorder="1" applyAlignment="1">
      <alignment horizontal="left" vertical="center" wrapText="1"/>
    </xf>
    <xf numFmtId="0" fontId="10" fillId="2" borderId="8" xfId="2" applyFont="1" applyFill="1" applyBorder="1" applyAlignment="1">
      <alignment horizontal="center" vertical="center" wrapText="1"/>
    </xf>
    <xf numFmtId="0" fontId="45" fillId="2" borderId="3" xfId="12" applyFont="1" applyFill="1" applyBorder="1" applyAlignment="1">
      <alignment horizontal="center" vertical="center" wrapText="1"/>
    </xf>
    <xf numFmtId="0" fontId="45" fillId="2" borderId="2" xfId="12" applyFont="1" applyFill="1" applyBorder="1" applyAlignment="1">
      <alignment horizontal="left" vertical="center" wrapText="1"/>
    </xf>
    <xf numFmtId="0" fontId="45" fillId="2" borderId="3" xfId="12" applyFont="1" applyFill="1" applyBorder="1" applyAlignment="1">
      <alignment horizontal="left" vertical="center" wrapText="1"/>
    </xf>
    <xf numFmtId="0" fontId="36" fillId="2" borderId="30" xfId="0" applyFont="1" applyFill="1" applyBorder="1" applyAlignment="1">
      <alignment horizontal="left" vertical="top" wrapText="1"/>
    </xf>
    <xf numFmtId="0" fontId="36" fillId="2" borderId="31" xfId="0" applyFont="1" applyFill="1" applyBorder="1" applyAlignment="1">
      <alignment horizontal="center" vertical="top"/>
    </xf>
    <xf numFmtId="0" fontId="36" fillId="2" borderId="33" xfId="0" applyFont="1" applyFill="1" applyBorder="1" applyAlignment="1">
      <alignment horizontal="left" vertical="top" wrapText="1"/>
    </xf>
    <xf numFmtId="0" fontId="33" fillId="2" borderId="33" xfId="0" applyFont="1" applyFill="1" applyBorder="1"/>
    <xf numFmtId="0" fontId="33" fillId="2" borderId="37" xfId="0" applyFont="1" applyFill="1" applyBorder="1"/>
    <xf numFmtId="168" fontId="33" fillId="2" borderId="0" xfId="0" applyNumberFormat="1" applyFont="1" applyFill="1"/>
    <xf numFmtId="0" fontId="33" fillId="2" borderId="2" xfId="0" applyFont="1" applyFill="1" applyBorder="1"/>
    <xf numFmtId="0" fontId="33" fillId="2" borderId="0" xfId="0" quotePrefix="1" applyFont="1" applyFill="1"/>
    <xf numFmtId="0" fontId="33" fillId="2" borderId="0" xfId="0" applyFont="1" applyFill="1" applyAlignment="1">
      <alignment horizontal="left"/>
    </xf>
    <xf numFmtId="0" fontId="33" fillId="2" borderId="38" xfId="0" applyFont="1" applyFill="1" applyBorder="1"/>
    <xf numFmtId="0" fontId="33" fillId="2" borderId="39" xfId="0" quotePrefix="1" applyFont="1" applyFill="1" applyBorder="1"/>
    <xf numFmtId="0" fontId="36" fillId="2" borderId="39" xfId="0" applyFont="1" applyFill="1" applyBorder="1" applyAlignment="1">
      <alignment horizontal="left"/>
    </xf>
    <xf numFmtId="0" fontId="33" fillId="2" borderId="0" xfId="0" applyFont="1" applyFill="1" applyAlignment="1">
      <alignment horizontal="center"/>
    </xf>
    <xf numFmtId="0" fontId="33" fillId="2" borderId="39" xfId="0" applyFont="1" applyFill="1" applyBorder="1"/>
    <xf numFmtId="0" fontId="33" fillId="2" borderId="14" xfId="0" applyFont="1" applyFill="1" applyBorder="1"/>
    <xf numFmtId="0" fontId="33" fillId="2" borderId="25" xfId="0" applyFont="1" applyFill="1" applyBorder="1"/>
    <xf numFmtId="0" fontId="33" fillId="2" borderId="15" xfId="0" applyFont="1" applyFill="1" applyBorder="1"/>
    <xf numFmtId="0" fontId="33" fillId="2" borderId="19" xfId="0" applyFont="1" applyFill="1" applyBorder="1"/>
    <xf numFmtId="0" fontId="36" fillId="2" borderId="28" xfId="0" applyFont="1" applyFill="1" applyBorder="1" applyAlignment="1">
      <alignment horizontal="center"/>
    </xf>
    <xf numFmtId="0" fontId="33" fillId="2" borderId="31" xfId="0" applyFont="1" applyFill="1" applyBorder="1"/>
    <xf numFmtId="0" fontId="39" fillId="2" borderId="32" xfId="0" applyFont="1" applyFill="1" applyBorder="1" applyAlignment="1">
      <alignment horizontal="right"/>
    </xf>
    <xf numFmtId="2" fontId="36" fillId="2" borderId="28" xfId="0" applyNumberFormat="1" applyFont="1" applyFill="1" applyBorder="1" applyAlignment="1">
      <alignment horizontal="center"/>
    </xf>
    <xf numFmtId="0" fontId="37" fillId="2" borderId="28" xfId="0" applyFont="1" applyFill="1" applyBorder="1" applyAlignment="1">
      <alignment horizontal="center" shrinkToFit="1"/>
    </xf>
    <xf numFmtId="0" fontId="37" fillId="2" borderId="1" xfId="0" applyFont="1" applyFill="1" applyBorder="1" applyAlignment="1">
      <alignment horizontal="center" shrinkToFit="1"/>
    </xf>
    <xf numFmtId="0" fontId="59" fillId="13" borderId="28" xfId="0" applyFont="1" applyFill="1" applyBorder="1" applyAlignment="1">
      <alignment horizontal="center"/>
    </xf>
    <xf numFmtId="2" fontId="36" fillId="7" borderId="28" xfId="0" applyNumberFormat="1" applyFont="1" applyFill="1" applyBorder="1" applyAlignment="1">
      <alignment horizontal="center"/>
    </xf>
    <xf numFmtId="0" fontId="36" fillId="7" borderId="28" xfId="0" applyFont="1" applyFill="1" applyBorder="1" applyAlignment="1">
      <alignment horizontal="center"/>
    </xf>
    <xf numFmtId="0" fontId="59" fillId="13" borderId="1" xfId="0" applyFont="1" applyFill="1" applyBorder="1" applyAlignment="1">
      <alignment horizontal="center"/>
    </xf>
    <xf numFmtId="168" fontId="33" fillId="7" borderId="1" xfId="0" applyNumberFormat="1" applyFont="1" applyFill="1" applyBorder="1" applyAlignment="1">
      <alignment horizontal="center" vertical="center"/>
    </xf>
    <xf numFmtId="164" fontId="33" fillId="7" borderId="1" xfId="0" applyNumberFormat="1" applyFont="1" applyFill="1" applyBorder="1" applyAlignment="1">
      <alignment horizontal="center" vertical="center"/>
    </xf>
    <xf numFmtId="0" fontId="33" fillId="2" borderId="21" xfId="0" applyFont="1" applyFill="1" applyBorder="1"/>
    <xf numFmtId="0" fontId="33" fillId="2" borderId="22" xfId="0" applyFont="1" applyFill="1" applyBorder="1"/>
    <xf numFmtId="0" fontId="33" fillId="2" borderId="20" xfId="0" applyFont="1" applyFill="1" applyBorder="1"/>
    <xf numFmtId="0" fontId="33" fillId="2" borderId="23" xfId="0" applyFont="1" applyFill="1" applyBorder="1"/>
    <xf numFmtId="0" fontId="10" fillId="2" borderId="7" xfId="2" applyFont="1" applyFill="1" applyBorder="1" applyAlignment="1">
      <alignment horizontal="center" vertical="center" wrapText="1"/>
    </xf>
    <xf numFmtId="0" fontId="10" fillId="2" borderId="7" xfId="2" applyFont="1" applyFill="1" applyBorder="1" applyAlignment="1">
      <alignment horizontal="left" vertical="center" wrapText="1"/>
    </xf>
    <xf numFmtId="0" fontId="12" fillId="2" borderId="1" xfId="2" applyFont="1" applyFill="1" applyBorder="1" applyAlignment="1">
      <alignment horizontal="left" vertical="center" wrapText="1"/>
    </xf>
    <xf numFmtId="0" fontId="10" fillId="2" borderId="25" xfId="2" applyFont="1" applyFill="1" applyBorder="1" applyAlignment="1">
      <alignment horizontal="left" vertical="center" wrapText="1"/>
    </xf>
    <xf numFmtId="0" fontId="12" fillId="2" borderId="1" xfId="2" applyFont="1" applyFill="1" applyBorder="1" applyAlignment="1">
      <alignment vertical="center" wrapText="1"/>
    </xf>
    <xf numFmtId="0" fontId="8" fillId="0" borderId="0" xfId="3" applyFont="1" applyAlignment="1">
      <alignment horizontal="center" vertical="center"/>
    </xf>
    <xf numFmtId="0" fontId="8" fillId="0" borderId="0" xfId="3" applyFont="1" applyAlignment="1">
      <alignment vertical="center" wrapText="1"/>
    </xf>
    <xf numFmtId="0" fontId="8" fillId="4" borderId="0" xfId="3" applyFont="1" applyFill="1" applyAlignment="1">
      <alignment horizontal="center" vertical="center"/>
    </xf>
    <xf numFmtId="0" fontId="8" fillId="5" borderId="0" xfId="3" applyFont="1" applyFill="1" applyAlignment="1">
      <alignment horizontal="center" vertical="center"/>
    </xf>
    <xf numFmtId="0" fontId="45" fillId="2" borderId="1" xfId="2" applyFont="1" applyFill="1" applyBorder="1" applyAlignment="1">
      <alignment horizontal="left" vertical="center" wrapText="1"/>
    </xf>
    <xf numFmtId="0" fontId="24" fillId="2" borderId="1" xfId="2" applyFont="1" applyFill="1" applyBorder="1" applyAlignment="1">
      <alignment vertical="center" wrapText="1"/>
    </xf>
    <xf numFmtId="0" fontId="24" fillId="0" borderId="0" xfId="2" applyFont="1">
      <alignment vertical="center"/>
    </xf>
    <xf numFmtId="0" fontId="8" fillId="2" borderId="1" xfId="3" applyFont="1" applyFill="1" applyBorder="1" applyAlignment="1">
      <alignment horizontal="center" vertical="center" wrapText="1"/>
    </xf>
    <xf numFmtId="0" fontId="26" fillId="2" borderId="1" xfId="2" applyFont="1" applyFill="1" applyBorder="1" applyAlignment="1">
      <alignment horizontal="center" vertical="center" wrapText="1"/>
    </xf>
    <xf numFmtId="0" fontId="54" fillId="2" borderId="0" xfId="0" applyFont="1" applyFill="1" applyAlignment="1">
      <alignment horizontal="center" vertical="center"/>
    </xf>
    <xf numFmtId="0" fontId="10" fillId="2" borderId="0" xfId="2" applyFont="1" applyFill="1" applyAlignment="1">
      <alignment horizontal="center" vertical="center" wrapText="1"/>
    </xf>
    <xf numFmtId="0" fontId="10" fillId="2" borderId="0" xfId="0" applyFont="1" applyFill="1" applyAlignment="1">
      <alignment horizontal="left" vertical="center"/>
    </xf>
    <xf numFmtId="0" fontId="10" fillId="2" borderId="0" xfId="0" applyFont="1" applyFill="1" applyAlignment="1">
      <alignment horizontal="center" vertical="center"/>
    </xf>
    <xf numFmtId="0" fontId="10" fillId="2" borderId="0" xfId="0" applyFont="1" applyFill="1" applyAlignment="1">
      <alignment horizontal="left" vertical="center" wrapText="1"/>
    </xf>
    <xf numFmtId="0" fontId="10" fillId="2" borderId="0" xfId="2" applyFont="1" applyFill="1">
      <alignment vertical="center"/>
    </xf>
    <xf numFmtId="0" fontId="10" fillId="2" borderId="0" xfId="2" applyFont="1" applyFill="1" applyAlignment="1">
      <alignment horizontal="center" vertical="center"/>
    </xf>
    <xf numFmtId="0" fontId="10" fillId="2" borderId="0" xfId="2" applyFont="1" applyFill="1" applyAlignment="1">
      <alignment vertical="center" wrapText="1"/>
    </xf>
    <xf numFmtId="0" fontId="10" fillId="8" borderId="1" xfId="2" applyFont="1" applyFill="1" applyBorder="1" applyAlignment="1">
      <alignment horizontal="center" vertical="center" wrapText="1"/>
    </xf>
    <xf numFmtId="0" fontId="10" fillId="8" borderId="1" xfId="2" applyFont="1" applyFill="1" applyBorder="1" applyAlignment="1">
      <alignment horizontal="left" vertical="center" wrapText="1"/>
    </xf>
    <xf numFmtId="0" fontId="10" fillId="8" borderId="1" xfId="0" applyFont="1" applyFill="1" applyBorder="1" applyAlignment="1">
      <alignment horizontal="center" vertical="center"/>
    </xf>
    <xf numFmtId="0" fontId="33" fillId="0" borderId="0" xfId="0" applyFont="1" applyAlignment="1">
      <alignment horizontal="center"/>
    </xf>
    <xf numFmtId="15" fontId="33" fillId="0" borderId="1" xfId="0" applyNumberFormat="1" applyFont="1" applyBorder="1" applyAlignment="1">
      <alignment horizontal="left"/>
    </xf>
    <xf numFmtId="0" fontId="33" fillId="0" borderId="1" xfId="0" applyFont="1" applyBorder="1" applyAlignment="1">
      <alignment horizontal="left"/>
    </xf>
    <xf numFmtId="0" fontId="33" fillId="0" borderId="1" xfId="0" applyFont="1" applyBorder="1" applyAlignment="1">
      <alignment horizontal="center"/>
    </xf>
    <xf numFmtId="0" fontId="35" fillId="0" borderId="0" xfId="0" applyFont="1" applyAlignment="1">
      <alignment horizontal="left" vertical="center" wrapText="1"/>
    </xf>
    <xf numFmtId="0" fontId="35" fillId="0" borderId="0" xfId="0" applyFont="1" applyAlignment="1">
      <alignment horizontal="left" vertical="center"/>
    </xf>
    <xf numFmtId="0" fontId="33" fillId="4" borderId="1" xfId="0" applyFont="1" applyFill="1" applyBorder="1" applyAlignment="1">
      <alignment horizontal="center" vertical="center"/>
    </xf>
    <xf numFmtId="0" fontId="33" fillId="0" borderId="1" xfId="0" applyFont="1" applyBorder="1" applyAlignment="1">
      <alignment horizontal="center" vertical="center"/>
    </xf>
    <xf numFmtId="165" fontId="33" fillId="0" borderId="1" xfId="0" applyNumberFormat="1" applyFont="1" applyBorder="1" applyAlignment="1">
      <alignment horizontal="center" vertical="center"/>
    </xf>
    <xf numFmtId="0" fontId="59" fillId="13" borderId="4" xfId="0" applyFont="1" applyFill="1" applyBorder="1" applyAlignment="1">
      <alignment vertical="center"/>
    </xf>
    <xf numFmtId="0" fontId="59" fillId="13" borderId="26" xfId="0" applyFont="1" applyFill="1" applyBorder="1" applyAlignment="1">
      <alignment vertical="center"/>
    </xf>
    <xf numFmtId="0" fontId="59" fillId="13" borderId="27" xfId="0" applyFont="1" applyFill="1" applyBorder="1" applyAlignment="1">
      <alignment vertical="center"/>
    </xf>
    <xf numFmtId="0" fontId="59" fillId="13" borderId="14" xfId="0" applyFont="1" applyFill="1" applyBorder="1" applyAlignment="1">
      <alignment vertical="center"/>
    </xf>
    <xf numFmtId="0" fontId="59" fillId="13" borderId="25" xfId="0" applyFont="1" applyFill="1" applyBorder="1" applyAlignment="1">
      <alignment vertical="center"/>
    </xf>
    <xf numFmtId="0" fontId="59" fillId="13" borderId="15" xfId="0" applyFont="1" applyFill="1" applyBorder="1" applyAlignment="1">
      <alignment vertical="center"/>
    </xf>
    <xf numFmtId="0" fontId="59" fillId="13" borderId="8" xfId="0" applyFont="1" applyFill="1" applyBorder="1" applyAlignment="1">
      <alignment horizontal="center"/>
    </xf>
    <xf numFmtId="0" fontId="36" fillId="2" borderId="9" xfId="0" applyFont="1" applyFill="1" applyBorder="1" applyAlignment="1">
      <alignment horizontal="center"/>
    </xf>
    <xf numFmtId="0" fontId="36" fillId="2" borderId="10" xfId="0" applyFont="1" applyFill="1" applyBorder="1" applyAlignment="1">
      <alignment horizontal="center"/>
    </xf>
    <xf numFmtId="0" fontId="36" fillId="2" borderId="11" xfId="0" applyFont="1" applyFill="1" applyBorder="1" applyAlignment="1">
      <alignment horizontal="center"/>
    </xf>
    <xf numFmtId="0" fontId="33" fillId="2" borderId="4" xfId="0" applyFont="1" applyFill="1" applyBorder="1" applyAlignment="1">
      <alignment horizontal="center"/>
    </xf>
    <xf numFmtId="0" fontId="33" fillId="2" borderId="26" xfId="0" applyFont="1" applyFill="1" applyBorder="1" applyAlignment="1">
      <alignment horizontal="center"/>
    </xf>
    <xf numFmtId="0" fontId="33" fillId="2" borderId="27" xfId="0" applyFont="1" applyFill="1" applyBorder="1" applyAlignment="1">
      <alignment horizontal="center"/>
    </xf>
    <xf numFmtId="0" fontId="33" fillId="2" borderId="2" xfId="0" applyFont="1" applyFill="1" applyBorder="1" applyAlignment="1">
      <alignment horizontal="center"/>
    </xf>
    <xf numFmtId="0" fontId="33" fillId="2" borderId="0" xfId="0" applyFont="1" applyFill="1" applyAlignment="1">
      <alignment horizontal="center"/>
    </xf>
    <xf numFmtId="0" fontId="33" fillId="2" borderId="24" xfId="0" applyFont="1" applyFill="1" applyBorder="1" applyAlignment="1">
      <alignment horizontal="center"/>
    </xf>
    <xf numFmtId="0" fontId="33" fillId="2" borderId="14" xfId="0" applyFont="1" applyFill="1" applyBorder="1" applyAlignment="1">
      <alignment horizontal="center"/>
    </xf>
    <xf numFmtId="0" fontId="33" fillId="2" borderId="25" xfId="0" applyFont="1" applyFill="1" applyBorder="1" applyAlignment="1">
      <alignment horizontal="center"/>
    </xf>
    <xf numFmtId="0" fontId="33" fillId="2" borderId="15" xfId="0" applyFont="1" applyFill="1" applyBorder="1" applyAlignment="1">
      <alignment horizontal="center"/>
    </xf>
    <xf numFmtId="0" fontId="36" fillId="2" borderId="29" xfId="0" applyFont="1" applyFill="1" applyBorder="1" applyAlignment="1">
      <alignment horizontal="left" vertical="top" wrapText="1"/>
    </xf>
    <xf numFmtId="0" fontId="36" fillId="2" borderId="30" xfId="0" applyFont="1" applyFill="1" applyBorder="1" applyAlignment="1">
      <alignment horizontal="left" vertical="top" wrapText="1"/>
    </xf>
    <xf numFmtId="167" fontId="33" fillId="7" borderId="28" xfId="0" applyNumberFormat="1" applyFont="1" applyFill="1" applyBorder="1" applyAlignment="1">
      <alignment horizontal="center"/>
    </xf>
    <xf numFmtId="167" fontId="33" fillId="2" borderId="28" xfId="0" applyNumberFormat="1" applyFont="1" applyFill="1" applyBorder="1" applyAlignment="1">
      <alignment horizontal="center"/>
    </xf>
    <xf numFmtId="0" fontId="36" fillId="2" borderId="28" xfId="0" applyFont="1" applyFill="1" applyBorder="1" applyAlignment="1">
      <alignment horizontal="left" vertical="top" wrapText="1"/>
    </xf>
    <xf numFmtId="0" fontId="36" fillId="2" borderId="34" xfId="0" applyFont="1" applyFill="1" applyBorder="1" applyAlignment="1">
      <alignment horizontal="left" vertical="top" wrapText="1"/>
    </xf>
    <xf numFmtId="0" fontId="39" fillId="2" borderId="0" xfId="0" applyFont="1" applyFill="1" applyAlignment="1">
      <alignment horizontal="right"/>
    </xf>
    <xf numFmtId="0" fontId="36" fillId="2" borderId="35" xfId="0" applyFont="1" applyFill="1" applyBorder="1" applyAlignment="1">
      <alignment horizontal="right"/>
    </xf>
    <xf numFmtId="0" fontId="33" fillId="2" borderId="36" xfId="0" applyFont="1" applyFill="1" applyBorder="1" applyAlignment="1">
      <alignment horizontal="center" vertical="center" textRotation="180"/>
    </xf>
    <xf numFmtId="0" fontId="33" fillId="2" borderId="33" xfId="0" applyFont="1" applyFill="1" applyBorder="1" applyAlignment="1">
      <alignment horizontal="center" vertical="center" textRotation="180"/>
    </xf>
    <xf numFmtId="0" fontId="33" fillId="2" borderId="37" xfId="0" applyFont="1" applyFill="1" applyBorder="1" applyAlignment="1">
      <alignment horizontal="center" vertical="center" textRotation="180"/>
    </xf>
    <xf numFmtId="0" fontId="33" fillId="2" borderId="39" xfId="0" applyFont="1" applyFill="1" applyBorder="1" applyAlignment="1">
      <alignment horizontal="center"/>
    </xf>
    <xf numFmtId="0" fontId="33" fillId="2" borderId="40" xfId="0" applyFont="1" applyFill="1" applyBorder="1" applyAlignment="1">
      <alignment horizontal="center"/>
    </xf>
    <xf numFmtId="0" fontId="59" fillId="13" borderId="9" xfId="0" applyFont="1" applyFill="1" applyBorder="1" applyAlignment="1">
      <alignment horizontal="center"/>
    </xf>
    <xf numFmtId="0" fontId="59" fillId="13" borderId="11" xfId="0" applyFont="1" applyFill="1" applyBorder="1" applyAlignment="1">
      <alignment horizontal="center"/>
    </xf>
    <xf numFmtId="0" fontId="59" fillId="2" borderId="4" xfId="0" applyFont="1" applyFill="1" applyBorder="1" applyAlignment="1">
      <alignment horizontal="center" vertical="center"/>
    </xf>
    <xf numFmtId="0" fontId="59" fillId="2" borderId="26" xfId="0" applyFont="1" applyFill="1" applyBorder="1" applyAlignment="1">
      <alignment horizontal="center" vertical="center"/>
    </xf>
    <xf numFmtId="0" fontId="59" fillId="2" borderId="27" xfId="0" applyFont="1" applyFill="1" applyBorder="1" applyAlignment="1">
      <alignment horizontal="center" vertical="center"/>
    </xf>
    <xf numFmtId="0" fontId="59" fillId="2" borderId="2" xfId="0" applyFont="1" applyFill="1" applyBorder="1" applyAlignment="1">
      <alignment horizontal="center" vertical="center"/>
    </xf>
    <xf numFmtId="0" fontId="59" fillId="2" borderId="0" xfId="0" applyFont="1" applyFill="1" applyAlignment="1">
      <alignment horizontal="center" vertical="center"/>
    </xf>
    <xf numFmtId="0" fontId="59" fillId="2" borderId="24" xfId="0" applyFont="1" applyFill="1" applyBorder="1" applyAlignment="1">
      <alignment horizontal="center" vertical="center"/>
    </xf>
    <xf numFmtId="0" fontId="59" fillId="2" borderId="14" xfId="0" applyFont="1" applyFill="1" applyBorder="1" applyAlignment="1">
      <alignment horizontal="center" vertical="center"/>
    </xf>
    <xf numFmtId="0" fontId="59" fillId="2" borderId="25" xfId="0" applyFont="1" applyFill="1" applyBorder="1" applyAlignment="1">
      <alignment horizontal="center" vertical="center"/>
    </xf>
    <xf numFmtId="0" fontId="59" fillId="2" borderId="15" xfId="0" applyFont="1" applyFill="1" applyBorder="1" applyAlignment="1">
      <alignment horizontal="center" vertical="center"/>
    </xf>
    <xf numFmtId="0" fontId="59" fillId="13" borderId="10" xfId="0" applyFont="1" applyFill="1" applyBorder="1" applyAlignment="1">
      <alignment horizontal="center"/>
    </xf>
    <xf numFmtId="0" fontId="36" fillId="2" borderId="28" xfId="0" applyFont="1" applyFill="1" applyBorder="1" applyAlignment="1">
      <alignment horizontal="center" vertical="center" textRotation="180" wrapText="1"/>
    </xf>
    <xf numFmtId="0" fontId="60" fillId="0" borderId="0" xfId="0" applyFont="1" applyAlignment="1">
      <alignment horizontal="left" vertical="top" wrapText="1"/>
    </xf>
    <xf numFmtId="0" fontId="33" fillId="2" borderId="1" xfId="0" applyFont="1" applyFill="1" applyBorder="1" applyAlignment="1">
      <alignment horizontal="center" shrinkToFit="1"/>
    </xf>
    <xf numFmtId="0" fontId="33" fillId="2" borderId="9" xfId="0" applyFont="1" applyFill="1" applyBorder="1" applyAlignment="1">
      <alignment horizontal="center"/>
    </xf>
    <xf numFmtId="0" fontId="33" fillId="2" borderId="10" xfId="0" applyFont="1" applyFill="1" applyBorder="1" applyAlignment="1">
      <alignment horizontal="center"/>
    </xf>
    <xf numFmtId="0" fontId="33" fillId="2" borderId="11" xfId="0" applyFont="1" applyFill="1" applyBorder="1" applyAlignment="1">
      <alignment horizontal="center"/>
    </xf>
    <xf numFmtId="167" fontId="33" fillId="0" borderId="28" xfId="0" applyNumberFormat="1" applyFont="1" applyBorder="1" applyAlignment="1">
      <alignment horizontal="center"/>
    </xf>
    <xf numFmtId="0" fontId="36" fillId="0" borderId="29" xfId="0" applyFont="1" applyBorder="1" applyAlignment="1">
      <alignment horizontal="left" vertical="top" wrapText="1"/>
    </xf>
    <xf numFmtId="0" fontId="36" fillId="0" borderId="30" xfId="0" applyFont="1" applyBorder="1" applyAlignment="1">
      <alignment horizontal="left" vertical="top" wrapText="1"/>
    </xf>
    <xf numFmtId="0" fontId="36" fillId="0" borderId="28" xfId="0" applyFont="1" applyBorder="1" applyAlignment="1">
      <alignment horizontal="center" vertical="center" textRotation="180" wrapText="1"/>
    </xf>
    <xf numFmtId="0" fontId="36" fillId="0" borderId="28" xfId="0" applyFont="1" applyBorder="1" applyAlignment="1">
      <alignment horizontal="left" vertical="top" wrapText="1"/>
    </xf>
    <xf numFmtId="0" fontId="36" fillId="0" borderId="34" xfId="0" applyFont="1" applyBorder="1" applyAlignment="1">
      <alignment horizontal="left" vertical="top" wrapText="1"/>
    </xf>
    <xf numFmtId="0" fontId="39" fillId="0" borderId="0" xfId="0" applyFont="1" applyAlignment="1">
      <alignment horizontal="right"/>
    </xf>
    <xf numFmtId="0" fontId="36" fillId="0" borderId="35" xfId="0" applyFont="1" applyBorder="1" applyAlignment="1">
      <alignment horizontal="right"/>
    </xf>
    <xf numFmtId="0" fontId="33" fillId="0" borderId="36" xfId="0" applyFont="1" applyBorder="1" applyAlignment="1">
      <alignment horizontal="center" vertical="center" textRotation="180"/>
    </xf>
    <xf numFmtId="0" fontId="33" fillId="0" borderId="33" xfId="0" applyFont="1" applyBorder="1" applyAlignment="1">
      <alignment horizontal="center" vertical="center" textRotation="180"/>
    </xf>
    <xf numFmtId="0" fontId="33" fillId="0" borderId="37" xfId="0" applyFont="1" applyBorder="1" applyAlignment="1">
      <alignment horizontal="center" vertical="center" textRotation="180"/>
    </xf>
    <xf numFmtId="0" fontId="36" fillId="9" borderId="4" xfId="0" applyFont="1" applyFill="1" applyBorder="1" applyAlignment="1">
      <alignment vertical="center"/>
    </xf>
    <xf numFmtId="0" fontId="36" fillId="9" borderId="26" xfId="0" applyFont="1" applyFill="1" applyBorder="1" applyAlignment="1">
      <alignment vertical="center"/>
    </xf>
    <xf numFmtId="0" fontId="36" fillId="9" borderId="27" xfId="0" applyFont="1" applyFill="1" applyBorder="1" applyAlignment="1">
      <alignment vertical="center"/>
    </xf>
    <xf numFmtId="0" fontId="36" fillId="9" borderId="14" xfId="0" applyFont="1" applyFill="1" applyBorder="1" applyAlignment="1">
      <alignment vertical="center"/>
    </xf>
    <xf numFmtId="0" fontId="36" fillId="9" borderId="25" xfId="0" applyFont="1" applyFill="1" applyBorder="1" applyAlignment="1">
      <alignment vertical="center"/>
    </xf>
    <xf numFmtId="0" fontId="36" fillId="9" borderId="15" xfId="0" applyFont="1" applyFill="1" applyBorder="1" applyAlignment="1">
      <alignment vertical="center"/>
    </xf>
    <xf numFmtId="0" fontId="36" fillId="9" borderId="8" xfId="0" applyFont="1" applyFill="1" applyBorder="1" applyAlignment="1">
      <alignment horizontal="center"/>
    </xf>
    <xf numFmtId="0" fontId="36" fillId="9" borderId="9" xfId="0" applyFont="1" applyFill="1" applyBorder="1" applyAlignment="1">
      <alignment horizontal="center"/>
    </xf>
    <xf numFmtId="0" fontId="36" fillId="9" borderId="10" xfId="0" applyFont="1" applyFill="1" applyBorder="1" applyAlignment="1">
      <alignment horizontal="center"/>
    </xf>
    <xf numFmtId="0" fontId="36" fillId="9" borderId="11" xfId="0" applyFont="1" applyFill="1" applyBorder="1" applyAlignment="1">
      <alignment horizontal="center"/>
    </xf>
    <xf numFmtId="0" fontId="33" fillId="0" borderId="9" xfId="0" applyFont="1" applyBorder="1" applyAlignment="1">
      <alignment horizontal="center"/>
    </xf>
    <xf numFmtId="0" fontId="33" fillId="0" borderId="10" xfId="0" applyFont="1" applyBorder="1" applyAlignment="1">
      <alignment horizontal="center"/>
    </xf>
    <xf numFmtId="0" fontId="33" fillId="0" borderId="11" xfId="0" applyFont="1" applyBorder="1" applyAlignment="1">
      <alignment horizontal="center"/>
    </xf>
    <xf numFmtId="0" fontId="33" fillId="0" borderId="1" xfId="0" applyFont="1" applyBorder="1" applyAlignment="1">
      <alignment horizontal="center" shrinkToFit="1"/>
    </xf>
    <xf numFmtId="0" fontId="38" fillId="9" borderId="9" xfId="0" applyFont="1" applyFill="1" applyBorder="1" applyAlignment="1">
      <alignment horizontal="center"/>
    </xf>
    <xf numFmtId="0" fontId="38" fillId="9" borderId="10" xfId="0" applyFont="1" applyFill="1" applyBorder="1" applyAlignment="1">
      <alignment horizontal="center"/>
    </xf>
    <xf numFmtId="0" fontId="38" fillId="9" borderId="11" xfId="0" applyFont="1" applyFill="1" applyBorder="1" applyAlignment="1">
      <alignment horizontal="center"/>
    </xf>
    <xf numFmtId="0" fontId="33" fillId="0" borderId="0" xfId="0" applyFont="1" applyAlignment="1">
      <alignment horizontal="left" vertical="top" wrapText="1"/>
    </xf>
    <xf numFmtId="0" fontId="33" fillId="0" borderId="4" xfId="0" applyFont="1" applyBorder="1" applyAlignment="1">
      <alignment horizontal="center"/>
    </xf>
    <xf numFmtId="0" fontId="33" fillId="0" borderId="26" xfId="0" applyFont="1" applyBorder="1" applyAlignment="1">
      <alignment horizontal="center"/>
    </xf>
    <xf numFmtId="0" fontId="33" fillId="0" borderId="27" xfId="0" applyFont="1" applyBorder="1" applyAlignment="1">
      <alignment horizontal="center"/>
    </xf>
    <xf numFmtId="0" fontId="33" fillId="0" borderId="2" xfId="0" applyFont="1" applyBorder="1" applyAlignment="1">
      <alignment horizontal="center"/>
    </xf>
    <xf numFmtId="0" fontId="33" fillId="0" borderId="24" xfId="0" applyFont="1" applyBorder="1" applyAlignment="1">
      <alignment horizontal="center"/>
    </xf>
    <xf numFmtId="0" fontId="33" fillId="0" borderId="14" xfId="0" applyFont="1" applyBorder="1" applyAlignment="1">
      <alignment horizontal="center"/>
    </xf>
    <xf numFmtId="0" fontId="33" fillId="0" borderId="25" xfId="0" applyFont="1" applyBorder="1" applyAlignment="1">
      <alignment horizontal="center"/>
    </xf>
    <xf numFmtId="0" fontId="33" fillId="0" borderId="15" xfId="0" applyFont="1" applyBorder="1" applyAlignment="1">
      <alignment horizontal="center"/>
    </xf>
    <xf numFmtId="0" fontId="33" fillId="0" borderId="39" xfId="0" applyFont="1" applyBorder="1" applyAlignment="1">
      <alignment horizontal="center"/>
    </xf>
    <xf numFmtId="0" fontId="33" fillId="0" borderId="40" xfId="0" applyFont="1" applyBorder="1" applyAlignment="1">
      <alignment horizontal="center"/>
    </xf>
    <xf numFmtId="0" fontId="36" fillId="9" borderId="4" xfId="0" applyFont="1" applyFill="1" applyBorder="1" applyAlignment="1">
      <alignment horizontal="center" vertical="center"/>
    </xf>
    <xf numFmtId="0" fontId="36" fillId="9" borderId="26" xfId="0" applyFont="1" applyFill="1" applyBorder="1" applyAlignment="1">
      <alignment horizontal="center" vertical="center"/>
    </xf>
    <xf numFmtId="0" fontId="36" fillId="9" borderId="27" xfId="0" applyFont="1" applyFill="1" applyBorder="1" applyAlignment="1">
      <alignment horizontal="center" vertical="center"/>
    </xf>
    <xf numFmtId="0" fontId="36" fillId="9" borderId="2" xfId="0" applyFont="1" applyFill="1" applyBorder="1" applyAlignment="1">
      <alignment horizontal="center" vertical="center"/>
    </xf>
    <xf numFmtId="0" fontId="36" fillId="9" borderId="0" xfId="0" applyFont="1" applyFill="1" applyAlignment="1">
      <alignment horizontal="center" vertical="center"/>
    </xf>
    <xf numFmtId="0" fontId="36" fillId="9" borderId="24" xfId="0" applyFont="1" applyFill="1" applyBorder="1" applyAlignment="1">
      <alignment horizontal="center" vertical="center"/>
    </xf>
    <xf numFmtId="0" fontId="36" fillId="9" borderId="14" xfId="0" applyFont="1" applyFill="1" applyBorder="1" applyAlignment="1">
      <alignment horizontal="center" vertical="center"/>
    </xf>
    <xf numFmtId="0" fontId="36" fillId="9" borderId="25" xfId="0" applyFont="1" applyFill="1" applyBorder="1" applyAlignment="1">
      <alignment horizontal="center" vertical="center"/>
    </xf>
    <xf numFmtId="0" fontId="36" fillId="9" borderId="15" xfId="0" applyFont="1" applyFill="1" applyBorder="1" applyAlignment="1">
      <alignment horizontal="center" vertical="center"/>
    </xf>
    <xf numFmtId="0" fontId="22" fillId="0" borderId="29" xfId="0" applyFont="1" applyBorder="1" applyAlignment="1">
      <alignment horizontal="left" vertical="top" wrapText="1"/>
    </xf>
    <xf numFmtId="0" fontId="22" fillId="0" borderId="30" xfId="0" applyFont="1" applyBorder="1" applyAlignment="1">
      <alignment horizontal="left" vertical="top" wrapText="1"/>
    </xf>
    <xf numFmtId="0" fontId="23" fillId="0" borderId="0" xfId="0" applyFont="1" applyAlignment="1">
      <alignment horizontal="center"/>
    </xf>
    <xf numFmtId="0" fontId="23" fillId="0" borderId="1" xfId="0" applyFont="1" applyBorder="1" applyAlignment="1">
      <alignment horizontal="center" vertical="center"/>
    </xf>
    <xf numFmtId="165" fontId="23" fillId="0" borderId="1" xfId="0" applyNumberFormat="1" applyFont="1" applyBorder="1" applyAlignment="1">
      <alignment horizontal="center" vertical="center"/>
    </xf>
    <xf numFmtId="0" fontId="22" fillId="9" borderId="4" xfId="0" applyFont="1" applyFill="1" applyBorder="1" applyAlignment="1">
      <alignment vertical="center"/>
    </xf>
    <xf numFmtId="0" fontId="22" fillId="9" borderId="26" xfId="0" applyFont="1" applyFill="1" applyBorder="1" applyAlignment="1">
      <alignment vertical="center"/>
    </xf>
    <xf numFmtId="0" fontId="22" fillId="9" borderId="27" xfId="0" applyFont="1" applyFill="1" applyBorder="1" applyAlignment="1">
      <alignment vertical="center"/>
    </xf>
    <xf numFmtId="0" fontId="22" fillId="9" borderId="14" xfId="0" applyFont="1" applyFill="1" applyBorder="1" applyAlignment="1">
      <alignment vertical="center"/>
    </xf>
    <xf numFmtId="0" fontId="22" fillId="9" borderId="25" xfId="0" applyFont="1" applyFill="1" applyBorder="1" applyAlignment="1">
      <alignment vertical="center"/>
    </xf>
    <xf numFmtId="0" fontId="22" fillId="9" borderId="15" xfId="0" applyFont="1" applyFill="1" applyBorder="1" applyAlignment="1">
      <alignment vertical="center"/>
    </xf>
    <xf numFmtId="0" fontId="22" fillId="9" borderId="8" xfId="0" applyFont="1" applyFill="1" applyBorder="1" applyAlignment="1">
      <alignment horizontal="center"/>
    </xf>
    <xf numFmtId="167" fontId="0" fillId="0" borderId="28" xfId="0" applyNumberFormat="1" applyBorder="1" applyAlignment="1">
      <alignment horizontal="center"/>
    </xf>
    <xf numFmtId="0" fontId="0" fillId="0" borderId="4"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2" xfId="0" applyBorder="1" applyAlignment="1">
      <alignment horizontal="center"/>
    </xf>
    <xf numFmtId="0" fontId="0" fillId="0" borderId="0" xfId="0" applyAlignment="1">
      <alignment horizontal="center"/>
    </xf>
    <xf numFmtId="0" fontId="0" fillId="0" borderId="24" xfId="0" applyBorder="1" applyAlignment="1">
      <alignment horizontal="center"/>
    </xf>
    <xf numFmtId="0" fontId="0" fillId="0" borderId="14" xfId="0" applyBorder="1" applyAlignment="1">
      <alignment horizontal="center"/>
    </xf>
    <xf numFmtId="0" fontId="0" fillId="0" borderId="25" xfId="0" applyBorder="1" applyAlignment="1">
      <alignment horizontal="center"/>
    </xf>
    <xf numFmtId="0" fontId="0" fillId="0" borderId="15" xfId="0" applyBorder="1" applyAlignment="1">
      <alignment horizontal="center"/>
    </xf>
    <xf numFmtId="0" fontId="0" fillId="0" borderId="39" xfId="0" applyBorder="1" applyAlignment="1">
      <alignment horizontal="center"/>
    </xf>
    <xf numFmtId="0" fontId="0" fillId="0" borderId="40" xfId="0" applyBorder="1" applyAlignment="1">
      <alignment horizontal="center"/>
    </xf>
    <xf numFmtId="0" fontId="33" fillId="0" borderId="9" xfId="0" applyFont="1" applyBorder="1" applyAlignment="1">
      <alignment horizontal="center" shrinkToFit="1"/>
    </xf>
    <xf numFmtId="0" fontId="33" fillId="0" borderId="10" xfId="0" applyFont="1" applyBorder="1" applyAlignment="1">
      <alignment horizontal="center" shrinkToFit="1"/>
    </xf>
    <xf numFmtId="0" fontId="33" fillId="0" borderId="11" xfId="0" applyFont="1" applyBorder="1" applyAlignment="1">
      <alignment horizontal="center" shrinkToFit="1"/>
    </xf>
    <xf numFmtId="14" fontId="10" fillId="0" borderId="0" xfId="3" applyNumberFormat="1" applyFont="1" applyAlignment="1">
      <alignment horizontal="left" vertical="center"/>
    </xf>
    <xf numFmtId="0" fontId="10" fillId="0" borderId="0" xfId="3" applyFont="1" applyAlignment="1">
      <alignment horizontal="left" vertical="center"/>
    </xf>
    <xf numFmtId="0" fontId="18" fillId="0" borderId="0" xfId="0" applyFont="1" applyAlignment="1">
      <alignment horizontal="left" wrapText="1"/>
    </xf>
    <xf numFmtId="0" fontId="19" fillId="0" borderId="0" xfId="0" applyFont="1" applyAlignment="1">
      <alignment horizontal="left"/>
    </xf>
    <xf numFmtId="0" fontId="10" fillId="0" borderId="1" xfId="3" applyFont="1" applyBorder="1" applyAlignment="1">
      <alignment horizontal="center" vertical="center" wrapText="1"/>
    </xf>
    <xf numFmtId="0" fontId="10" fillId="0" borderId="1" xfId="3" applyFont="1" applyBorder="1" applyAlignment="1">
      <alignment horizontal="center" vertical="center"/>
    </xf>
    <xf numFmtId="0" fontId="10" fillId="0" borderId="8" xfId="3" applyFont="1" applyBorder="1" applyAlignment="1">
      <alignment horizontal="center" vertical="center" wrapText="1"/>
    </xf>
    <xf numFmtId="0" fontId="10" fillId="0" borderId="3" xfId="3" applyFont="1" applyBorder="1" applyAlignment="1">
      <alignment horizontal="center" vertical="center" wrapText="1"/>
    </xf>
    <xf numFmtId="0" fontId="10" fillId="0" borderId="7" xfId="3" applyFont="1" applyBorder="1" applyAlignment="1">
      <alignment horizontal="center" vertical="center" wrapText="1"/>
    </xf>
    <xf numFmtId="0" fontId="10" fillId="0" borderId="1" xfId="3" applyFont="1" applyBorder="1" applyAlignment="1">
      <alignment horizontal="left" vertical="center" wrapText="1"/>
    </xf>
    <xf numFmtId="0" fontId="10" fillId="0" borderId="1" xfId="3" applyFont="1" applyBorder="1" applyAlignment="1">
      <alignment horizontal="left" vertical="center"/>
    </xf>
    <xf numFmtId="0" fontId="10" fillId="0" borderId="8" xfId="3" applyFont="1" applyBorder="1" applyAlignment="1">
      <alignment horizontal="center" vertical="center"/>
    </xf>
    <xf numFmtId="0" fontId="10" fillId="0" borderId="3" xfId="3" applyFont="1" applyBorder="1" applyAlignment="1">
      <alignment horizontal="center" vertical="center"/>
    </xf>
    <xf numFmtId="0" fontId="10" fillId="0" borderId="7" xfId="3" applyFont="1" applyBorder="1" applyAlignment="1">
      <alignment horizontal="center" vertical="center"/>
    </xf>
    <xf numFmtId="0" fontId="10" fillId="0" borderId="9" xfId="3" applyFont="1" applyBorder="1" applyAlignment="1">
      <alignment horizontal="center" vertical="center"/>
    </xf>
    <xf numFmtId="0" fontId="10" fillId="0" borderId="11" xfId="3" applyFont="1" applyBorder="1" applyAlignment="1">
      <alignment horizontal="center" vertical="center"/>
    </xf>
    <xf numFmtId="0" fontId="10" fillId="0" borderId="8" xfId="2" applyFont="1" applyBorder="1" applyAlignment="1">
      <alignment horizontal="center" vertical="center" wrapText="1"/>
    </xf>
    <xf numFmtId="0" fontId="10" fillId="0" borderId="3" xfId="2" applyFont="1" applyBorder="1" applyAlignment="1">
      <alignment horizontal="center" vertical="center" wrapText="1"/>
    </xf>
    <xf numFmtId="0" fontId="10" fillId="0" borderId="7" xfId="2" applyFont="1" applyBorder="1" applyAlignment="1">
      <alignment horizontal="center" vertical="center" wrapText="1"/>
    </xf>
    <xf numFmtId="0" fontId="17" fillId="0" borderId="9" xfId="3" applyFont="1" applyBorder="1" applyAlignment="1">
      <alignment horizontal="center" vertical="center" shrinkToFit="1"/>
    </xf>
    <xf numFmtId="0" fontId="17" fillId="0" borderId="11" xfId="3" applyFont="1" applyBorder="1" applyAlignment="1">
      <alignment horizontal="center" vertical="center" shrinkToFit="1"/>
    </xf>
    <xf numFmtId="0" fontId="12" fillId="0" borderId="1" xfId="3" applyFont="1" applyBorder="1" applyAlignment="1">
      <alignment horizontal="center" vertical="center"/>
    </xf>
    <xf numFmtId="0" fontId="10" fillId="0" borderId="1" xfId="2" applyFont="1" applyBorder="1" applyAlignment="1">
      <alignment horizontal="center" vertical="center" wrapText="1"/>
    </xf>
    <xf numFmtId="0" fontId="10" fillId="0" borderId="12" xfId="2" applyFont="1" applyBorder="1" applyAlignment="1">
      <alignment horizontal="center" vertical="center" wrapText="1"/>
    </xf>
    <xf numFmtId="0" fontId="12" fillId="0" borderId="8" xfId="2" applyFont="1" applyBorder="1" applyAlignment="1">
      <alignment horizontal="center" vertical="center" wrapText="1"/>
    </xf>
    <xf numFmtId="0" fontId="12" fillId="0" borderId="3" xfId="2" applyFont="1" applyBorder="1" applyAlignment="1">
      <alignment horizontal="center" vertical="center" wrapText="1"/>
    </xf>
    <xf numFmtId="0" fontId="12" fillId="0" borderId="13" xfId="2" applyFont="1" applyBorder="1" applyAlignment="1">
      <alignment horizontal="center" vertical="center" wrapText="1"/>
    </xf>
    <xf numFmtId="0" fontId="10" fillId="0" borderId="1" xfId="0" applyFont="1" applyBorder="1" applyAlignment="1">
      <alignment horizontal="center" vertical="center" wrapText="1"/>
    </xf>
    <xf numFmtId="0" fontId="0" fillId="0" borderId="1" xfId="0" applyBorder="1" applyAlignment="1">
      <alignment horizontal="center" vertical="center"/>
    </xf>
    <xf numFmtId="0" fontId="8" fillId="0" borderId="16" xfId="2" applyFont="1" applyBorder="1" applyAlignment="1">
      <alignment horizontal="left" vertical="center"/>
    </xf>
    <xf numFmtId="0" fontId="8" fillId="0" borderId="17" xfId="2" applyFont="1" applyBorder="1" applyAlignment="1">
      <alignment horizontal="left" vertical="center"/>
    </xf>
    <xf numFmtId="0" fontId="8" fillId="0" borderId="18" xfId="2" applyFont="1" applyBorder="1" applyAlignment="1">
      <alignment horizontal="left" vertical="center"/>
    </xf>
    <xf numFmtId="0" fontId="10" fillId="0" borderId="4" xfId="2" applyFont="1" applyBorder="1" applyAlignment="1">
      <alignment horizontal="center" vertical="center" wrapText="1"/>
    </xf>
    <xf numFmtId="0" fontId="10" fillId="0" borderId="2" xfId="2" applyFont="1" applyBorder="1" applyAlignment="1">
      <alignment horizontal="center" vertical="center" wrapText="1"/>
    </xf>
    <xf numFmtId="0" fontId="10" fillId="0" borderId="5" xfId="2" applyFont="1" applyBorder="1" applyAlignment="1">
      <alignment horizontal="center" vertical="center" wrapText="1"/>
    </xf>
    <xf numFmtId="0" fontId="10" fillId="0" borderId="8" xfId="2" applyFont="1" applyBorder="1" applyAlignment="1">
      <alignment horizontal="center" vertical="center"/>
    </xf>
    <xf numFmtId="0" fontId="10" fillId="0" borderId="3" xfId="2" applyFont="1" applyBorder="1" applyAlignment="1">
      <alignment horizontal="center" vertical="center"/>
    </xf>
    <xf numFmtId="0" fontId="10" fillId="0" borderId="13" xfId="2" applyFont="1" applyBorder="1" applyAlignment="1">
      <alignment horizontal="center" vertical="center"/>
    </xf>
    <xf numFmtId="0" fontId="10" fillId="0" borderId="13" xfId="2" applyFont="1" applyBorder="1" applyAlignment="1">
      <alignment horizontal="center" vertical="center" wrapText="1"/>
    </xf>
    <xf numFmtId="0" fontId="10" fillId="3" borderId="1" xfId="2" applyFont="1" applyFill="1" applyBorder="1" applyAlignment="1">
      <alignment horizontal="center" vertical="center" wrapText="1"/>
    </xf>
    <xf numFmtId="0" fontId="10" fillId="3" borderId="8" xfId="2" applyFont="1" applyFill="1" applyBorder="1" applyAlignment="1">
      <alignment horizontal="center" vertical="center" wrapText="1"/>
    </xf>
    <xf numFmtId="0" fontId="10" fillId="3" borderId="3" xfId="2" applyFont="1" applyFill="1" applyBorder="1" applyAlignment="1">
      <alignment horizontal="center" vertical="center" wrapText="1"/>
    </xf>
    <xf numFmtId="0" fontId="10" fillId="3" borderId="7" xfId="2" applyFont="1" applyFill="1" applyBorder="1" applyAlignment="1">
      <alignment horizontal="center" vertical="center" wrapText="1"/>
    </xf>
    <xf numFmtId="0" fontId="10" fillId="0" borderId="1" xfId="2" applyFont="1" applyBorder="1" applyAlignment="1">
      <alignment horizontal="left" vertical="center" wrapText="1"/>
    </xf>
    <xf numFmtId="0" fontId="10" fillId="3" borderId="1" xfId="2" applyFont="1" applyFill="1" applyBorder="1" applyAlignment="1">
      <alignment horizontal="center" vertical="center"/>
    </xf>
    <xf numFmtId="0" fontId="45" fillId="3" borderId="8" xfId="12" applyFont="1" applyFill="1" applyBorder="1" applyAlignment="1">
      <alignment horizontal="center" vertical="center" wrapText="1"/>
    </xf>
    <xf numFmtId="0" fontId="45" fillId="3" borderId="3" xfId="12" applyFont="1" applyFill="1" applyBorder="1" applyAlignment="1">
      <alignment horizontal="center" vertical="center" wrapText="1"/>
    </xf>
    <xf numFmtId="0" fontId="45" fillId="3" borderId="7" xfId="12" applyFont="1" applyFill="1" applyBorder="1" applyAlignment="1">
      <alignment horizontal="center" vertical="center" wrapText="1"/>
    </xf>
    <xf numFmtId="0" fontId="10" fillId="2" borderId="1" xfId="2" applyFont="1" applyFill="1" applyBorder="1" applyAlignment="1">
      <alignment horizontal="center" vertical="center" wrapText="1"/>
    </xf>
    <xf numFmtId="0" fontId="10" fillId="2" borderId="1" xfId="2" applyFont="1" applyFill="1" applyBorder="1" applyAlignment="1">
      <alignment horizontal="left" vertical="center" wrapText="1"/>
    </xf>
    <xf numFmtId="0" fontId="10" fillId="2" borderId="8" xfId="2" applyFont="1" applyFill="1" applyBorder="1" applyAlignment="1">
      <alignment horizontal="center" vertical="center" wrapText="1"/>
    </xf>
    <xf numFmtId="0" fontId="10" fillId="2" borderId="3" xfId="2" applyFont="1" applyFill="1" applyBorder="1" applyAlignment="1">
      <alignment horizontal="center" vertical="center" wrapText="1"/>
    </xf>
    <xf numFmtId="0" fontId="10" fillId="2" borderId="7" xfId="2" applyFont="1" applyFill="1" applyBorder="1" applyAlignment="1">
      <alignment horizontal="center" vertical="center" wrapText="1"/>
    </xf>
    <xf numFmtId="0" fontId="12" fillId="2" borderId="1" xfId="2" applyFont="1" applyFill="1" applyBorder="1" applyAlignment="1">
      <alignment horizontal="center" vertical="center" wrapText="1"/>
    </xf>
    <xf numFmtId="0" fontId="12" fillId="0" borderId="1" xfId="2" applyFont="1" applyBorder="1" applyAlignment="1">
      <alignment horizontal="center" vertical="center" wrapText="1"/>
    </xf>
    <xf numFmtId="0" fontId="12" fillId="2" borderId="8" xfId="2" applyFont="1" applyFill="1" applyBorder="1" applyAlignment="1">
      <alignment horizontal="center" vertical="center" wrapText="1"/>
    </xf>
    <xf numFmtId="0" fontId="12" fillId="2" borderId="3" xfId="2" applyFont="1" applyFill="1" applyBorder="1" applyAlignment="1">
      <alignment horizontal="center" vertical="center" wrapText="1"/>
    </xf>
    <xf numFmtId="0" fontId="12" fillId="2" borderId="7" xfId="2" applyFont="1" applyFill="1" applyBorder="1" applyAlignment="1">
      <alignment horizontal="center" vertical="center" wrapText="1"/>
    </xf>
    <xf numFmtId="0" fontId="8" fillId="0" borderId="1" xfId="3" applyFont="1" applyBorder="1" applyAlignment="1">
      <alignment horizontal="center" vertical="center"/>
    </xf>
    <xf numFmtId="0" fontId="10" fillId="0" borderId="7" xfId="2" applyFont="1" applyBorder="1" applyAlignment="1">
      <alignment horizontal="center" vertical="center"/>
    </xf>
    <xf numFmtId="0" fontId="10" fillId="0" borderId="3" xfId="10" applyFont="1" applyBorder="1" applyAlignment="1">
      <alignment horizontal="center" vertical="center" wrapText="1"/>
    </xf>
    <xf numFmtId="0" fontId="10" fillId="0" borderId="7" xfId="10" applyFont="1" applyBorder="1" applyAlignment="1">
      <alignment horizontal="center" vertical="center" wrapText="1"/>
    </xf>
    <xf numFmtId="0" fontId="10" fillId="0" borderId="1" xfId="10" applyFont="1" applyBorder="1" applyAlignment="1">
      <alignment horizontal="center" vertical="center" wrapText="1"/>
    </xf>
    <xf numFmtId="0" fontId="12" fillId="0" borderId="8" xfId="10" applyFont="1" applyBorder="1" applyAlignment="1">
      <alignment horizontal="center" vertical="center" wrapText="1"/>
    </xf>
    <xf numFmtId="0" fontId="12" fillId="0" borderId="13" xfId="10" applyFont="1" applyBorder="1" applyAlignment="1">
      <alignment horizontal="center" vertical="center" wrapText="1"/>
    </xf>
    <xf numFmtId="0" fontId="10" fillId="0" borderId="4" xfId="10" applyFont="1" applyBorder="1" applyAlignment="1">
      <alignment horizontal="center" vertical="center" wrapText="1"/>
    </xf>
    <xf numFmtId="0" fontId="10" fillId="0" borderId="2" xfId="10" applyFont="1" applyBorder="1" applyAlignment="1">
      <alignment horizontal="center" vertical="center" wrapText="1"/>
    </xf>
    <xf numFmtId="0" fontId="10" fillId="0" borderId="5" xfId="10" applyFont="1" applyBorder="1" applyAlignment="1">
      <alignment horizontal="center" vertical="center" wrapText="1"/>
    </xf>
    <xf numFmtId="0" fontId="10" fillId="0" borderId="8" xfId="10" applyFont="1" applyBorder="1" applyAlignment="1">
      <alignment horizontal="center" vertical="center" wrapText="1"/>
    </xf>
    <xf numFmtId="0" fontId="10" fillId="0" borderId="13" xfId="10" applyFont="1" applyBorder="1" applyAlignment="1">
      <alignment horizontal="center" vertical="center" wrapText="1"/>
    </xf>
    <xf numFmtId="0" fontId="10" fillId="0" borderId="1" xfId="11" applyFont="1" applyBorder="1" applyAlignment="1">
      <alignment horizontal="center" vertical="center" wrapText="1"/>
    </xf>
    <xf numFmtId="0" fontId="26" fillId="3" borderId="8" xfId="11" applyFont="1" applyFill="1" applyBorder="1" applyAlignment="1">
      <alignment horizontal="center" vertical="center" wrapText="1"/>
    </xf>
    <xf numFmtId="0" fontId="26" fillId="3" borderId="3" xfId="11" applyFont="1" applyFill="1" applyBorder="1" applyAlignment="1">
      <alignment horizontal="center" vertical="center" wrapText="1"/>
    </xf>
    <xf numFmtId="0" fontId="26" fillId="3" borderId="7" xfId="11" applyFont="1" applyFill="1" applyBorder="1" applyAlignment="1">
      <alignment horizontal="center" vertical="center" wrapText="1"/>
    </xf>
    <xf numFmtId="0" fontId="10" fillId="0" borderId="1" xfId="11" applyFont="1" applyBorder="1" applyAlignment="1">
      <alignment horizontal="center" vertical="center"/>
    </xf>
    <xf numFmtId="0" fontId="10" fillId="3" borderId="8" xfId="11" applyFont="1" applyFill="1" applyBorder="1" applyAlignment="1">
      <alignment horizontal="center" vertical="center" wrapText="1"/>
    </xf>
    <xf numFmtId="0" fontId="10" fillId="3" borderId="3" xfId="11" applyFont="1" applyFill="1" applyBorder="1" applyAlignment="1">
      <alignment horizontal="center" vertical="center" wrapText="1"/>
    </xf>
    <xf numFmtId="0" fontId="10" fillId="3" borderId="7" xfId="11" applyFont="1" applyFill="1" applyBorder="1" applyAlignment="1">
      <alignment horizontal="center" vertical="center" wrapText="1"/>
    </xf>
    <xf numFmtId="0" fontId="10" fillId="0" borderId="1" xfId="11" applyFont="1" applyBorder="1" applyAlignment="1">
      <alignment horizontal="left" vertical="center" wrapText="1"/>
    </xf>
    <xf numFmtId="0" fontId="24" fillId="3" borderId="8" xfId="11" applyFont="1" applyFill="1" applyBorder="1" applyAlignment="1">
      <alignment horizontal="center" vertical="center" wrapText="1"/>
    </xf>
    <xf numFmtId="0" fontId="24" fillId="3" borderId="3" xfId="11" applyFont="1" applyFill="1" applyBorder="1" applyAlignment="1">
      <alignment horizontal="center" vertical="center" wrapText="1"/>
    </xf>
    <xf numFmtId="0" fontId="24" fillId="3" borderId="7" xfId="11" applyFont="1" applyFill="1" applyBorder="1" applyAlignment="1">
      <alignment horizontal="center" vertical="center" wrapText="1"/>
    </xf>
    <xf numFmtId="0" fontId="24" fillId="0" borderId="8" xfId="11" applyFont="1" applyBorder="1" applyAlignment="1">
      <alignment horizontal="center" vertical="center" wrapText="1"/>
    </xf>
    <xf numFmtId="0" fontId="24" fillId="0" borderId="3" xfId="11" applyFont="1" applyBorder="1" applyAlignment="1">
      <alignment horizontal="center" vertical="center" wrapText="1"/>
    </xf>
    <xf numFmtId="0" fontId="24" fillId="0" borderId="7" xfId="11" applyFont="1" applyBorder="1" applyAlignment="1">
      <alignment horizontal="center" vertical="center" wrapText="1"/>
    </xf>
    <xf numFmtId="0" fontId="10" fillId="0" borderId="8" xfId="11" applyFont="1" applyBorder="1" applyAlignment="1">
      <alignment horizontal="center" vertical="center" wrapText="1"/>
    </xf>
    <xf numFmtId="0" fontId="10" fillId="0" borderId="3" xfId="11" applyFont="1" applyBorder="1" applyAlignment="1">
      <alignment horizontal="center" vertical="center" wrapText="1"/>
    </xf>
    <xf numFmtId="0" fontId="10" fillId="0" borderId="7" xfId="11" applyFont="1" applyBorder="1" applyAlignment="1">
      <alignment horizontal="center" vertical="center" wrapText="1"/>
    </xf>
    <xf numFmtId="0" fontId="10" fillId="3" borderId="8" xfId="11" applyFont="1" applyFill="1" applyBorder="1" applyAlignment="1">
      <alignment horizontal="center" vertical="center"/>
    </xf>
    <xf numFmtId="0" fontId="10" fillId="3" borderId="3" xfId="11" applyFont="1" applyFill="1" applyBorder="1" applyAlignment="1">
      <alignment horizontal="center" vertical="center"/>
    </xf>
    <xf numFmtId="0" fontId="10" fillId="3" borderId="7" xfId="11" applyFont="1" applyFill="1" applyBorder="1" applyAlignment="1">
      <alignment horizontal="center" vertical="center"/>
    </xf>
    <xf numFmtId="0" fontId="10" fillId="0" borderId="1" xfId="12" applyFont="1" applyBorder="1" applyAlignment="1">
      <alignment horizontal="center" vertical="center" wrapText="1"/>
    </xf>
    <xf numFmtId="0" fontId="10" fillId="3" borderId="1" xfId="12" applyFont="1" applyFill="1" applyBorder="1" applyAlignment="1">
      <alignment horizontal="center" vertical="center"/>
    </xf>
    <xf numFmtId="0" fontId="10" fillId="0" borderId="1" xfId="12" applyFont="1" applyBorder="1" applyAlignment="1">
      <alignment horizontal="center" vertical="center"/>
    </xf>
    <xf numFmtId="0" fontId="10" fillId="2" borderId="1" xfId="12" applyFont="1" applyFill="1" applyBorder="1" applyAlignment="1">
      <alignment horizontal="center" vertical="center" wrapText="1"/>
    </xf>
    <xf numFmtId="0" fontId="24" fillId="3" borderId="1" xfId="12" applyFont="1" applyFill="1" applyBorder="1" applyAlignment="1">
      <alignment horizontal="center" vertical="center" wrapText="1"/>
    </xf>
    <xf numFmtId="0" fontId="10" fillId="0" borderId="1" xfId="12" applyFont="1" applyBorder="1" applyAlignment="1">
      <alignment horizontal="left" vertical="center" wrapText="1"/>
    </xf>
    <xf numFmtId="0" fontId="10" fillId="3" borderId="1" xfId="12" applyFont="1" applyFill="1" applyBorder="1" applyAlignment="1">
      <alignment horizontal="center" vertical="center" wrapText="1"/>
    </xf>
    <xf numFmtId="0" fontId="10" fillId="3" borderId="8" xfId="12" applyFont="1" applyFill="1" applyBorder="1" applyAlignment="1">
      <alignment horizontal="center" vertical="center" wrapText="1"/>
    </xf>
    <xf numFmtId="0" fontId="10" fillId="3" borderId="3" xfId="12" applyFont="1" applyFill="1" applyBorder="1" applyAlignment="1">
      <alignment horizontal="center" vertical="center" wrapText="1"/>
    </xf>
    <xf numFmtId="0" fontId="10" fillId="3" borderId="7" xfId="12" applyFont="1" applyFill="1" applyBorder="1" applyAlignment="1">
      <alignment horizontal="center" vertical="center" wrapText="1"/>
    </xf>
    <xf numFmtId="0" fontId="24" fillId="3" borderId="8" xfId="12" applyFont="1" applyFill="1" applyBorder="1" applyAlignment="1">
      <alignment horizontal="center" vertical="center" wrapText="1"/>
    </xf>
    <xf numFmtId="0" fontId="24" fillId="3" borderId="3" xfId="12" applyFont="1" applyFill="1" applyBorder="1" applyAlignment="1">
      <alignment horizontal="center" vertical="center" wrapText="1"/>
    </xf>
    <xf numFmtId="0" fontId="24" fillId="3" borderId="7" xfId="12" applyFont="1" applyFill="1" applyBorder="1" applyAlignment="1">
      <alignment horizontal="center" vertical="center" wrapText="1"/>
    </xf>
    <xf numFmtId="0" fontId="10" fillId="0" borderId="8" xfId="12" applyFont="1" applyBorder="1" applyAlignment="1">
      <alignment horizontal="center" vertical="center" wrapText="1"/>
    </xf>
    <xf numFmtId="0" fontId="10" fillId="0" borderId="3" xfId="12" applyFont="1" applyBorder="1" applyAlignment="1">
      <alignment horizontal="center" vertical="center" wrapText="1"/>
    </xf>
    <xf numFmtId="0" fontId="10" fillId="0" borderId="7" xfId="12" applyFont="1" applyBorder="1" applyAlignment="1">
      <alignment horizontal="center" vertical="center" wrapText="1"/>
    </xf>
    <xf numFmtId="0" fontId="23" fillId="0" borderId="25" xfId="0" applyFont="1" applyBorder="1" applyAlignment="1">
      <alignment horizontal="center"/>
    </xf>
    <xf numFmtId="0" fontId="50" fillId="0" borderId="8" xfId="3" applyFont="1" applyBorder="1" applyAlignment="1">
      <alignment horizontal="left" vertical="top" wrapText="1"/>
    </xf>
    <xf numFmtId="0" fontId="50" fillId="0" borderId="3" xfId="3" applyFont="1" applyBorder="1" applyAlignment="1">
      <alignment horizontal="left" vertical="top" wrapText="1"/>
    </xf>
    <xf numFmtId="0" fontId="50" fillId="0" borderId="7" xfId="3" applyFont="1" applyBorder="1" applyAlignment="1">
      <alignment horizontal="left" vertical="top" wrapText="1"/>
    </xf>
    <xf numFmtId="0" fontId="23" fillId="0" borderId="1" xfId="0" applyFont="1" applyBorder="1" applyAlignment="1">
      <alignment horizontal="center"/>
    </xf>
    <xf numFmtId="0" fontId="50" fillId="0" borderId="8" xfId="0" applyFont="1" applyBorder="1" applyAlignment="1">
      <alignment horizontal="left" vertical="top" wrapText="1"/>
    </xf>
    <xf numFmtId="0" fontId="50" fillId="0" borderId="3" xfId="0" applyFont="1" applyBorder="1" applyAlignment="1">
      <alignment horizontal="left" vertical="top" wrapText="1"/>
    </xf>
    <xf numFmtId="0" fontId="50" fillId="0" borderId="7" xfId="0" applyFont="1" applyBorder="1" applyAlignment="1">
      <alignment horizontal="left" vertical="top" wrapText="1"/>
    </xf>
    <xf numFmtId="0" fontId="33" fillId="2" borderId="4" xfId="0" applyFont="1" applyFill="1" applyBorder="1" applyAlignment="1"/>
    <xf numFmtId="0" fontId="33" fillId="2" borderId="26" xfId="0" applyFont="1" applyFill="1" applyBorder="1" applyAlignment="1"/>
    <xf numFmtId="0" fontId="33" fillId="2" borderId="27" xfId="0" applyFont="1" applyFill="1" applyBorder="1" applyAlignment="1"/>
    <xf numFmtId="0" fontId="33" fillId="2" borderId="2" xfId="0" applyFont="1" applyFill="1" applyBorder="1" applyAlignment="1"/>
    <xf numFmtId="0" fontId="33" fillId="2" borderId="0" xfId="0" applyFont="1" applyFill="1" applyAlignment="1"/>
    <xf numFmtId="0" fontId="33" fillId="2" borderId="24" xfId="0" applyFont="1" applyFill="1" applyBorder="1" applyAlignment="1"/>
    <xf numFmtId="0" fontId="33" fillId="2" borderId="14" xfId="0" applyFont="1" applyFill="1" applyBorder="1" applyAlignment="1"/>
    <xf numFmtId="0" fontId="33" fillId="2" borderId="25" xfId="0" applyFont="1" applyFill="1" applyBorder="1" applyAlignment="1"/>
    <xf numFmtId="0" fontId="33" fillId="2" borderId="15" xfId="0" applyFont="1" applyFill="1" applyBorder="1" applyAlignment="1"/>
    <xf numFmtId="0" fontId="33" fillId="0" borderId="4" xfId="0" applyFont="1" applyBorder="1" applyAlignment="1"/>
    <xf numFmtId="0" fontId="33" fillId="0" borderId="26" xfId="0" applyFont="1" applyBorder="1" applyAlignment="1"/>
    <xf numFmtId="0" fontId="33" fillId="0" borderId="27" xfId="0" applyFont="1" applyBorder="1" applyAlignment="1"/>
    <xf numFmtId="0" fontId="33" fillId="0" borderId="2" xfId="0" applyFont="1" applyBorder="1" applyAlignment="1"/>
    <xf numFmtId="0" fontId="33" fillId="0" borderId="0" xfId="0" applyFont="1" applyAlignment="1"/>
    <xf numFmtId="0" fontId="33" fillId="0" borderId="24" xfId="0" applyFont="1" applyBorder="1" applyAlignment="1"/>
    <xf numFmtId="0" fontId="33" fillId="0" borderId="14" xfId="0" applyFont="1" applyBorder="1" applyAlignment="1"/>
    <xf numFmtId="0" fontId="33" fillId="0" borderId="25" xfId="0" applyFont="1" applyBorder="1" applyAlignment="1"/>
    <xf numFmtId="0" fontId="33" fillId="0" borderId="15" xfId="0" applyFont="1" applyBorder="1" applyAlignment="1"/>
    <xf numFmtId="0" fontId="0" fillId="0" borderId="4" xfId="0" applyBorder="1" applyAlignment="1"/>
    <xf numFmtId="0" fontId="0" fillId="0" borderId="26" xfId="0" applyBorder="1" applyAlignment="1"/>
    <xf numFmtId="0" fontId="0" fillId="0" borderId="27" xfId="0" applyBorder="1" applyAlignment="1"/>
    <xf numFmtId="0" fontId="0" fillId="0" borderId="2" xfId="0" applyBorder="1" applyAlignment="1"/>
    <xf numFmtId="0" fontId="0" fillId="0" borderId="0" xfId="0" applyAlignment="1"/>
    <xf numFmtId="0" fontId="0" fillId="0" borderId="24" xfId="0" applyBorder="1" applyAlignment="1"/>
    <xf numFmtId="0" fontId="0" fillId="0" borderId="14" xfId="0" applyBorder="1" applyAlignment="1"/>
    <xf numFmtId="0" fontId="0" fillId="0" borderId="25" xfId="0" applyBorder="1" applyAlignment="1"/>
    <xf numFmtId="0" fontId="0" fillId="0" borderId="15" xfId="0" applyBorder="1" applyAlignment="1"/>
  </cellXfs>
  <cellStyles count="13">
    <cellStyle name="Normal" xfId="0" builtinId="0"/>
    <cellStyle name="Percent" xfId="7" builtinId="5"/>
    <cellStyle name="標準 11" xfId="4" xr:uid="{8A139863-BE61-4881-8A75-3DDBB52DC4BE}"/>
    <cellStyle name="標準 2" xfId="1" xr:uid="{00000000-0005-0000-0000-000001000000}"/>
    <cellStyle name="標準 3" xfId="2" xr:uid="{00000000-0005-0000-0000-000002000000}"/>
    <cellStyle name="標準 3 2" xfId="3" xr:uid="{FC5C2E8A-A686-48A9-AAC2-9B298D2574A1}"/>
    <cellStyle name="標準 3 2 2" xfId="10" xr:uid="{E24E8E08-B819-483A-B067-529B685949FE}"/>
    <cellStyle name="標準 3 2 3" xfId="9" xr:uid="{B51A8A27-C404-49B7-84A6-1FBEE9952751}"/>
    <cellStyle name="標準 3 2 4" xfId="12" xr:uid="{E773AAC4-206A-4A64-B72B-874B4A5DDC39}"/>
    <cellStyle name="標準 3 3" xfId="5" xr:uid="{9ACCEC74-F504-4508-9A08-5C5D7EDF407B}"/>
    <cellStyle name="標準 3 4" xfId="8" xr:uid="{BB1A2E35-B0D2-4F0D-B0B3-A0DF5FD2D54A}"/>
    <cellStyle name="標準 3 5" xfId="11" xr:uid="{2099E64D-F866-456B-B218-EA61E2AEC210}"/>
    <cellStyle name="標準 4" xfId="6" xr:uid="{F7B15526-2EC2-448D-9908-F6F85D2541C9}"/>
  </cellStyles>
  <dxfs count="22">
    <dxf>
      <fill>
        <patternFill>
          <bgColor theme="0" tint="-0.24994659260841701"/>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rgb="FFFFFF00"/>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0" tint="-0.24994659260841701"/>
        </patternFill>
      </fill>
    </dxf>
    <dxf>
      <fill>
        <patternFill>
          <bgColor rgb="FFFFFF00"/>
        </patternFill>
      </fill>
    </dxf>
  </dxfs>
  <tableStyles count="0" defaultTableStyle="TableStyleMedium2" defaultPivotStyle="PivotStyleLight16"/>
  <colors>
    <mruColors>
      <color rgb="FF0000FF"/>
      <color rgb="FFFFCCFF"/>
      <color rgb="FFFF9900"/>
      <color rgb="FFFF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7871234351896601"/>
          <c:y val="0.126640414424916"/>
          <c:w val="0.47662213225532951"/>
          <c:h val="0.80466575208148783"/>
        </c:manualLayout>
      </c:layout>
      <c:radarChart>
        <c:radarStyle val="marker"/>
        <c:varyColors val="0"/>
        <c:ser>
          <c:idx val="0"/>
          <c:order val="0"/>
          <c:tx>
            <c:v>2025</c:v>
          </c:tx>
          <c:spPr>
            <a:ln w="28575" cap="rnd">
              <a:solidFill>
                <a:srgbClr val="0000FF"/>
              </a:solidFill>
              <a:round/>
            </a:ln>
            <a:effectLst/>
          </c:spPr>
          <c:marker>
            <c:symbol val="none"/>
          </c:marker>
          <c:cat>
            <c:strRef>
              <c:f>Cal!$B$44:$B$46</c:f>
              <c:strCache>
                <c:ptCount val="3"/>
                <c:pt idx="0">
                  <c:v>Compliance</c:v>
                </c:pt>
                <c:pt idx="1">
                  <c:v>Governance</c:v>
                </c:pt>
                <c:pt idx="2">
                  <c:v>Risk</c:v>
                </c:pt>
              </c:strCache>
            </c:strRef>
          </c:cat>
          <c:val>
            <c:numRef>
              <c:f>Cal!$D$44:$D$46</c:f>
              <c:numCache>
                <c:formatCode>0.0</c:formatCode>
                <c:ptCount val="3"/>
                <c:pt idx="0">
                  <c:v>0</c:v>
                </c:pt>
                <c:pt idx="1">
                  <c:v>0</c:v>
                </c:pt>
                <c:pt idx="2">
                  <c:v>0</c:v>
                </c:pt>
              </c:numCache>
            </c:numRef>
          </c:val>
          <c:extLst>
            <c:ext xmlns:c16="http://schemas.microsoft.com/office/drawing/2014/chart" uri="{C3380CC4-5D6E-409C-BE32-E72D297353CC}">
              <c16:uniqueId val="{00000000-D528-4943-A449-DA8A84DFDAC4}"/>
            </c:ext>
          </c:extLst>
        </c:ser>
        <c:ser>
          <c:idx val="1"/>
          <c:order val="1"/>
          <c:tx>
            <c:v>2028</c:v>
          </c:tx>
          <c:spPr>
            <a:ln w="28575" cap="rnd">
              <a:solidFill>
                <a:schemeClr val="accent2"/>
              </a:solidFill>
              <a:round/>
            </a:ln>
            <a:effectLst/>
          </c:spPr>
          <c:marker>
            <c:symbol val="none"/>
          </c:marker>
          <c:cat>
            <c:strRef>
              <c:f>Cal!$B$44:$B$46</c:f>
              <c:strCache>
                <c:ptCount val="3"/>
                <c:pt idx="0">
                  <c:v>Compliance</c:v>
                </c:pt>
                <c:pt idx="1">
                  <c:v>Governance</c:v>
                </c:pt>
                <c:pt idx="2">
                  <c:v>Risk</c:v>
                </c:pt>
              </c:strCache>
            </c:strRef>
          </c:cat>
          <c:val>
            <c:numRef>
              <c:f>Cal!$E$44:$E$46</c:f>
              <c:numCache>
                <c:formatCode>0.0</c:formatCode>
                <c:ptCount val="3"/>
                <c:pt idx="0">
                  <c:v>0</c:v>
                </c:pt>
                <c:pt idx="1">
                  <c:v>0</c:v>
                </c:pt>
                <c:pt idx="2">
                  <c:v>0</c:v>
                </c:pt>
              </c:numCache>
            </c:numRef>
          </c:val>
          <c:extLst>
            <c:ext xmlns:c16="http://schemas.microsoft.com/office/drawing/2014/chart" uri="{C3380CC4-5D6E-409C-BE32-E72D297353CC}">
              <c16:uniqueId val="{00000001-D528-4943-A449-DA8A84DFDAC4}"/>
            </c:ext>
          </c:extLst>
        </c:ser>
        <c:dLbls>
          <c:showLegendKey val="0"/>
          <c:showVal val="0"/>
          <c:showCatName val="0"/>
          <c:showSerName val="0"/>
          <c:showPercent val="0"/>
          <c:showBubbleSize val="0"/>
        </c:dLbls>
        <c:axId val="516867759"/>
        <c:axId val="516872559"/>
      </c:radarChart>
      <c:catAx>
        <c:axId val="516867759"/>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Yu Gothic UI" panose="020B0500000000000000" pitchFamily="50" charset="-128"/>
                <a:ea typeface="Yu Gothic UI" panose="020B0500000000000000" pitchFamily="50" charset="-128"/>
                <a:cs typeface="+mn-cs"/>
              </a:defRPr>
            </a:pPr>
            <a:endParaRPr lang="ja-JP"/>
          </a:p>
        </c:txPr>
        <c:crossAx val="516872559"/>
        <c:crosses val="autoZero"/>
        <c:auto val="1"/>
        <c:lblAlgn val="ctr"/>
        <c:lblOffset val="100"/>
        <c:noMultiLvlLbl val="0"/>
      </c:catAx>
      <c:valAx>
        <c:axId val="516872559"/>
        <c:scaling>
          <c:orientation val="minMax"/>
          <c:max val="5"/>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one"/>
        <c:spPr>
          <a:noFill/>
          <a:ln>
            <a:solidFill>
              <a:schemeClr val="bg1">
                <a:lumMod val="50000"/>
              </a:schemeClr>
            </a:solidFill>
            <a:prstDash val="dash"/>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516867759"/>
        <c:crosses val="autoZero"/>
        <c:crossBetween val="between"/>
        <c:majorUnit val="1"/>
      </c:valAx>
      <c:spPr>
        <a:noFill/>
        <a:ln>
          <a:noFill/>
        </a:ln>
        <a:effectLst/>
      </c:spPr>
    </c:plotArea>
    <c:legend>
      <c:legendPos val="r"/>
      <c:layout>
        <c:manualLayout>
          <c:xMode val="edge"/>
          <c:yMode val="edge"/>
          <c:x val="0.63741391820348847"/>
          <c:y val="0.1752086037103881"/>
          <c:w val="0.18813869733450378"/>
          <c:h val="0.21767921177442678"/>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7967003368390881E-2"/>
          <c:y val="0.11941748000180478"/>
          <c:w val="0.89080763312676092"/>
          <c:h val="0.74122021729776488"/>
        </c:manualLayout>
      </c:layout>
      <c:barChart>
        <c:barDir val="bar"/>
        <c:grouping val="stacked"/>
        <c:varyColors val="0"/>
        <c:ser>
          <c:idx val="0"/>
          <c:order val="0"/>
          <c:tx>
            <c:strRef>
              <c:f>Cal!$K$60</c:f>
              <c:strCache>
                <c:ptCount val="1"/>
                <c:pt idx="0">
                  <c:v>B+ or higher</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Yu Gothic UI" panose="020B0500000000000000" pitchFamily="50" charset="-128"/>
                    <a:ea typeface="Yu Gothic UI" panose="020B0500000000000000" pitchFamily="50" charset="-128"/>
                    <a:cs typeface="+mn-cs"/>
                  </a:defRPr>
                </a:pPr>
                <a:endParaRPr lang="ja-JP"/>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Cal!$I$61:$J$66</c:f>
              <c:multiLvlStrCache>
                <c:ptCount val="6"/>
                <c:lvl>
                  <c:pt idx="0">
                    <c:v>2025</c:v>
                  </c:pt>
                  <c:pt idx="1">
                    <c:v>2026</c:v>
                  </c:pt>
                  <c:pt idx="2">
                    <c:v>2025</c:v>
                  </c:pt>
                  <c:pt idx="3">
                    <c:v>2026</c:v>
                  </c:pt>
                  <c:pt idx="4">
                    <c:v>2025</c:v>
                  </c:pt>
                  <c:pt idx="5">
                    <c:v>2026</c:v>
                  </c:pt>
                </c:lvl>
                <c:lvl>
                  <c:pt idx="0">
                    <c:v>governance</c:v>
                  </c:pt>
                  <c:pt idx="2">
                    <c:v>Compliance</c:v>
                  </c:pt>
                  <c:pt idx="4">
                    <c:v>Governance</c:v>
                  </c:pt>
                </c:lvl>
              </c:multiLvlStrCache>
            </c:multiLvlStrRef>
          </c:cat>
          <c:val>
            <c:numRef>
              <c:f>Cal!$K$61:$K$66</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218E-45F7-A5A2-913C254940FA}"/>
            </c:ext>
          </c:extLst>
        </c:ser>
        <c:ser>
          <c:idx val="1"/>
          <c:order val="1"/>
          <c:tx>
            <c:strRef>
              <c:f>Cal!$L$60</c:f>
              <c:strCache>
                <c:ptCount val="1"/>
                <c:pt idx="0">
                  <c:v>B</c:v>
                </c:pt>
              </c:strCache>
            </c:strRef>
          </c:tx>
          <c:spPr>
            <a:solidFill>
              <a:schemeClr val="accent6">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Yu Gothic UI" panose="020B0500000000000000" pitchFamily="50" charset="-128"/>
                    <a:ea typeface="Yu Gothic UI" panose="020B0500000000000000" pitchFamily="50" charset="-128"/>
                    <a:cs typeface="+mn-cs"/>
                  </a:defRPr>
                </a:pPr>
                <a:endParaRPr lang="ja-JP"/>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Cal!$I$61:$J$66</c:f>
              <c:multiLvlStrCache>
                <c:ptCount val="6"/>
                <c:lvl>
                  <c:pt idx="0">
                    <c:v>2025</c:v>
                  </c:pt>
                  <c:pt idx="1">
                    <c:v>2026</c:v>
                  </c:pt>
                  <c:pt idx="2">
                    <c:v>2025</c:v>
                  </c:pt>
                  <c:pt idx="3">
                    <c:v>2026</c:v>
                  </c:pt>
                  <c:pt idx="4">
                    <c:v>2025</c:v>
                  </c:pt>
                  <c:pt idx="5">
                    <c:v>2026</c:v>
                  </c:pt>
                </c:lvl>
                <c:lvl>
                  <c:pt idx="0">
                    <c:v>governance</c:v>
                  </c:pt>
                  <c:pt idx="2">
                    <c:v>Compliance</c:v>
                  </c:pt>
                  <c:pt idx="4">
                    <c:v>Governance</c:v>
                  </c:pt>
                </c:lvl>
              </c:multiLvlStrCache>
            </c:multiLvlStrRef>
          </c:cat>
          <c:val>
            <c:numRef>
              <c:f>Cal!$L$61:$L$66</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218E-45F7-A5A2-913C254940FA}"/>
            </c:ext>
          </c:extLst>
        </c:ser>
        <c:ser>
          <c:idx val="2"/>
          <c:order val="2"/>
          <c:tx>
            <c:strRef>
              <c:f>Cal!$M$60</c:f>
              <c:strCache>
                <c:ptCount val="1"/>
                <c:pt idx="0">
                  <c:v>B-</c:v>
                </c:pt>
              </c:strCache>
            </c:strRef>
          </c:tx>
          <c:spPr>
            <a:solidFill>
              <a:schemeClr val="accent2">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Yu Gothic UI" panose="020B0500000000000000" pitchFamily="50" charset="-128"/>
                    <a:ea typeface="Yu Gothic UI" panose="020B0500000000000000" pitchFamily="50" charset="-128"/>
                    <a:cs typeface="+mn-cs"/>
                  </a:defRPr>
                </a:pPr>
                <a:endParaRPr lang="ja-JP"/>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Cal!$I$61:$J$66</c:f>
              <c:multiLvlStrCache>
                <c:ptCount val="6"/>
                <c:lvl>
                  <c:pt idx="0">
                    <c:v>2025</c:v>
                  </c:pt>
                  <c:pt idx="1">
                    <c:v>2026</c:v>
                  </c:pt>
                  <c:pt idx="2">
                    <c:v>2025</c:v>
                  </c:pt>
                  <c:pt idx="3">
                    <c:v>2026</c:v>
                  </c:pt>
                  <c:pt idx="4">
                    <c:v>2025</c:v>
                  </c:pt>
                  <c:pt idx="5">
                    <c:v>2026</c:v>
                  </c:pt>
                </c:lvl>
                <c:lvl>
                  <c:pt idx="0">
                    <c:v>governance</c:v>
                  </c:pt>
                  <c:pt idx="2">
                    <c:v>Compliance</c:v>
                  </c:pt>
                  <c:pt idx="4">
                    <c:v>Governance</c:v>
                  </c:pt>
                </c:lvl>
              </c:multiLvlStrCache>
            </c:multiLvlStrRef>
          </c:cat>
          <c:val>
            <c:numRef>
              <c:f>Cal!$M$61:$M$66</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2-218E-45F7-A5A2-913C254940FA}"/>
            </c:ext>
          </c:extLst>
        </c:ser>
        <c:ser>
          <c:idx val="3"/>
          <c:order val="3"/>
          <c:tx>
            <c:strRef>
              <c:f>Cal!$N$60</c:f>
              <c:strCache>
                <c:ptCount val="1"/>
                <c:pt idx="0">
                  <c:v>C</c:v>
                </c:pt>
              </c:strCache>
            </c:strRef>
          </c:tx>
          <c:spPr>
            <a:solidFill>
              <a:srgbClr val="FFCC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Yu Gothic UI" panose="020B0500000000000000" pitchFamily="50" charset="-128"/>
                    <a:ea typeface="Yu Gothic UI" panose="020B0500000000000000" pitchFamily="50" charset="-128"/>
                    <a:cs typeface="+mn-cs"/>
                  </a:defRPr>
                </a:pPr>
                <a:endParaRPr lang="ja-JP"/>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Cal!$I$61:$J$66</c:f>
              <c:multiLvlStrCache>
                <c:ptCount val="6"/>
                <c:lvl>
                  <c:pt idx="0">
                    <c:v>2025</c:v>
                  </c:pt>
                  <c:pt idx="1">
                    <c:v>2026</c:v>
                  </c:pt>
                  <c:pt idx="2">
                    <c:v>2025</c:v>
                  </c:pt>
                  <c:pt idx="3">
                    <c:v>2026</c:v>
                  </c:pt>
                  <c:pt idx="4">
                    <c:v>2025</c:v>
                  </c:pt>
                  <c:pt idx="5">
                    <c:v>2026</c:v>
                  </c:pt>
                </c:lvl>
                <c:lvl>
                  <c:pt idx="0">
                    <c:v>governance</c:v>
                  </c:pt>
                  <c:pt idx="2">
                    <c:v>Compliance</c:v>
                  </c:pt>
                  <c:pt idx="4">
                    <c:v>Governance</c:v>
                  </c:pt>
                </c:lvl>
              </c:multiLvlStrCache>
            </c:multiLvlStrRef>
          </c:cat>
          <c:val>
            <c:numRef>
              <c:f>Cal!$N$61:$N$66</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3-218E-45F7-A5A2-913C254940FA}"/>
            </c:ext>
          </c:extLst>
        </c:ser>
        <c:dLbls>
          <c:showLegendKey val="0"/>
          <c:showVal val="0"/>
          <c:showCatName val="0"/>
          <c:showSerName val="0"/>
          <c:showPercent val="0"/>
          <c:showBubbleSize val="0"/>
        </c:dLbls>
        <c:gapWidth val="150"/>
        <c:overlap val="100"/>
        <c:axId val="613412239"/>
        <c:axId val="613402159"/>
      </c:barChart>
      <c:catAx>
        <c:axId val="613412239"/>
        <c:scaling>
          <c:orientation val="minMax"/>
        </c:scaling>
        <c:delete val="1"/>
        <c:axPos val="l"/>
        <c:numFmt formatCode="General" sourceLinked="1"/>
        <c:majorTickMark val="none"/>
        <c:minorTickMark val="none"/>
        <c:tickLblPos val="nextTo"/>
        <c:crossAx val="613402159"/>
        <c:crosses val="autoZero"/>
        <c:auto val="1"/>
        <c:lblAlgn val="ctr"/>
        <c:lblOffset val="100"/>
        <c:noMultiLvlLbl val="0"/>
      </c:catAx>
      <c:valAx>
        <c:axId val="613402159"/>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Yu Gothic UI" panose="020B0500000000000000" pitchFamily="50" charset="-128"/>
                <a:ea typeface="Yu Gothic UI" panose="020B0500000000000000" pitchFamily="50" charset="-128"/>
                <a:cs typeface="+mn-cs"/>
              </a:defRPr>
            </a:pPr>
            <a:endParaRPr lang="ja-JP"/>
          </a:p>
        </c:txPr>
        <c:crossAx val="613412239"/>
        <c:crosses val="autoZero"/>
        <c:crossBetween val="between"/>
      </c:valAx>
      <c:spPr>
        <a:noFill/>
        <a:ln>
          <a:noFill/>
        </a:ln>
        <a:effectLst/>
      </c:spPr>
    </c:plotArea>
    <c:legend>
      <c:legendPos val="b"/>
      <c:layout>
        <c:manualLayout>
          <c:xMode val="edge"/>
          <c:yMode val="edge"/>
          <c:x val="0.43506072219480507"/>
          <c:y val="9.1347315688110526E-4"/>
          <c:w val="0.54301723262716539"/>
          <c:h val="9.7373411266886964E-2"/>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Yu Gothic UI" panose="020B0500000000000000" pitchFamily="50" charset="-128"/>
              <a:ea typeface="Yu Gothic UI" panose="020B0500000000000000" pitchFamily="50" charset="-128"/>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Yu Gothic UI" panose="020B0500000000000000" pitchFamily="50" charset="-128"/>
          <a:ea typeface="Yu Gothic UI" panose="020B0500000000000000" pitchFamily="50" charset="-128"/>
        </a:defRPr>
      </a:pPr>
      <a:endParaRPr lang="ja-JP"/>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127409233712642"/>
          <c:y val="0.25708509052072637"/>
          <c:w val="0.53228139473198288"/>
          <c:h val="0.57673887733039464"/>
        </c:manualLayout>
      </c:layout>
      <c:radarChart>
        <c:radarStyle val="marker"/>
        <c:varyColors val="0"/>
        <c:ser>
          <c:idx val="0"/>
          <c:order val="0"/>
          <c:tx>
            <c:v>2025</c:v>
          </c:tx>
          <c:spPr>
            <a:ln w="28575" cap="rnd">
              <a:solidFill>
                <a:srgbClr val="0000FF"/>
              </a:solidFill>
              <a:round/>
            </a:ln>
            <a:effectLst/>
          </c:spPr>
          <c:marker>
            <c:symbol val="none"/>
          </c:marker>
          <c:cat>
            <c:strRef>
              <c:f>Cal!$C$52:$C$56</c:f>
              <c:strCache>
                <c:ptCount val="5"/>
                <c:pt idx="0">
                  <c:v>Issue solving</c:v>
                </c:pt>
                <c:pt idx="1">
                  <c:v>Risk Management</c:v>
                </c:pt>
                <c:pt idx="2">
                  <c:v>Business Strategy Adjustment</c:v>
                </c:pt>
                <c:pt idx="3">
                  <c:v>Independency and Continuity</c:v>
                </c:pt>
                <c:pt idx="4">
                  <c:v>Integration/ Incorporation</c:v>
                </c:pt>
              </c:strCache>
            </c:strRef>
          </c:cat>
          <c:val>
            <c:numRef>
              <c:f>Cal!$E$52:$E$56</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71E4-4D47-8F61-EDB1691DEB3F}"/>
            </c:ext>
          </c:extLst>
        </c:ser>
        <c:ser>
          <c:idx val="1"/>
          <c:order val="1"/>
          <c:tx>
            <c:v>2028</c:v>
          </c:tx>
          <c:spPr>
            <a:ln w="28575" cap="rnd">
              <a:solidFill>
                <a:schemeClr val="accent2"/>
              </a:solidFill>
              <a:round/>
            </a:ln>
            <a:effectLst/>
          </c:spPr>
          <c:marker>
            <c:symbol val="none"/>
          </c:marker>
          <c:cat>
            <c:strRef>
              <c:f>Cal!$C$52:$C$56</c:f>
              <c:strCache>
                <c:ptCount val="5"/>
                <c:pt idx="0">
                  <c:v>Issue solving</c:v>
                </c:pt>
                <c:pt idx="1">
                  <c:v>Risk Management</c:v>
                </c:pt>
                <c:pt idx="2">
                  <c:v>Business Strategy Adjustment</c:v>
                </c:pt>
                <c:pt idx="3">
                  <c:v>Independency and Continuity</c:v>
                </c:pt>
                <c:pt idx="4">
                  <c:v>Integration/ Incorporation</c:v>
                </c:pt>
              </c:strCache>
            </c:strRef>
          </c:cat>
          <c:val>
            <c:numRef>
              <c:f>Cal!$G$52:$G$56</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1-71E4-4D47-8F61-EDB1691DEB3F}"/>
            </c:ext>
          </c:extLst>
        </c:ser>
        <c:dLbls>
          <c:showLegendKey val="0"/>
          <c:showVal val="0"/>
          <c:showCatName val="0"/>
          <c:showSerName val="0"/>
          <c:showPercent val="0"/>
          <c:showBubbleSize val="0"/>
        </c:dLbls>
        <c:axId val="516867759"/>
        <c:axId val="516872559"/>
      </c:radarChart>
      <c:catAx>
        <c:axId val="516867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800" b="0" i="0" u="none" strike="noStrike" kern="1200" baseline="0">
                <a:solidFill>
                  <a:schemeClr val="tx1">
                    <a:lumMod val="65000"/>
                    <a:lumOff val="35000"/>
                  </a:schemeClr>
                </a:solidFill>
                <a:latin typeface="+mn-lt"/>
                <a:ea typeface="+mn-ea"/>
                <a:cs typeface="+mn-cs"/>
              </a:defRPr>
            </a:pPr>
            <a:endParaRPr lang="ja-JP"/>
          </a:p>
        </c:txPr>
        <c:crossAx val="516872559"/>
        <c:crosses val="autoZero"/>
        <c:auto val="1"/>
        <c:lblAlgn val="ctr"/>
        <c:lblOffset val="100"/>
        <c:noMultiLvlLbl val="0"/>
      </c:catAx>
      <c:valAx>
        <c:axId val="516872559"/>
        <c:scaling>
          <c:orientation val="minMax"/>
          <c:max val="5"/>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one"/>
        <c:spPr>
          <a:noFill/>
          <a:ln w="6350">
            <a:solidFill>
              <a:schemeClr val="bg2">
                <a:lumMod val="50000"/>
              </a:schemeClr>
            </a:solidFill>
            <a:prstDash val="dash"/>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516867759"/>
        <c:crosses val="autoZero"/>
        <c:crossBetween val="between"/>
        <c:majorUnit val="1"/>
      </c:valAx>
      <c:spPr>
        <a:noFill/>
        <a:ln>
          <a:noFill/>
        </a:ln>
        <a:effectLst/>
      </c:spPr>
    </c:plotArea>
    <c:legend>
      <c:legendPos val="t"/>
      <c:layout>
        <c:manualLayout>
          <c:xMode val="edge"/>
          <c:yMode val="edge"/>
          <c:x val="0.64201166681116006"/>
          <c:y val="6.7648360710409347E-2"/>
          <c:w val="0.22792037410229779"/>
          <c:h val="0.2083810840473202"/>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127409233712642"/>
          <c:y val="0.25708509052072637"/>
          <c:w val="0.53228139473198288"/>
          <c:h val="0.57673887733039464"/>
        </c:manualLayout>
      </c:layout>
      <c:radarChart>
        <c:radarStyle val="marker"/>
        <c:varyColors val="0"/>
        <c:ser>
          <c:idx val="0"/>
          <c:order val="0"/>
          <c:tx>
            <c:v>2025</c:v>
          </c:tx>
          <c:spPr>
            <a:ln w="28575" cap="rnd">
              <a:solidFill>
                <a:srgbClr val="0000FF"/>
              </a:solidFill>
              <a:round/>
            </a:ln>
            <a:effectLst/>
          </c:spPr>
          <c:marker>
            <c:symbol val="none"/>
          </c:marker>
          <c:cat>
            <c:strRef>
              <c:f>Cal!$C$52:$C$56</c:f>
              <c:strCache>
                <c:ptCount val="5"/>
                <c:pt idx="0">
                  <c:v>Issue solving</c:v>
                </c:pt>
                <c:pt idx="1">
                  <c:v>Risk Management</c:v>
                </c:pt>
                <c:pt idx="2">
                  <c:v>Business Strategy Adjustment</c:v>
                </c:pt>
                <c:pt idx="3">
                  <c:v>Independency and Continuity</c:v>
                </c:pt>
                <c:pt idx="4">
                  <c:v>Integration/ Incorporation</c:v>
                </c:pt>
              </c:strCache>
            </c:strRef>
          </c:cat>
          <c:val>
            <c:numRef>
              <c:f>Cal!$D$52:$D$56</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82AE-4C69-A913-ED299826DF22}"/>
            </c:ext>
          </c:extLst>
        </c:ser>
        <c:ser>
          <c:idx val="1"/>
          <c:order val="1"/>
          <c:tx>
            <c:v>2028</c:v>
          </c:tx>
          <c:spPr>
            <a:ln w="28575" cap="rnd">
              <a:solidFill>
                <a:schemeClr val="accent2"/>
              </a:solidFill>
              <a:round/>
            </a:ln>
            <a:effectLst/>
          </c:spPr>
          <c:marker>
            <c:symbol val="none"/>
          </c:marker>
          <c:cat>
            <c:strRef>
              <c:f>Cal!$C$52:$C$56</c:f>
              <c:strCache>
                <c:ptCount val="5"/>
                <c:pt idx="0">
                  <c:v>Issue solving</c:v>
                </c:pt>
                <c:pt idx="1">
                  <c:v>Risk Management</c:v>
                </c:pt>
                <c:pt idx="2">
                  <c:v>Business Strategy Adjustment</c:v>
                </c:pt>
                <c:pt idx="3">
                  <c:v>Independency and Continuity</c:v>
                </c:pt>
                <c:pt idx="4">
                  <c:v>Integration/ Incorporation</c:v>
                </c:pt>
              </c:strCache>
            </c:strRef>
          </c:cat>
          <c:val>
            <c:numRef>
              <c:f>Cal!$F$52:$F$56</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1-82AE-4C69-A913-ED299826DF22}"/>
            </c:ext>
          </c:extLst>
        </c:ser>
        <c:dLbls>
          <c:showLegendKey val="0"/>
          <c:showVal val="0"/>
          <c:showCatName val="0"/>
          <c:showSerName val="0"/>
          <c:showPercent val="0"/>
          <c:showBubbleSize val="0"/>
        </c:dLbls>
        <c:axId val="516867759"/>
        <c:axId val="516872559"/>
      </c:radarChart>
      <c:catAx>
        <c:axId val="516867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800" b="0" i="0" u="none" strike="noStrike" kern="1200" baseline="0">
                <a:solidFill>
                  <a:schemeClr val="tx1">
                    <a:lumMod val="65000"/>
                    <a:lumOff val="35000"/>
                  </a:schemeClr>
                </a:solidFill>
                <a:latin typeface="+mn-lt"/>
                <a:ea typeface="+mn-ea"/>
                <a:cs typeface="+mn-cs"/>
              </a:defRPr>
            </a:pPr>
            <a:endParaRPr lang="ja-JP"/>
          </a:p>
        </c:txPr>
        <c:crossAx val="516872559"/>
        <c:crosses val="autoZero"/>
        <c:auto val="1"/>
        <c:lblAlgn val="ctr"/>
        <c:lblOffset val="100"/>
        <c:noMultiLvlLbl val="0"/>
      </c:catAx>
      <c:valAx>
        <c:axId val="516872559"/>
        <c:scaling>
          <c:orientation val="minMax"/>
          <c:max val="5"/>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one"/>
        <c:spPr>
          <a:noFill/>
          <a:ln w="6350">
            <a:solidFill>
              <a:schemeClr val="bg2">
                <a:lumMod val="50000"/>
              </a:schemeClr>
            </a:solidFill>
            <a:prstDash val="dash"/>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516867759"/>
        <c:crosses val="autoZero"/>
        <c:crossBetween val="between"/>
        <c:majorUnit val="1"/>
      </c:valAx>
      <c:spPr>
        <a:noFill/>
        <a:ln>
          <a:noFill/>
        </a:ln>
        <a:effectLst/>
      </c:spPr>
    </c:plotArea>
    <c:legend>
      <c:legendPos val="t"/>
      <c:layout>
        <c:manualLayout>
          <c:xMode val="edge"/>
          <c:yMode val="edge"/>
          <c:x val="0.61207391408633571"/>
          <c:y val="5.7379751597246231E-2"/>
          <c:w val="0.23644547838360305"/>
          <c:h val="0.20102456196153151"/>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7871234351896601"/>
          <c:y val="0.126640414424916"/>
          <c:w val="0.47662213225532951"/>
          <c:h val="0.80466575208148783"/>
        </c:manualLayout>
      </c:layout>
      <c:radarChart>
        <c:radarStyle val="marker"/>
        <c:varyColors val="0"/>
        <c:ser>
          <c:idx val="0"/>
          <c:order val="0"/>
          <c:tx>
            <c:v>2025</c:v>
          </c:tx>
          <c:spPr>
            <a:ln w="28575" cap="rnd">
              <a:solidFill>
                <a:srgbClr val="0000FF"/>
              </a:solidFill>
              <a:round/>
            </a:ln>
            <a:effectLst/>
          </c:spPr>
          <c:marker>
            <c:symbol val="none"/>
          </c:marker>
          <c:cat>
            <c:strRef>
              <c:f>'(ref.) Cal'!$B$40:$B$42</c:f>
              <c:strCache>
                <c:ptCount val="3"/>
                <c:pt idx="0">
                  <c:v>Compliance</c:v>
                </c:pt>
                <c:pt idx="1">
                  <c:v>Governance</c:v>
                </c:pt>
                <c:pt idx="2">
                  <c:v>Risk</c:v>
                </c:pt>
              </c:strCache>
            </c:strRef>
          </c:cat>
          <c:val>
            <c:numRef>
              <c:f>'(ref.) Cal'!$E$40:$E$42</c:f>
              <c:numCache>
                <c:formatCode>0.0</c:formatCode>
                <c:ptCount val="3"/>
                <c:pt idx="0">
                  <c:v>0</c:v>
                </c:pt>
                <c:pt idx="1">
                  <c:v>0</c:v>
                </c:pt>
                <c:pt idx="2">
                  <c:v>0</c:v>
                </c:pt>
              </c:numCache>
            </c:numRef>
          </c:val>
          <c:extLst>
            <c:ext xmlns:c16="http://schemas.microsoft.com/office/drawing/2014/chart" uri="{C3380CC4-5D6E-409C-BE32-E72D297353CC}">
              <c16:uniqueId val="{00000000-AECD-420A-8584-26F98959FDC9}"/>
            </c:ext>
          </c:extLst>
        </c:ser>
        <c:ser>
          <c:idx val="1"/>
          <c:order val="1"/>
          <c:tx>
            <c:v>2024</c:v>
          </c:tx>
          <c:spPr>
            <a:ln w="19050" cap="rnd">
              <a:solidFill>
                <a:srgbClr val="FF9900"/>
              </a:solidFill>
              <a:prstDash val="dash"/>
              <a:round/>
            </a:ln>
            <a:effectLst/>
          </c:spPr>
          <c:marker>
            <c:symbol val="none"/>
          </c:marker>
          <c:cat>
            <c:strRef>
              <c:f>'(ref.) Cal'!$B$40:$B$42</c:f>
              <c:strCache>
                <c:ptCount val="3"/>
                <c:pt idx="0">
                  <c:v>Compliance</c:v>
                </c:pt>
                <c:pt idx="1">
                  <c:v>Governance</c:v>
                </c:pt>
                <c:pt idx="2">
                  <c:v>Risk</c:v>
                </c:pt>
              </c:strCache>
            </c:strRef>
          </c:cat>
          <c:val>
            <c:numRef>
              <c:f>'(ref.) Cal'!$D$40:$D$42</c:f>
              <c:numCache>
                <c:formatCode>0.0</c:formatCode>
                <c:ptCount val="3"/>
                <c:pt idx="0">
                  <c:v>0</c:v>
                </c:pt>
                <c:pt idx="1">
                  <c:v>0</c:v>
                </c:pt>
                <c:pt idx="2">
                  <c:v>0</c:v>
                </c:pt>
              </c:numCache>
            </c:numRef>
          </c:val>
          <c:extLst>
            <c:ext xmlns:c16="http://schemas.microsoft.com/office/drawing/2014/chart" uri="{C3380CC4-5D6E-409C-BE32-E72D297353CC}">
              <c16:uniqueId val="{00000001-AECD-420A-8584-26F98959FDC9}"/>
            </c:ext>
          </c:extLst>
        </c:ser>
        <c:dLbls>
          <c:showLegendKey val="0"/>
          <c:showVal val="0"/>
          <c:showCatName val="0"/>
          <c:showSerName val="0"/>
          <c:showPercent val="0"/>
          <c:showBubbleSize val="0"/>
        </c:dLbls>
        <c:axId val="516867759"/>
        <c:axId val="516872559"/>
      </c:radarChart>
      <c:catAx>
        <c:axId val="516867759"/>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Yu Gothic UI" panose="020B0500000000000000" pitchFamily="50" charset="-128"/>
                <a:ea typeface="Yu Gothic UI" panose="020B0500000000000000" pitchFamily="50" charset="-128"/>
                <a:cs typeface="+mn-cs"/>
              </a:defRPr>
            </a:pPr>
            <a:endParaRPr lang="ja-JP"/>
          </a:p>
        </c:txPr>
        <c:crossAx val="516872559"/>
        <c:crosses val="autoZero"/>
        <c:auto val="1"/>
        <c:lblAlgn val="ctr"/>
        <c:lblOffset val="100"/>
        <c:noMultiLvlLbl val="0"/>
      </c:catAx>
      <c:valAx>
        <c:axId val="516872559"/>
        <c:scaling>
          <c:orientation val="minMax"/>
          <c:max val="5"/>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one"/>
        <c:spPr>
          <a:noFill/>
          <a:ln>
            <a:solidFill>
              <a:schemeClr val="bg1">
                <a:lumMod val="50000"/>
              </a:schemeClr>
            </a:solidFill>
            <a:prstDash val="dash"/>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516867759"/>
        <c:crosses val="autoZero"/>
        <c:crossBetween val="between"/>
        <c:majorUnit val="1"/>
      </c:valAx>
      <c:spPr>
        <a:noFill/>
        <a:ln>
          <a:noFill/>
        </a:ln>
        <a:effectLst/>
      </c:spPr>
    </c:plotArea>
    <c:legend>
      <c:legendPos val="r"/>
      <c:layout>
        <c:manualLayout>
          <c:xMode val="edge"/>
          <c:yMode val="edge"/>
          <c:x val="0.63741391820348847"/>
          <c:y val="0.1752086037103881"/>
          <c:w val="0.18813869733450378"/>
          <c:h val="0.21767921177442678"/>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7967003368390881E-2"/>
          <c:y val="0.11941748000180478"/>
          <c:w val="0.89080763312676092"/>
          <c:h val="0.74122021729776488"/>
        </c:manualLayout>
      </c:layout>
      <c:barChart>
        <c:barDir val="bar"/>
        <c:grouping val="stacked"/>
        <c:varyColors val="0"/>
        <c:ser>
          <c:idx val="0"/>
          <c:order val="0"/>
          <c:tx>
            <c:strRef>
              <c:f>'(ref.) Cal'!$K$56</c:f>
              <c:strCache>
                <c:ptCount val="1"/>
                <c:pt idx="0">
                  <c:v>B＋以上</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Yu Gothic UI" panose="020B0500000000000000" pitchFamily="50" charset="-128"/>
                    <a:ea typeface="Yu Gothic UI" panose="020B0500000000000000" pitchFamily="50" charset="-128"/>
                    <a:cs typeface="+mn-cs"/>
                  </a:defRPr>
                </a:pPr>
                <a:endParaRPr lang="ja-JP"/>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'(ref.) Cal'!$I$57:$J$62</c:f>
              <c:multiLvlStrCache>
                <c:ptCount val="6"/>
                <c:lvl>
                  <c:pt idx="0">
                    <c:v>2024</c:v>
                  </c:pt>
                  <c:pt idx="1">
                    <c:v>2025</c:v>
                  </c:pt>
                  <c:pt idx="2">
                    <c:v>2024</c:v>
                  </c:pt>
                  <c:pt idx="3">
                    <c:v>2025</c:v>
                  </c:pt>
                  <c:pt idx="4">
                    <c:v>2024</c:v>
                  </c:pt>
                  <c:pt idx="5">
                    <c:v>2025</c:v>
                  </c:pt>
                </c:lvl>
                <c:lvl>
                  <c:pt idx="0">
                    <c:v>ガバナンス</c:v>
                  </c:pt>
                  <c:pt idx="2">
                    <c:v>順守推進</c:v>
                  </c:pt>
                  <c:pt idx="4">
                    <c:v>リスク</c:v>
                  </c:pt>
                </c:lvl>
              </c:multiLvlStrCache>
            </c:multiLvlStrRef>
          </c:cat>
          <c:val>
            <c:numRef>
              <c:f>'(ref.) Cal'!$K$57:$K$62</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47E4-4C7F-9602-146FA3A344E0}"/>
            </c:ext>
          </c:extLst>
        </c:ser>
        <c:ser>
          <c:idx val="1"/>
          <c:order val="1"/>
          <c:tx>
            <c:strRef>
              <c:f>'(ref.) Cal'!$L$56</c:f>
              <c:strCache>
                <c:ptCount val="1"/>
                <c:pt idx="0">
                  <c:v>B</c:v>
                </c:pt>
              </c:strCache>
            </c:strRef>
          </c:tx>
          <c:spPr>
            <a:solidFill>
              <a:schemeClr val="accent6">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Yu Gothic UI" panose="020B0500000000000000" pitchFamily="50" charset="-128"/>
                    <a:ea typeface="Yu Gothic UI" panose="020B0500000000000000" pitchFamily="50" charset="-128"/>
                    <a:cs typeface="+mn-cs"/>
                  </a:defRPr>
                </a:pPr>
                <a:endParaRPr lang="ja-JP"/>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'(ref.) Cal'!$I$57:$J$62</c:f>
              <c:multiLvlStrCache>
                <c:ptCount val="6"/>
                <c:lvl>
                  <c:pt idx="0">
                    <c:v>2024</c:v>
                  </c:pt>
                  <c:pt idx="1">
                    <c:v>2025</c:v>
                  </c:pt>
                  <c:pt idx="2">
                    <c:v>2024</c:v>
                  </c:pt>
                  <c:pt idx="3">
                    <c:v>2025</c:v>
                  </c:pt>
                  <c:pt idx="4">
                    <c:v>2024</c:v>
                  </c:pt>
                  <c:pt idx="5">
                    <c:v>2025</c:v>
                  </c:pt>
                </c:lvl>
                <c:lvl>
                  <c:pt idx="0">
                    <c:v>ガバナンス</c:v>
                  </c:pt>
                  <c:pt idx="2">
                    <c:v>順守推進</c:v>
                  </c:pt>
                  <c:pt idx="4">
                    <c:v>リスク</c:v>
                  </c:pt>
                </c:lvl>
              </c:multiLvlStrCache>
            </c:multiLvlStrRef>
          </c:cat>
          <c:val>
            <c:numRef>
              <c:f>'(ref.) Cal'!$L$57:$L$62</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47E4-4C7F-9602-146FA3A344E0}"/>
            </c:ext>
          </c:extLst>
        </c:ser>
        <c:ser>
          <c:idx val="2"/>
          <c:order val="2"/>
          <c:tx>
            <c:strRef>
              <c:f>'(ref.) Cal'!$M$56</c:f>
              <c:strCache>
                <c:ptCount val="1"/>
                <c:pt idx="0">
                  <c:v>B-</c:v>
                </c:pt>
              </c:strCache>
            </c:strRef>
          </c:tx>
          <c:spPr>
            <a:solidFill>
              <a:schemeClr val="accent2">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Yu Gothic UI" panose="020B0500000000000000" pitchFamily="50" charset="-128"/>
                    <a:ea typeface="Yu Gothic UI" panose="020B0500000000000000" pitchFamily="50" charset="-128"/>
                    <a:cs typeface="+mn-cs"/>
                  </a:defRPr>
                </a:pPr>
                <a:endParaRPr lang="ja-JP"/>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'(ref.) Cal'!$I$57:$J$62</c:f>
              <c:multiLvlStrCache>
                <c:ptCount val="6"/>
                <c:lvl>
                  <c:pt idx="0">
                    <c:v>2024</c:v>
                  </c:pt>
                  <c:pt idx="1">
                    <c:v>2025</c:v>
                  </c:pt>
                  <c:pt idx="2">
                    <c:v>2024</c:v>
                  </c:pt>
                  <c:pt idx="3">
                    <c:v>2025</c:v>
                  </c:pt>
                  <c:pt idx="4">
                    <c:v>2024</c:v>
                  </c:pt>
                  <c:pt idx="5">
                    <c:v>2025</c:v>
                  </c:pt>
                </c:lvl>
                <c:lvl>
                  <c:pt idx="0">
                    <c:v>ガバナンス</c:v>
                  </c:pt>
                  <c:pt idx="2">
                    <c:v>順守推進</c:v>
                  </c:pt>
                  <c:pt idx="4">
                    <c:v>リスク</c:v>
                  </c:pt>
                </c:lvl>
              </c:multiLvlStrCache>
            </c:multiLvlStrRef>
          </c:cat>
          <c:val>
            <c:numRef>
              <c:f>'(ref.) Cal'!$M$57:$M$62</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2-47E4-4C7F-9602-146FA3A344E0}"/>
            </c:ext>
          </c:extLst>
        </c:ser>
        <c:ser>
          <c:idx val="3"/>
          <c:order val="3"/>
          <c:tx>
            <c:strRef>
              <c:f>'(ref.) Cal'!$N$56</c:f>
              <c:strCache>
                <c:ptCount val="1"/>
                <c:pt idx="0">
                  <c:v>C</c:v>
                </c:pt>
              </c:strCache>
            </c:strRef>
          </c:tx>
          <c:spPr>
            <a:solidFill>
              <a:srgbClr val="FFCC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Yu Gothic UI" panose="020B0500000000000000" pitchFamily="50" charset="-128"/>
                    <a:ea typeface="Yu Gothic UI" panose="020B0500000000000000" pitchFamily="50" charset="-128"/>
                    <a:cs typeface="+mn-cs"/>
                  </a:defRPr>
                </a:pPr>
                <a:endParaRPr lang="ja-JP"/>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'(ref.) Cal'!$I$57:$J$62</c:f>
              <c:multiLvlStrCache>
                <c:ptCount val="6"/>
                <c:lvl>
                  <c:pt idx="0">
                    <c:v>2024</c:v>
                  </c:pt>
                  <c:pt idx="1">
                    <c:v>2025</c:v>
                  </c:pt>
                  <c:pt idx="2">
                    <c:v>2024</c:v>
                  </c:pt>
                  <c:pt idx="3">
                    <c:v>2025</c:v>
                  </c:pt>
                  <c:pt idx="4">
                    <c:v>2024</c:v>
                  </c:pt>
                  <c:pt idx="5">
                    <c:v>2025</c:v>
                  </c:pt>
                </c:lvl>
                <c:lvl>
                  <c:pt idx="0">
                    <c:v>ガバナンス</c:v>
                  </c:pt>
                  <c:pt idx="2">
                    <c:v>順守推進</c:v>
                  </c:pt>
                  <c:pt idx="4">
                    <c:v>リスク</c:v>
                  </c:pt>
                </c:lvl>
              </c:multiLvlStrCache>
            </c:multiLvlStrRef>
          </c:cat>
          <c:val>
            <c:numRef>
              <c:f>'(ref.) Cal'!$N$57:$N$62</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3-47E4-4C7F-9602-146FA3A344E0}"/>
            </c:ext>
          </c:extLst>
        </c:ser>
        <c:dLbls>
          <c:showLegendKey val="0"/>
          <c:showVal val="0"/>
          <c:showCatName val="0"/>
          <c:showSerName val="0"/>
          <c:showPercent val="0"/>
          <c:showBubbleSize val="0"/>
        </c:dLbls>
        <c:gapWidth val="150"/>
        <c:overlap val="100"/>
        <c:axId val="613412239"/>
        <c:axId val="613402159"/>
      </c:barChart>
      <c:catAx>
        <c:axId val="613412239"/>
        <c:scaling>
          <c:orientation val="minMax"/>
        </c:scaling>
        <c:delete val="1"/>
        <c:axPos val="l"/>
        <c:numFmt formatCode="General" sourceLinked="1"/>
        <c:majorTickMark val="none"/>
        <c:minorTickMark val="none"/>
        <c:tickLblPos val="nextTo"/>
        <c:crossAx val="613402159"/>
        <c:crosses val="autoZero"/>
        <c:auto val="1"/>
        <c:lblAlgn val="ctr"/>
        <c:lblOffset val="100"/>
        <c:noMultiLvlLbl val="0"/>
      </c:catAx>
      <c:valAx>
        <c:axId val="613402159"/>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Yu Gothic UI" panose="020B0500000000000000" pitchFamily="50" charset="-128"/>
                <a:ea typeface="Yu Gothic UI" panose="020B0500000000000000" pitchFamily="50" charset="-128"/>
                <a:cs typeface="+mn-cs"/>
              </a:defRPr>
            </a:pPr>
            <a:endParaRPr lang="ja-JP"/>
          </a:p>
        </c:txPr>
        <c:crossAx val="613412239"/>
        <c:crosses val="autoZero"/>
        <c:crossBetween val="between"/>
      </c:valAx>
      <c:spPr>
        <a:noFill/>
        <a:ln>
          <a:noFill/>
        </a:ln>
        <a:effectLst/>
      </c:spPr>
    </c:plotArea>
    <c:legend>
      <c:legendPos val="b"/>
      <c:layout>
        <c:manualLayout>
          <c:xMode val="edge"/>
          <c:yMode val="edge"/>
          <c:x val="0.61088341554799641"/>
          <c:y val="9.4623459486941341E-3"/>
          <c:w val="0.32582451764056636"/>
          <c:h val="8.8824251788491904E-2"/>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Yu Gothic UI" panose="020B0500000000000000" pitchFamily="50" charset="-128"/>
              <a:ea typeface="Yu Gothic UI" panose="020B0500000000000000" pitchFamily="50" charset="-128"/>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Yu Gothic UI" panose="020B0500000000000000" pitchFamily="50" charset="-128"/>
          <a:ea typeface="Yu Gothic UI" panose="020B0500000000000000" pitchFamily="50" charset="-128"/>
        </a:defRPr>
      </a:pPr>
      <a:endParaRPr lang="ja-JP"/>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127409233712642"/>
          <c:y val="0.25708509052072637"/>
          <c:w val="0.53228139473198288"/>
          <c:h val="0.57673887733039464"/>
        </c:manualLayout>
      </c:layout>
      <c:radarChart>
        <c:radarStyle val="marker"/>
        <c:varyColors val="0"/>
        <c:ser>
          <c:idx val="0"/>
          <c:order val="0"/>
          <c:tx>
            <c:v>2025</c:v>
          </c:tx>
          <c:spPr>
            <a:ln w="28575" cap="rnd">
              <a:solidFill>
                <a:srgbClr val="0000FF"/>
              </a:solidFill>
              <a:round/>
            </a:ln>
            <a:effectLst/>
          </c:spPr>
          <c:marker>
            <c:symbol val="none"/>
          </c:marker>
          <c:cat>
            <c:strRef>
              <c:f>'(ref.) Cal'!$B$48:$B$52</c:f>
              <c:strCache>
                <c:ptCount val="5"/>
                <c:pt idx="0">
                  <c:v>Issue solving</c:v>
                </c:pt>
                <c:pt idx="1">
                  <c:v>Risk Management</c:v>
                </c:pt>
                <c:pt idx="2">
                  <c:v>Business Strategy Adjustment</c:v>
                </c:pt>
                <c:pt idx="3">
                  <c:v>Independency and Continuity</c:v>
                </c:pt>
                <c:pt idx="4">
                  <c:v>Integration/ Incorporation</c:v>
                </c:pt>
              </c:strCache>
            </c:strRef>
          </c:cat>
          <c:val>
            <c:numRef>
              <c:f>'(ref.) Cal'!$G$48:$G$52</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F43B-44F6-A5EA-C47EFAC2D47A}"/>
            </c:ext>
          </c:extLst>
        </c:ser>
        <c:ser>
          <c:idx val="1"/>
          <c:order val="1"/>
          <c:tx>
            <c:v>2024</c:v>
          </c:tx>
          <c:spPr>
            <a:ln w="19050" cap="rnd">
              <a:solidFill>
                <a:schemeClr val="accent2"/>
              </a:solidFill>
              <a:prstDash val="dash"/>
              <a:round/>
            </a:ln>
            <a:effectLst/>
          </c:spPr>
          <c:marker>
            <c:symbol val="none"/>
          </c:marker>
          <c:cat>
            <c:strRef>
              <c:f>'(ref.) Cal'!$B$48:$B$52</c:f>
              <c:strCache>
                <c:ptCount val="5"/>
                <c:pt idx="0">
                  <c:v>Issue solving</c:v>
                </c:pt>
                <c:pt idx="1">
                  <c:v>Risk Management</c:v>
                </c:pt>
                <c:pt idx="2">
                  <c:v>Business Strategy Adjustment</c:v>
                </c:pt>
                <c:pt idx="3">
                  <c:v>Independency and Continuity</c:v>
                </c:pt>
                <c:pt idx="4">
                  <c:v>Integration/ Incorporation</c:v>
                </c:pt>
              </c:strCache>
            </c:strRef>
          </c:cat>
          <c:val>
            <c:numRef>
              <c:f>'(ref.) Cal'!$E$48:$E$52</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1-F43B-44F6-A5EA-C47EFAC2D47A}"/>
            </c:ext>
          </c:extLst>
        </c:ser>
        <c:dLbls>
          <c:showLegendKey val="0"/>
          <c:showVal val="0"/>
          <c:showCatName val="0"/>
          <c:showSerName val="0"/>
          <c:showPercent val="0"/>
          <c:showBubbleSize val="0"/>
        </c:dLbls>
        <c:axId val="516867759"/>
        <c:axId val="516872559"/>
      </c:radarChart>
      <c:catAx>
        <c:axId val="516867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800" b="0" i="0" u="none" strike="noStrike" kern="1200" baseline="0">
                <a:solidFill>
                  <a:schemeClr val="tx1">
                    <a:lumMod val="65000"/>
                    <a:lumOff val="35000"/>
                  </a:schemeClr>
                </a:solidFill>
                <a:latin typeface="+mn-lt"/>
                <a:ea typeface="+mn-ea"/>
                <a:cs typeface="+mn-cs"/>
              </a:defRPr>
            </a:pPr>
            <a:endParaRPr lang="ja-JP"/>
          </a:p>
        </c:txPr>
        <c:crossAx val="516872559"/>
        <c:crosses val="autoZero"/>
        <c:auto val="1"/>
        <c:lblAlgn val="ctr"/>
        <c:lblOffset val="100"/>
        <c:noMultiLvlLbl val="0"/>
      </c:catAx>
      <c:valAx>
        <c:axId val="516872559"/>
        <c:scaling>
          <c:orientation val="minMax"/>
          <c:max val="5"/>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one"/>
        <c:spPr>
          <a:noFill/>
          <a:ln w="6350">
            <a:solidFill>
              <a:schemeClr val="bg2">
                <a:lumMod val="50000"/>
              </a:schemeClr>
            </a:solidFill>
            <a:prstDash val="dash"/>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516867759"/>
        <c:crosses val="autoZero"/>
        <c:crossBetween val="between"/>
        <c:majorUnit val="1"/>
      </c:valAx>
      <c:spPr>
        <a:noFill/>
        <a:ln>
          <a:noFill/>
        </a:ln>
        <a:effectLst/>
      </c:spPr>
    </c:plotArea>
    <c:legend>
      <c:legendPos val="t"/>
      <c:layout>
        <c:manualLayout>
          <c:xMode val="edge"/>
          <c:yMode val="edge"/>
          <c:x val="0.64201166681116006"/>
          <c:y val="6.7648360710409347E-2"/>
          <c:w val="0.22792037410229779"/>
          <c:h val="0.2083810840473202"/>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127409233712642"/>
          <c:y val="0.25708509052072637"/>
          <c:w val="0.53228139473198288"/>
          <c:h val="0.57673887733039464"/>
        </c:manualLayout>
      </c:layout>
      <c:radarChart>
        <c:radarStyle val="marker"/>
        <c:varyColors val="0"/>
        <c:ser>
          <c:idx val="0"/>
          <c:order val="0"/>
          <c:tx>
            <c:v>2025</c:v>
          </c:tx>
          <c:spPr>
            <a:ln w="28575" cap="rnd">
              <a:solidFill>
                <a:srgbClr val="0000FF"/>
              </a:solidFill>
              <a:round/>
            </a:ln>
            <a:effectLst/>
          </c:spPr>
          <c:marker>
            <c:symbol val="none"/>
          </c:marker>
          <c:cat>
            <c:strRef>
              <c:f>'(ref.) Cal'!$B$48:$B$52</c:f>
              <c:strCache>
                <c:ptCount val="5"/>
                <c:pt idx="0">
                  <c:v>Issue solving</c:v>
                </c:pt>
                <c:pt idx="1">
                  <c:v>Risk Management</c:v>
                </c:pt>
                <c:pt idx="2">
                  <c:v>Business Strategy Adjustment</c:v>
                </c:pt>
                <c:pt idx="3">
                  <c:v>Independency and Continuity</c:v>
                </c:pt>
                <c:pt idx="4">
                  <c:v>Integration/ Incorporation</c:v>
                </c:pt>
              </c:strCache>
            </c:strRef>
          </c:cat>
          <c:val>
            <c:numRef>
              <c:f>'(ref.) Cal'!$F$48:$F$52</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D9B3-4604-B6C9-79487E5EB1A6}"/>
            </c:ext>
          </c:extLst>
        </c:ser>
        <c:ser>
          <c:idx val="1"/>
          <c:order val="1"/>
          <c:tx>
            <c:v>2024</c:v>
          </c:tx>
          <c:spPr>
            <a:ln w="19050" cap="rnd">
              <a:solidFill>
                <a:schemeClr val="accent2"/>
              </a:solidFill>
              <a:prstDash val="dash"/>
              <a:round/>
            </a:ln>
            <a:effectLst/>
          </c:spPr>
          <c:marker>
            <c:symbol val="none"/>
          </c:marker>
          <c:cat>
            <c:strRef>
              <c:f>'(ref.) Cal'!$B$48:$B$52</c:f>
              <c:strCache>
                <c:ptCount val="5"/>
                <c:pt idx="0">
                  <c:v>Issue solving</c:v>
                </c:pt>
                <c:pt idx="1">
                  <c:v>Risk Management</c:v>
                </c:pt>
                <c:pt idx="2">
                  <c:v>Business Strategy Adjustment</c:v>
                </c:pt>
                <c:pt idx="3">
                  <c:v>Independency and Continuity</c:v>
                </c:pt>
                <c:pt idx="4">
                  <c:v>Integration/ Incorporation</c:v>
                </c:pt>
              </c:strCache>
            </c:strRef>
          </c:cat>
          <c:val>
            <c:numRef>
              <c:f>'(ref.) Cal'!$D$48:$D$52</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1-D9B3-4604-B6C9-79487E5EB1A6}"/>
            </c:ext>
          </c:extLst>
        </c:ser>
        <c:dLbls>
          <c:showLegendKey val="0"/>
          <c:showVal val="0"/>
          <c:showCatName val="0"/>
          <c:showSerName val="0"/>
          <c:showPercent val="0"/>
          <c:showBubbleSize val="0"/>
        </c:dLbls>
        <c:axId val="516867759"/>
        <c:axId val="516872559"/>
      </c:radarChart>
      <c:catAx>
        <c:axId val="516867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800" b="0" i="0" u="none" strike="noStrike" kern="1200" baseline="0">
                <a:solidFill>
                  <a:schemeClr val="tx1">
                    <a:lumMod val="65000"/>
                    <a:lumOff val="35000"/>
                  </a:schemeClr>
                </a:solidFill>
                <a:latin typeface="+mn-lt"/>
                <a:ea typeface="+mn-ea"/>
                <a:cs typeface="+mn-cs"/>
              </a:defRPr>
            </a:pPr>
            <a:endParaRPr lang="ja-JP"/>
          </a:p>
        </c:txPr>
        <c:crossAx val="516872559"/>
        <c:crosses val="autoZero"/>
        <c:auto val="1"/>
        <c:lblAlgn val="ctr"/>
        <c:lblOffset val="100"/>
        <c:noMultiLvlLbl val="0"/>
      </c:catAx>
      <c:valAx>
        <c:axId val="516872559"/>
        <c:scaling>
          <c:orientation val="minMax"/>
          <c:max val="5"/>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one"/>
        <c:spPr>
          <a:noFill/>
          <a:ln w="6350">
            <a:solidFill>
              <a:schemeClr val="bg2">
                <a:lumMod val="50000"/>
              </a:schemeClr>
            </a:solidFill>
            <a:prstDash val="dash"/>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516867759"/>
        <c:crosses val="autoZero"/>
        <c:crossBetween val="between"/>
        <c:majorUnit val="1"/>
      </c:valAx>
      <c:spPr>
        <a:noFill/>
        <a:ln>
          <a:noFill/>
        </a:ln>
        <a:effectLst/>
      </c:spPr>
    </c:plotArea>
    <c:legend>
      <c:legendPos val="t"/>
      <c:layout>
        <c:manualLayout>
          <c:xMode val="edge"/>
          <c:yMode val="edge"/>
          <c:x val="0.61207391408633571"/>
          <c:y val="5.7379751597246231E-2"/>
          <c:w val="0.23644547838360305"/>
          <c:h val="0.20102456196153151"/>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558425857608917"/>
          <c:y val="0.25708509052072637"/>
          <c:w val="0.54272743904304122"/>
          <c:h val="0.7131235295907693"/>
        </c:manualLayout>
      </c:layout>
      <c:radarChart>
        <c:radarStyle val="marker"/>
        <c:varyColors val="0"/>
        <c:ser>
          <c:idx val="1"/>
          <c:order val="0"/>
          <c:tx>
            <c:v>2025</c:v>
          </c:tx>
          <c:spPr>
            <a:ln w="28575" cap="rnd">
              <a:solidFill>
                <a:srgbClr val="0000FF"/>
              </a:solidFill>
              <a:round/>
            </a:ln>
            <a:effectLst/>
          </c:spPr>
          <c:marker>
            <c:symbol val="none"/>
          </c:marker>
          <c:cat>
            <c:strRef>
              <c:f>'(ref.) Cal'!$B$78:$B$80</c:f>
              <c:strCache>
                <c:ptCount val="3"/>
                <c:pt idx="0">
                  <c:v>Compliance</c:v>
                </c:pt>
                <c:pt idx="1">
                  <c:v>Governance</c:v>
                </c:pt>
                <c:pt idx="2">
                  <c:v>Risk</c:v>
                </c:pt>
              </c:strCache>
            </c:strRef>
          </c:cat>
          <c:val>
            <c:numRef>
              <c:f>'(ref.) Cal'!$E$78:$E$80</c:f>
              <c:numCache>
                <c:formatCode>0.0</c:formatCode>
                <c:ptCount val="3"/>
                <c:pt idx="0">
                  <c:v>0</c:v>
                </c:pt>
                <c:pt idx="1">
                  <c:v>0</c:v>
                </c:pt>
                <c:pt idx="2">
                  <c:v>0</c:v>
                </c:pt>
              </c:numCache>
            </c:numRef>
          </c:val>
          <c:extLst>
            <c:ext xmlns:c16="http://schemas.microsoft.com/office/drawing/2014/chart" uri="{C3380CC4-5D6E-409C-BE32-E72D297353CC}">
              <c16:uniqueId val="{00000001-8B75-4418-B52B-FEF39E8C2221}"/>
            </c:ext>
          </c:extLst>
        </c:ser>
        <c:ser>
          <c:idx val="0"/>
          <c:order val="1"/>
          <c:tx>
            <c:v>2024</c:v>
          </c:tx>
          <c:spPr>
            <a:ln w="19050" cap="rnd">
              <a:solidFill>
                <a:srgbClr val="FF9900"/>
              </a:solidFill>
              <a:prstDash val="dash"/>
              <a:round/>
            </a:ln>
            <a:effectLst/>
          </c:spPr>
          <c:marker>
            <c:symbol val="none"/>
          </c:marker>
          <c:cat>
            <c:strRef>
              <c:f>'(ref.) Cal'!$B$78:$B$80</c:f>
              <c:strCache>
                <c:ptCount val="3"/>
                <c:pt idx="0">
                  <c:v>Compliance</c:v>
                </c:pt>
                <c:pt idx="1">
                  <c:v>Governance</c:v>
                </c:pt>
                <c:pt idx="2">
                  <c:v>Risk</c:v>
                </c:pt>
              </c:strCache>
            </c:strRef>
          </c:cat>
          <c:val>
            <c:numRef>
              <c:f>'(ref.) Cal'!$D$78:$D$80</c:f>
              <c:numCache>
                <c:formatCode>0.0</c:formatCode>
                <c:ptCount val="3"/>
                <c:pt idx="0">
                  <c:v>0</c:v>
                </c:pt>
                <c:pt idx="1">
                  <c:v>0</c:v>
                </c:pt>
                <c:pt idx="2">
                  <c:v>0</c:v>
                </c:pt>
              </c:numCache>
            </c:numRef>
          </c:val>
          <c:extLst>
            <c:ext xmlns:c16="http://schemas.microsoft.com/office/drawing/2014/chart" uri="{C3380CC4-5D6E-409C-BE32-E72D297353CC}">
              <c16:uniqueId val="{00000000-8B75-4418-B52B-FEF39E8C2221}"/>
            </c:ext>
          </c:extLst>
        </c:ser>
        <c:dLbls>
          <c:showLegendKey val="0"/>
          <c:showVal val="0"/>
          <c:showCatName val="0"/>
          <c:showSerName val="0"/>
          <c:showPercent val="0"/>
          <c:showBubbleSize val="0"/>
        </c:dLbls>
        <c:axId val="516867759"/>
        <c:axId val="516872559"/>
      </c:radarChart>
      <c:catAx>
        <c:axId val="516867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Yu Gothic UI" panose="020B0500000000000000" pitchFamily="50" charset="-128"/>
                <a:ea typeface="Yu Gothic UI" panose="020B0500000000000000" pitchFamily="50" charset="-128"/>
                <a:cs typeface="+mn-cs"/>
              </a:defRPr>
            </a:pPr>
            <a:endParaRPr lang="ja-JP"/>
          </a:p>
        </c:txPr>
        <c:crossAx val="516872559"/>
        <c:crosses val="autoZero"/>
        <c:auto val="1"/>
        <c:lblAlgn val="ctr"/>
        <c:lblOffset val="100"/>
        <c:noMultiLvlLbl val="0"/>
      </c:catAx>
      <c:valAx>
        <c:axId val="516872559"/>
        <c:scaling>
          <c:orientation val="minMax"/>
          <c:max val="5"/>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one"/>
        <c:spPr>
          <a:noFill/>
          <a:ln>
            <a:solidFill>
              <a:schemeClr val="bg1">
                <a:lumMod val="50000"/>
              </a:schemeClr>
            </a:solidFill>
            <a:prstDash val="dash"/>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Yu Gothic UI" panose="020B0500000000000000" pitchFamily="50" charset="-128"/>
                <a:ea typeface="Yu Gothic UI" panose="020B0500000000000000" pitchFamily="50" charset="-128"/>
                <a:cs typeface="+mn-cs"/>
              </a:defRPr>
            </a:pPr>
            <a:endParaRPr lang="ja-JP"/>
          </a:p>
        </c:txPr>
        <c:crossAx val="516867759"/>
        <c:crosses val="autoZero"/>
        <c:crossBetween val="between"/>
        <c:majorUnit val="1"/>
      </c:valAx>
      <c:spPr>
        <a:noFill/>
        <a:ln>
          <a:noFill/>
        </a:ln>
        <a:effectLst/>
      </c:spPr>
    </c:plotArea>
    <c:legend>
      <c:legendPos val="t"/>
      <c:layout>
        <c:manualLayout>
          <c:xMode val="edge"/>
          <c:yMode val="edge"/>
          <c:x val="0.55068432774370113"/>
          <c:y val="0.22787360564304468"/>
          <c:w val="0.28483902188803228"/>
          <c:h val="0.14636375141698094"/>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Yu Gothic UI" panose="020B0500000000000000" pitchFamily="50" charset="-128"/>
              <a:ea typeface="Yu Gothic UI" panose="020B0500000000000000" pitchFamily="50" charset="-128"/>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Yu Gothic UI" panose="020B0500000000000000" pitchFamily="50" charset="-128"/>
          <a:ea typeface="Yu Gothic UI" panose="020B0500000000000000" pitchFamily="50" charset="-128"/>
        </a:defRPr>
      </a:pPr>
      <a:endParaRPr lang="ja-JP"/>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4.2539673216051378E-2"/>
          <c:y val="0.1207717227425639"/>
          <c:w val="0.90286058327704188"/>
          <c:h val="0.73970883022551359"/>
        </c:manualLayout>
      </c:layout>
      <c:barChart>
        <c:barDir val="bar"/>
        <c:grouping val="stacked"/>
        <c:varyColors val="0"/>
        <c:ser>
          <c:idx val="0"/>
          <c:order val="0"/>
          <c:tx>
            <c:strRef>
              <c:f>'(ref.) Cal'!$K$56</c:f>
              <c:strCache>
                <c:ptCount val="1"/>
                <c:pt idx="0">
                  <c:v>B＋以上</c:v>
                </c:pt>
              </c:strCache>
            </c:strRef>
          </c:tx>
          <c:spPr>
            <a:solidFill>
              <a:srgbClr val="70AD47">
                <a:lumMod val="60000"/>
                <a:lumOff val="40000"/>
              </a:srgbClr>
            </a:solidFill>
            <a:ln>
              <a:noFill/>
            </a:ln>
            <a:effectLst/>
          </c:spPr>
          <c:invertIfNegative val="0"/>
          <c:dLbls>
            <c:spPr>
              <a:noFill/>
              <a:ln>
                <a:noFill/>
              </a:ln>
              <a:effectLst/>
            </c:spPr>
            <c:txPr>
              <a:bodyPr rot="0" spcFirstLastPara="1" vertOverflow="ellipsis" vert="horz" wrap="square" anchor="ctr" anchorCtr="1"/>
              <a:lstStyle/>
              <a:p>
                <a:pPr>
                  <a:defRPr lang="ja-JP" sz="900" b="0" i="0" u="none" strike="noStrike" kern="1200" baseline="0">
                    <a:solidFill>
                      <a:schemeClr val="tx1">
                        <a:lumMod val="75000"/>
                        <a:lumOff val="25000"/>
                      </a:schemeClr>
                    </a:solidFill>
                    <a:latin typeface="Yu Gothic UI" panose="020B0500000000000000" pitchFamily="50" charset="-128"/>
                    <a:ea typeface="Yu Gothic UI" panose="020B0500000000000000" pitchFamily="50" charset="-128"/>
                    <a:cs typeface="+mn-cs"/>
                  </a:defRPr>
                </a:pPr>
                <a:endParaRPr lang="ja-JP"/>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'(ref.) Cal'!$I$93:$J$98</c:f>
              <c:multiLvlStrCache>
                <c:ptCount val="6"/>
                <c:lvl>
                  <c:pt idx="0">
                    <c:v>2024</c:v>
                  </c:pt>
                  <c:pt idx="1">
                    <c:v>2025</c:v>
                  </c:pt>
                  <c:pt idx="2">
                    <c:v>2024</c:v>
                  </c:pt>
                  <c:pt idx="3">
                    <c:v>2025</c:v>
                  </c:pt>
                  <c:pt idx="4">
                    <c:v>2024</c:v>
                  </c:pt>
                  <c:pt idx="5">
                    <c:v>2025</c:v>
                  </c:pt>
                </c:lvl>
                <c:lvl>
                  <c:pt idx="0">
                    <c:v>ガバナンス</c:v>
                  </c:pt>
                  <c:pt idx="2">
                    <c:v>順守推進</c:v>
                  </c:pt>
                  <c:pt idx="4">
                    <c:v>リスク</c:v>
                  </c:pt>
                </c:lvl>
              </c:multiLvlStrCache>
            </c:multiLvlStrRef>
          </c:cat>
          <c:val>
            <c:numRef>
              <c:f>'(ref.) Cal'!$K$93:$K$98</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DB3E-4C6A-9E33-BFC560825910}"/>
            </c:ext>
          </c:extLst>
        </c:ser>
        <c:ser>
          <c:idx val="1"/>
          <c:order val="1"/>
          <c:tx>
            <c:strRef>
              <c:f>'(ref.) Cal'!$L$56</c:f>
              <c:strCache>
                <c:ptCount val="1"/>
                <c:pt idx="0">
                  <c:v>B</c:v>
                </c:pt>
              </c:strCache>
            </c:strRef>
          </c:tx>
          <c:spPr>
            <a:solidFill>
              <a:srgbClr val="70AD47">
                <a:lumMod val="40000"/>
                <a:lumOff val="60000"/>
              </a:srgbClr>
            </a:solidFill>
            <a:ln>
              <a:noFill/>
            </a:ln>
            <a:effectLst/>
          </c:spPr>
          <c:invertIfNegative val="0"/>
          <c:dLbls>
            <c:spPr>
              <a:noFill/>
              <a:ln>
                <a:noFill/>
              </a:ln>
              <a:effectLst/>
            </c:spPr>
            <c:txPr>
              <a:bodyPr rot="0" spcFirstLastPara="1" vertOverflow="ellipsis" vert="horz" wrap="square" anchor="ctr" anchorCtr="1"/>
              <a:lstStyle/>
              <a:p>
                <a:pPr>
                  <a:defRPr lang="ja-JP" sz="900" b="0" i="0" u="none" strike="noStrike" kern="1200" baseline="0">
                    <a:solidFill>
                      <a:schemeClr val="tx1">
                        <a:lumMod val="75000"/>
                        <a:lumOff val="25000"/>
                      </a:schemeClr>
                    </a:solidFill>
                    <a:latin typeface="Yu Gothic UI" panose="020B0500000000000000" pitchFamily="50" charset="-128"/>
                    <a:ea typeface="Yu Gothic UI" panose="020B0500000000000000" pitchFamily="50" charset="-128"/>
                    <a:cs typeface="+mn-cs"/>
                  </a:defRPr>
                </a:pPr>
                <a:endParaRPr lang="ja-JP"/>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'(ref.) Cal'!$I$93:$J$98</c:f>
              <c:multiLvlStrCache>
                <c:ptCount val="6"/>
                <c:lvl>
                  <c:pt idx="0">
                    <c:v>2024</c:v>
                  </c:pt>
                  <c:pt idx="1">
                    <c:v>2025</c:v>
                  </c:pt>
                  <c:pt idx="2">
                    <c:v>2024</c:v>
                  </c:pt>
                  <c:pt idx="3">
                    <c:v>2025</c:v>
                  </c:pt>
                  <c:pt idx="4">
                    <c:v>2024</c:v>
                  </c:pt>
                  <c:pt idx="5">
                    <c:v>2025</c:v>
                  </c:pt>
                </c:lvl>
                <c:lvl>
                  <c:pt idx="0">
                    <c:v>ガバナンス</c:v>
                  </c:pt>
                  <c:pt idx="2">
                    <c:v>順守推進</c:v>
                  </c:pt>
                  <c:pt idx="4">
                    <c:v>リスク</c:v>
                  </c:pt>
                </c:lvl>
              </c:multiLvlStrCache>
            </c:multiLvlStrRef>
          </c:cat>
          <c:val>
            <c:numRef>
              <c:f>'(ref.) Cal'!$L$93:$L$98</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DB3E-4C6A-9E33-BFC560825910}"/>
            </c:ext>
          </c:extLst>
        </c:ser>
        <c:ser>
          <c:idx val="2"/>
          <c:order val="2"/>
          <c:tx>
            <c:strRef>
              <c:f>'(ref.) Cal'!$M$56</c:f>
              <c:strCache>
                <c:ptCount val="1"/>
                <c:pt idx="0">
                  <c:v>B-</c:v>
                </c:pt>
              </c:strCache>
            </c:strRef>
          </c:tx>
          <c:spPr>
            <a:solidFill>
              <a:srgbClr val="ED7D31">
                <a:lumMod val="20000"/>
                <a:lumOff val="80000"/>
              </a:srgbClr>
            </a:solidFill>
            <a:ln>
              <a:noFill/>
            </a:ln>
            <a:effectLst/>
          </c:spPr>
          <c:invertIfNegative val="0"/>
          <c:dLbls>
            <c:spPr>
              <a:noFill/>
              <a:ln>
                <a:noFill/>
              </a:ln>
              <a:effectLst/>
            </c:spPr>
            <c:txPr>
              <a:bodyPr rot="0" spcFirstLastPara="1" vertOverflow="ellipsis" vert="horz" wrap="square" anchor="ctr" anchorCtr="1"/>
              <a:lstStyle/>
              <a:p>
                <a:pPr>
                  <a:defRPr lang="ja-JP" sz="900" b="0" i="0" u="none" strike="noStrike" kern="1200" baseline="0">
                    <a:solidFill>
                      <a:schemeClr val="tx1">
                        <a:lumMod val="75000"/>
                        <a:lumOff val="25000"/>
                      </a:schemeClr>
                    </a:solidFill>
                    <a:latin typeface="Yu Gothic UI" panose="020B0500000000000000" pitchFamily="50" charset="-128"/>
                    <a:ea typeface="Yu Gothic UI" panose="020B0500000000000000" pitchFamily="50" charset="-128"/>
                    <a:cs typeface="+mn-cs"/>
                  </a:defRPr>
                </a:pPr>
                <a:endParaRPr lang="ja-JP"/>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'(ref.) Cal'!$I$93:$J$98</c:f>
              <c:multiLvlStrCache>
                <c:ptCount val="6"/>
                <c:lvl>
                  <c:pt idx="0">
                    <c:v>2024</c:v>
                  </c:pt>
                  <c:pt idx="1">
                    <c:v>2025</c:v>
                  </c:pt>
                  <c:pt idx="2">
                    <c:v>2024</c:v>
                  </c:pt>
                  <c:pt idx="3">
                    <c:v>2025</c:v>
                  </c:pt>
                  <c:pt idx="4">
                    <c:v>2024</c:v>
                  </c:pt>
                  <c:pt idx="5">
                    <c:v>2025</c:v>
                  </c:pt>
                </c:lvl>
                <c:lvl>
                  <c:pt idx="0">
                    <c:v>ガバナンス</c:v>
                  </c:pt>
                  <c:pt idx="2">
                    <c:v>順守推進</c:v>
                  </c:pt>
                  <c:pt idx="4">
                    <c:v>リスク</c:v>
                  </c:pt>
                </c:lvl>
              </c:multiLvlStrCache>
            </c:multiLvlStrRef>
          </c:cat>
          <c:val>
            <c:numRef>
              <c:f>'(ref.) Cal'!$M$93:$M$98</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2-DB3E-4C6A-9E33-BFC560825910}"/>
            </c:ext>
          </c:extLst>
        </c:ser>
        <c:ser>
          <c:idx val="3"/>
          <c:order val="3"/>
          <c:tx>
            <c:strRef>
              <c:f>'(ref.) Cal'!$N$56</c:f>
              <c:strCache>
                <c:ptCount val="1"/>
                <c:pt idx="0">
                  <c:v>C</c:v>
                </c:pt>
              </c:strCache>
            </c:strRef>
          </c:tx>
          <c:spPr>
            <a:solidFill>
              <a:srgbClr val="FFCCFF"/>
            </a:solidFill>
            <a:ln>
              <a:noFill/>
            </a:ln>
            <a:effectLst/>
          </c:spPr>
          <c:invertIfNegative val="0"/>
          <c:dLbls>
            <c:spPr>
              <a:noFill/>
              <a:ln>
                <a:noFill/>
              </a:ln>
              <a:effectLst/>
            </c:spPr>
            <c:txPr>
              <a:bodyPr rot="0" spcFirstLastPara="1" vertOverflow="ellipsis" vert="horz" wrap="square" anchor="ctr" anchorCtr="1"/>
              <a:lstStyle/>
              <a:p>
                <a:pPr>
                  <a:defRPr lang="ja-JP" sz="900" b="0" i="0" u="none" strike="noStrike" kern="1200" baseline="0">
                    <a:solidFill>
                      <a:schemeClr val="tx1">
                        <a:lumMod val="75000"/>
                        <a:lumOff val="25000"/>
                      </a:schemeClr>
                    </a:solidFill>
                    <a:latin typeface="Yu Gothic UI" panose="020B0500000000000000" pitchFamily="50" charset="-128"/>
                    <a:ea typeface="Yu Gothic UI" panose="020B0500000000000000" pitchFamily="50" charset="-128"/>
                    <a:cs typeface="+mn-cs"/>
                  </a:defRPr>
                </a:pPr>
                <a:endParaRPr lang="ja-JP"/>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'(ref.) Cal'!$I$93:$J$98</c:f>
              <c:multiLvlStrCache>
                <c:ptCount val="6"/>
                <c:lvl>
                  <c:pt idx="0">
                    <c:v>2024</c:v>
                  </c:pt>
                  <c:pt idx="1">
                    <c:v>2025</c:v>
                  </c:pt>
                  <c:pt idx="2">
                    <c:v>2024</c:v>
                  </c:pt>
                  <c:pt idx="3">
                    <c:v>2025</c:v>
                  </c:pt>
                  <c:pt idx="4">
                    <c:v>2024</c:v>
                  </c:pt>
                  <c:pt idx="5">
                    <c:v>2025</c:v>
                  </c:pt>
                </c:lvl>
                <c:lvl>
                  <c:pt idx="0">
                    <c:v>ガバナンス</c:v>
                  </c:pt>
                  <c:pt idx="2">
                    <c:v>順守推進</c:v>
                  </c:pt>
                  <c:pt idx="4">
                    <c:v>リスク</c:v>
                  </c:pt>
                </c:lvl>
              </c:multiLvlStrCache>
            </c:multiLvlStrRef>
          </c:cat>
          <c:val>
            <c:numRef>
              <c:f>'(ref.) Cal'!$N$93:$N$98</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3-DB3E-4C6A-9E33-BFC560825910}"/>
            </c:ext>
          </c:extLst>
        </c:ser>
        <c:dLbls>
          <c:showLegendKey val="0"/>
          <c:showVal val="0"/>
          <c:showCatName val="0"/>
          <c:showSerName val="0"/>
          <c:showPercent val="0"/>
          <c:showBubbleSize val="0"/>
        </c:dLbls>
        <c:gapWidth val="150"/>
        <c:overlap val="100"/>
        <c:axId val="613412239"/>
        <c:axId val="613402159"/>
      </c:barChart>
      <c:catAx>
        <c:axId val="613412239"/>
        <c:scaling>
          <c:orientation val="minMax"/>
        </c:scaling>
        <c:delete val="1"/>
        <c:axPos val="l"/>
        <c:numFmt formatCode="General" sourceLinked="1"/>
        <c:majorTickMark val="none"/>
        <c:minorTickMark val="none"/>
        <c:tickLblPos val="nextTo"/>
        <c:crossAx val="613402159"/>
        <c:crosses val="autoZero"/>
        <c:auto val="1"/>
        <c:lblAlgn val="ctr"/>
        <c:lblOffset val="100"/>
        <c:noMultiLvlLbl val="0"/>
      </c:catAx>
      <c:valAx>
        <c:axId val="613402159"/>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Yu Gothic UI" panose="020B0500000000000000" pitchFamily="50" charset="-128"/>
                <a:ea typeface="Yu Gothic UI" panose="020B0500000000000000" pitchFamily="50" charset="-128"/>
                <a:cs typeface="+mn-cs"/>
              </a:defRPr>
            </a:pPr>
            <a:endParaRPr lang="ja-JP"/>
          </a:p>
        </c:txPr>
        <c:crossAx val="613412239"/>
        <c:crosses val="autoZero"/>
        <c:crossBetween val="between"/>
      </c:valAx>
      <c:spPr>
        <a:noFill/>
        <a:ln>
          <a:noFill/>
        </a:ln>
        <a:effectLst/>
      </c:spPr>
    </c:plotArea>
    <c:legend>
      <c:legendPos val="b"/>
      <c:layout>
        <c:manualLayout>
          <c:xMode val="edge"/>
          <c:yMode val="edge"/>
          <c:x val="0.52981869121551528"/>
          <c:y val="2.1432261664063802E-2"/>
          <c:w val="0.39500692806723259"/>
          <c:h val="9.5529902766809741E-2"/>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Yu Gothic UI" panose="020B0500000000000000" pitchFamily="50" charset="-128"/>
              <a:ea typeface="Yu Gothic UI" panose="020B0500000000000000" pitchFamily="50" charset="-128"/>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Yu Gothic UI" panose="020B0500000000000000" pitchFamily="50" charset="-128"/>
          <a:ea typeface="Yu Gothic UI" panose="020B0500000000000000" pitchFamily="50" charset="-128"/>
        </a:defRPr>
      </a:pPr>
      <a:endParaRPr lang="ja-JP"/>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127409233712642"/>
          <c:y val="0.25708509052072637"/>
          <c:w val="0.53228139473198288"/>
          <c:h val="0.57673887733039464"/>
        </c:manualLayout>
      </c:layout>
      <c:radarChart>
        <c:radarStyle val="marker"/>
        <c:varyColors val="0"/>
        <c:ser>
          <c:idx val="1"/>
          <c:order val="0"/>
          <c:tx>
            <c:v>2025</c:v>
          </c:tx>
          <c:spPr>
            <a:ln w="28575" cap="rnd">
              <a:solidFill>
                <a:srgbClr val="0000FF"/>
              </a:solidFill>
              <a:round/>
            </a:ln>
            <a:effectLst/>
          </c:spPr>
          <c:marker>
            <c:symbol val="none"/>
          </c:marker>
          <c:cat>
            <c:strRef>
              <c:f>'(ref.) Cal'!$B$85:$B$89</c:f>
              <c:strCache>
                <c:ptCount val="5"/>
                <c:pt idx="0">
                  <c:v>Issue solving</c:v>
                </c:pt>
                <c:pt idx="1">
                  <c:v>Risk Management</c:v>
                </c:pt>
                <c:pt idx="2">
                  <c:v>Business Strategy Adjustment</c:v>
                </c:pt>
                <c:pt idx="3">
                  <c:v>Independency and Continuity</c:v>
                </c:pt>
                <c:pt idx="4">
                  <c:v>Integration/ Incorporation</c:v>
                </c:pt>
              </c:strCache>
            </c:strRef>
          </c:cat>
          <c:val>
            <c:numRef>
              <c:f>'(ref.) Cal'!$G$85:$G$89</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1-BAFA-4F18-8813-D7BC9F47F592}"/>
            </c:ext>
          </c:extLst>
        </c:ser>
        <c:ser>
          <c:idx val="0"/>
          <c:order val="1"/>
          <c:tx>
            <c:v>2024</c:v>
          </c:tx>
          <c:spPr>
            <a:ln w="19050" cap="rnd">
              <a:solidFill>
                <a:srgbClr val="FF9900"/>
              </a:solidFill>
              <a:prstDash val="dash"/>
              <a:round/>
            </a:ln>
            <a:effectLst/>
          </c:spPr>
          <c:marker>
            <c:symbol val="none"/>
          </c:marker>
          <c:cat>
            <c:strRef>
              <c:f>'(ref.) Cal'!$B$85:$B$89</c:f>
              <c:strCache>
                <c:ptCount val="5"/>
                <c:pt idx="0">
                  <c:v>Issue solving</c:v>
                </c:pt>
                <c:pt idx="1">
                  <c:v>Risk Management</c:v>
                </c:pt>
                <c:pt idx="2">
                  <c:v>Business Strategy Adjustment</c:v>
                </c:pt>
                <c:pt idx="3">
                  <c:v>Independency and Continuity</c:v>
                </c:pt>
                <c:pt idx="4">
                  <c:v>Integration/ Incorporation</c:v>
                </c:pt>
              </c:strCache>
            </c:strRef>
          </c:cat>
          <c:val>
            <c:numRef>
              <c:f>'(ref.) Cal'!$E$85:$E$89</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BAFA-4F18-8813-D7BC9F47F592}"/>
            </c:ext>
          </c:extLst>
        </c:ser>
        <c:dLbls>
          <c:showLegendKey val="0"/>
          <c:showVal val="0"/>
          <c:showCatName val="0"/>
          <c:showSerName val="0"/>
          <c:showPercent val="0"/>
          <c:showBubbleSize val="0"/>
        </c:dLbls>
        <c:axId val="516867759"/>
        <c:axId val="516872559"/>
      </c:radarChart>
      <c:catAx>
        <c:axId val="516867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800" b="0" i="0" u="none" strike="noStrike" kern="1200" baseline="0">
                <a:solidFill>
                  <a:schemeClr val="tx1">
                    <a:lumMod val="65000"/>
                    <a:lumOff val="35000"/>
                  </a:schemeClr>
                </a:solidFill>
                <a:latin typeface="Yu Gothic UI" panose="020B0500000000000000" pitchFamily="50" charset="-128"/>
                <a:ea typeface="Yu Gothic UI" panose="020B0500000000000000" pitchFamily="50" charset="-128"/>
                <a:cs typeface="+mn-cs"/>
              </a:defRPr>
            </a:pPr>
            <a:endParaRPr lang="ja-JP"/>
          </a:p>
        </c:txPr>
        <c:crossAx val="516872559"/>
        <c:crosses val="autoZero"/>
        <c:auto val="1"/>
        <c:lblAlgn val="ctr"/>
        <c:lblOffset val="100"/>
        <c:noMultiLvlLbl val="0"/>
      </c:catAx>
      <c:valAx>
        <c:axId val="516872559"/>
        <c:scaling>
          <c:orientation val="minMax"/>
          <c:max val="5"/>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one"/>
        <c:spPr>
          <a:noFill/>
          <a:ln w="6350">
            <a:solidFill>
              <a:schemeClr val="bg2">
                <a:lumMod val="50000"/>
              </a:schemeClr>
            </a:solidFill>
            <a:prstDash val="dash"/>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Yu Gothic UI" panose="020B0500000000000000" pitchFamily="50" charset="-128"/>
                <a:ea typeface="Yu Gothic UI" panose="020B0500000000000000" pitchFamily="50" charset="-128"/>
                <a:cs typeface="+mn-cs"/>
              </a:defRPr>
            </a:pPr>
            <a:endParaRPr lang="ja-JP"/>
          </a:p>
        </c:txPr>
        <c:crossAx val="516867759"/>
        <c:crosses val="autoZero"/>
        <c:crossBetween val="between"/>
        <c:majorUnit val="1"/>
      </c:valAx>
      <c:spPr>
        <a:noFill/>
        <a:ln>
          <a:noFill/>
        </a:ln>
        <a:effectLst/>
      </c:spPr>
    </c:plotArea>
    <c:legend>
      <c:legendPos val="t"/>
      <c:layout>
        <c:manualLayout>
          <c:xMode val="edge"/>
          <c:yMode val="edge"/>
          <c:x val="0.60434362553957011"/>
          <c:y val="6.3456196123650666E-2"/>
          <c:w val="0.33999364203928767"/>
          <c:h val="0.22068076284289562"/>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Yu Gothic UI" panose="020B0500000000000000" pitchFamily="50" charset="-128"/>
              <a:ea typeface="Yu Gothic UI" panose="020B0500000000000000" pitchFamily="50" charset="-128"/>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Yu Gothic UI" panose="020B0500000000000000" pitchFamily="50" charset="-128"/>
          <a:ea typeface="Yu Gothic UI" panose="020B0500000000000000" pitchFamily="50" charset="-128"/>
        </a:defRPr>
      </a:pPr>
      <a:endParaRPr lang="ja-JP"/>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127409233712642"/>
          <c:y val="0.25708509052072637"/>
          <c:w val="0.53228139473198288"/>
          <c:h val="0.57673887733039464"/>
        </c:manualLayout>
      </c:layout>
      <c:radarChart>
        <c:radarStyle val="marker"/>
        <c:varyColors val="0"/>
        <c:ser>
          <c:idx val="1"/>
          <c:order val="0"/>
          <c:tx>
            <c:v>2025</c:v>
          </c:tx>
          <c:spPr>
            <a:ln w="28575" cap="rnd">
              <a:solidFill>
                <a:srgbClr val="0000FF"/>
              </a:solidFill>
              <a:round/>
            </a:ln>
            <a:effectLst/>
          </c:spPr>
          <c:marker>
            <c:symbol val="none"/>
          </c:marker>
          <c:cat>
            <c:strRef>
              <c:f>'(ref.) Cal'!$B$85:$B$89</c:f>
              <c:strCache>
                <c:ptCount val="5"/>
                <c:pt idx="0">
                  <c:v>Issue solving</c:v>
                </c:pt>
                <c:pt idx="1">
                  <c:v>Risk Management</c:v>
                </c:pt>
                <c:pt idx="2">
                  <c:v>Business Strategy Adjustment</c:v>
                </c:pt>
                <c:pt idx="3">
                  <c:v>Independency and Continuity</c:v>
                </c:pt>
                <c:pt idx="4">
                  <c:v>Integration/ Incorporation</c:v>
                </c:pt>
              </c:strCache>
            </c:strRef>
          </c:cat>
          <c:val>
            <c:numRef>
              <c:f>'(ref.) Cal'!$F$85:$F$89</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1-6074-48A4-83A7-EB765EA87473}"/>
            </c:ext>
          </c:extLst>
        </c:ser>
        <c:ser>
          <c:idx val="0"/>
          <c:order val="1"/>
          <c:tx>
            <c:v>2024</c:v>
          </c:tx>
          <c:spPr>
            <a:ln w="19050" cap="rnd">
              <a:solidFill>
                <a:srgbClr val="FF9900"/>
              </a:solidFill>
              <a:prstDash val="dash"/>
              <a:round/>
            </a:ln>
            <a:effectLst/>
          </c:spPr>
          <c:marker>
            <c:symbol val="none"/>
          </c:marker>
          <c:cat>
            <c:strRef>
              <c:f>'(ref.) Cal'!$B$85:$B$89</c:f>
              <c:strCache>
                <c:ptCount val="5"/>
                <c:pt idx="0">
                  <c:v>Issue solving</c:v>
                </c:pt>
                <c:pt idx="1">
                  <c:v>Risk Management</c:v>
                </c:pt>
                <c:pt idx="2">
                  <c:v>Business Strategy Adjustment</c:v>
                </c:pt>
                <c:pt idx="3">
                  <c:v>Independency and Continuity</c:v>
                </c:pt>
                <c:pt idx="4">
                  <c:v>Integration/ Incorporation</c:v>
                </c:pt>
              </c:strCache>
            </c:strRef>
          </c:cat>
          <c:val>
            <c:numRef>
              <c:f>'(ref.) Cal'!$D$85:$D$89</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6074-48A4-83A7-EB765EA87473}"/>
            </c:ext>
          </c:extLst>
        </c:ser>
        <c:dLbls>
          <c:showLegendKey val="0"/>
          <c:showVal val="0"/>
          <c:showCatName val="0"/>
          <c:showSerName val="0"/>
          <c:showPercent val="0"/>
          <c:showBubbleSize val="0"/>
        </c:dLbls>
        <c:axId val="516867759"/>
        <c:axId val="516872559"/>
      </c:radarChart>
      <c:catAx>
        <c:axId val="516867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800" b="0" i="0" u="none" strike="noStrike" kern="1200" baseline="0">
                <a:solidFill>
                  <a:schemeClr val="tx1">
                    <a:lumMod val="65000"/>
                    <a:lumOff val="35000"/>
                  </a:schemeClr>
                </a:solidFill>
                <a:latin typeface="Yu Gothic UI" panose="020B0500000000000000" pitchFamily="50" charset="-128"/>
                <a:ea typeface="Yu Gothic UI" panose="020B0500000000000000" pitchFamily="50" charset="-128"/>
                <a:cs typeface="+mn-cs"/>
              </a:defRPr>
            </a:pPr>
            <a:endParaRPr lang="ja-JP"/>
          </a:p>
        </c:txPr>
        <c:crossAx val="516872559"/>
        <c:crosses val="autoZero"/>
        <c:auto val="1"/>
        <c:lblAlgn val="ctr"/>
        <c:lblOffset val="100"/>
        <c:noMultiLvlLbl val="0"/>
      </c:catAx>
      <c:valAx>
        <c:axId val="516872559"/>
        <c:scaling>
          <c:orientation val="minMax"/>
          <c:max val="5"/>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one"/>
        <c:spPr>
          <a:noFill/>
          <a:ln w="6350">
            <a:solidFill>
              <a:schemeClr val="bg2">
                <a:lumMod val="50000"/>
              </a:schemeClr>
            </a:solidFill>
            <a:prstDash val="dash"/>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Yu Gothic UI" panose="020B0500000000000000" pitchFamily="50" charset="-128"/>
                <a:ea typeface="Yu Gothic UI" panose="020B0500000000000000" pitchFamily="50" charset="-128"/>
                <a:cs typeface="+mn-cs"/>
              </a:defRPr>
            </a:pPr>
            <a:endParaRPr lang="ja-JP"/>
          </a:p>
        </c:txPr>
        <c:crossAx val="516867759"/>
        <c:crosses val="autoZero"/>
        <c:crossBetween val="between"/>
        <c:majorUnit val="1"/>
      </c:valAx>
      <c:spPr>
        <a:noFill/>
        <a:ln>
          <a:noFill/>
        </a:ln>
        <a:effectLst/>
      </c:spPr>
    </c:plotArea>
    <c:legend>
      <c:legendPos val="t"/>
      <c:layout>
        <c:manualLayout>
          <c:xMode val="edge"/>
          <c:yMode val="edge"/>
          <c:x val="0.58479100463331735"/>
          <c:y val="7.5995066788396959E-2"/>
          <c:w val="0.31888932424469918"/>
          <c:h val="0.19487619230468883"/>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Yu Gothic UI" panose="020B0500000000000000" pitchFamily="50" charset="-128"/>
              <a:ea typeface="Yu Gothic UI" panose="020B0500000000000000" pitchFamily="50" charset="-128"/>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Yu Gothic UI" panose="020B0500000000000000" pitchFamily="50" charset="-128"/>
          <a:ea typeface="Yu Gothic UI" panose="020B0500000000000000" pitchFamily="50" charset="-128"/>
        </a:defRPr>
      </a:pPr>
      <a:endParaRPr lang="ja-JP"/>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127409233712642"/>
          <c:y val="0.25708509052072637"/>
          <c:w val="0.53228139473198288"/>
          <c:h val="0.57673887733039464"/>
        </c:manualLayout>
      </c:layout>
      <c:radarChart>
        <c:radarStyle val="marker"/>
        <c:varyColors val="0"/>
        <c:ser>
          <c:idx val="0"/>
          <c:order val="0"/>
          <c:spPr>
            <a:ln w="28575" cap="rnd">
              <a:solidFill>
                <a:schemeClr val="accent6">
                  <a:lumMod val="60000"/>
                  <a:lumOff val="40000"/>
                </a:schemeClr>
              </a:solidFill>
              <a:round/>
            </a:ln>
            <a:effectLst/>
          </c:spPr>
          <c:marker>
            <c:symbol val="none"/>
          </c:marker>
          <c:cat>
            <c:strRef>
              <c:f>Cal!$B$44:$B$46</c:f>
              <c:strCache>
                <c:ptCount val="3"/>
                <c:pt idx="0">
                  <c:v>Compliance</c:v>
                </c:pt>
                <c:pt idx="1">
                  <c:v>Governance</c:v>
                </c:pt>
                <c:pt idx="2">
                  <c:v>Risk</c:v>
                </c:pt>
              </c:strCache>
            </c:strRef>
          </c:cat>
          <c:val>
            <c:numRef>
              <c:f>Cal!$E$44:$E$46</c:f>
              <c:numCache>
                <c:formatCode>0.0</c:formatCode>
                <c:ptCount val="3"/>
                <c:pt idx="0">
                  <c:v>0</c:v>
                </c:pt>
                <c:pt idx="1">
                  <c:v>0</c:v>
                </c:pt>
                <c:pt idx="2">
                  <c:v>0</c:v>
                </c:pt>
              </c:numCache>
            </c:numRef>
          </c:val>
          <c:extLst>
            <c:ext xmlns:c16="http://schemas.microsoft.com/office/drawing/2014/chart" uri="{C3380CC4-5D6E-409C-BE32-E72D297353CC}">
              <c16:uniqueId val="{00000000-1BB8-4145-80D7-BFAE38141B0A}"/>
            </c:ext>
          </c:extLst>
        </c:ser>
        <c:ser>
          <c:idx val="1"/>
          <c:order val="1"/>
          <c:spPr>
            <a:ln w="28575" cap="rnd">
              <a:solidFill>
                <a:schemeClr val="accent2"/>
              </a:solidFill>
              <a:round/>
            </a:ln>
            <a:effectLst/>
          </c:spPr>
          <c:marker>
            <c:symbol val="none"/>
          </c:marker>
          <c:cat>
            <c:strRef>
              <c:f>Cal!$B$44:$B$46</c:f>
              <c:strCache>
                <c:ptCount val="3"/>
                <c:pt idx="0">
                  <c:v>Compliance</c:v>
                </c:pt>
                <c:pt idx="1">
                  <c:v>Governance</c:v>
                </c:pt>
                <c:pt idx="2">
                  <c:v>Risk</c:v>
                </c:pt>
              </c:strCache>
            </c:strRef>
          </c:cat>
          <c:val>
            <c:numRef>
              <c:f>Cal!$D$44:$D$46</c:f>
              <c:numCache>
                <c:formatCode>0.0</c:formatCode>
                <c:ptCount val="3"/>
                <c:pt idx="0">
                  <c:v>0</c:v>
                </c:pt>
                <c:pt idx="1">
                  <c:v>0</c:v>
                </c:pt>
                <c:pt idx="2">
                  <c:v>0</c:v>
                </c:pt>
              </c:numCache>
            </c:numRef>
          </c:val>
          <c:extLst>
            <c:ext xmlns:c16="http://schemas.microsoft.com/office/drawing/2014/chart" uri="{C3380CC4-5D6E-409C-BE32-E72D297353CC}">
              <c16:uniqueId val="{00000001-1BB8-4145-80D7-BFAE38141B0A}"/>
            </c:ext>
          </c:extLst>
        </c:ser>
        <c:dLbls>
          <c:showLegendKey val="0"/>
          <c:showVal val="0"/>
          <c:showCatName val="0"/>
          <c:showSerName val="0"/>
          <c:showPercent val="0"/>
          <c:showBubbleSize val="0"/>
        </c:dLbls>
        <c:axId val="516867759"/>
        <c:axId val="516872559"/>
      </c:radarChart>
      <c:catAx>
        <c:axId val="516867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516872559"/>
        <c:crosses val="autoZero"/>
        <c:auto val="1"/>
        <c:lblAlgn val="ctr"/>
        <c:lblOffset val="100"/>
        <c:noMultiLvlLbl val="0"/>
      </c:catAx>
      <c:valAx>
        <c:axId val="51687255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516867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127409233712642"/>
          <c:y val="0.25708509052072637"/>
          <c:w val="0.53228139473198288"/>
          <c:h val="0.57673887733039464"/>
        </c:manualLayout>
      </c:layout>
      <c:radarChart>
        <c:radarStyle val="marker"/>
        <c:varyColors val="0"/>
        <c:ser>
          <c:idx val="0"/>
          <c:order val="0"/>
          <c:spPr>
            <a:ln w="28575" cap="rnd">
              <a:solidFill>
                <a:schemeClr val="accent6">
                  <a:lumMod val="60000"/>
                  <a:lumOff val="40000"/>
                </a:schemeClr>
              </a:solidFill>
              <a:round/>
            </a:ln>
            <a:effectLst/>
          </c:spPr>
          <c:marker>
            <c:symbol val="none"/>
          </c:marker>
          <c:cat>
            <c:numRef>
              <c:f>Cal!$B$52:$B$56</c:f>
              <c:numCache>
                <c:formatCode>General</c:formatCode>
                <c:ptCount val="5"/>
              </c:numCache>
            </c:numRef>
          </c:cat>
          <c:val>
            <c:numRef>
              <c:f>Cal!$G$52:$G$56</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11EA-4D5B-A5A4-55775AD0E870}"/>
            </c:ext>
          </c:extLst>
        </c:ser>
        <c:ser>
          <c:idx val="1"/>
          <c:order val="1"/>
          <c:spPr>
            <a:ln w="28575" cap="rnd">
              <a:solidFill>
                <a:schemeClr val="accent2"/>
              </a:solidFill>
              <a:round/>
            </a:ln>
            <a:effectLst/>
          </c:spPr>
          <c:marker>
            <c:symbol val="none"/>
          </c:marker>
          <c:cat>
            <c:numRef>
              <c:f>Cal!$B$52:$B$56</c:f>
              <c:numCache>
                <c:formatCode>General</c:formatCode>
                <c:ptCount val="5"/>
              </c:numCache>
            </c:numRef>
          </c:cat>
          <c:val>
            <c:numRef>
              <c:f>Cal!$E$52:$E$56</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1-11EA-4D5B-A5A4-55775AD0E870}"/>
            </c:ext>
          </c:extLst>
        </c:ser>
        <c:dLbls>
          <c:showLegendKey val="0"/>
          <c:showVal val="0"/>
          <c:showCatName val="0"/>
          <c:showSerName val="0"/>
          <c:showPercent val="0"/>
          <c:showBubbleSize val="0"/>
        </c:dLbls>
        <c:axId val="516867759"/>
        <c:axId val="516872559"/>
      </c:radarChart>
      <c:catAx>
        <c:axId val="516867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516872559"/>
        <c:crosses val="autoZero"/>
        <c:auto val="1"/>
        <c:lblAlgn val="ctr"/>
        <c:lblOffset val="100"/>
        <c:noMultiLvlLbl val="0"/>
      </c:catAx>
      <c:valAx>
        <c:axId val="51687255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516867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Cal!$D$43</c:f>
              <c:strCache>
                <c:ptCount val="1"/>
                <c:pt idx="0">
                  <c:v>2025</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ja-JP"/>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Cal!$C$44:$C$46</c:f>
              <c:strCache>
                <c:ptCount val="3"/>
                <c:pt idx="0">
                  <c:v>Compliance</c:v>
                </c:pt>
                <c:pt idx="1">
                  <c:v>Governance</c:v>
                </c:pt>
                <c:pt idx="2">
                  <c:v>Risk</c:v>
                </c:pt>
              </c:strCache>
            </c:strRef>
          </c:cat>
          <c:val>
            <c:numRef>
              <c:f>Cal!$D$44:$D$46</c:f>
              <c:numCache>
                <c:formatCode>0.0</c:formatCode>
                <c:ptCount val="3"/>
                <c:pt idx="0">
                  <c:v>0</c:v>
                </c:pt>
                <c:pt idx="1">
                  <c:v>0</c:v>
                </c:pt>
                <c:pt idx="2">
                  <c:v>0</c:v>
                </c:pt>
              </c:numCache>
            </c:numRef>
          </c:val>
          <c:extLst>
            <c:ext xmlns:c16="http://schemas.microsoft.com/office/drawing/2014/chart" uri="{C3380CC4-5D6E-409C-BE32-E72D297353CC}">
              <c16:uniqueId val="{00000000-1068-4488-8C14-C49270AE7826}"/>
            </c:ext>
          </c:extLst>
        </c:ser>
        <c:ser>
          <c:idx val="1"/>
          <c:order val="1"/>
          <c:tx>
            <c:strRef>
              <c:f>Cal!$E$43</c:f>
              <c:strCache>
                <c:ptCount val="1"/>
                <c:pt idx="0">
                  <c:v>2028</c:v>
                </c:pt>
              </c:strCache>
            </c:strRef>
          </c:tx>
          <c:spPr>
            <a:solidFill>
              <a:schemeClr val="accent6">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ja-JP"/>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Cal!$C$44:$C$46</c:f>
              <c:strCache>
                <c:ptCount val="3"/>
                <c:pt idx="0">
                  <c:v>Compliance</c:v>
                </c:pt>
                <c:pt idx="1">
                  <c:v>Governance</c:v>
                </c:pt>
                <c:pt idx="2">
                  <c:v>Risk</c:v>
                </c:pt>
              </c:strCache>
            </c:strRef>
          </c:cat>
          <c:val>
            <c:numRef>
              <c:f>Cal!$E$44:$E$46</c:f>
              <c:numCache>
                <c:formatCode>0.0</c:formatCode>
                <c:ptCount val="3"/>
                <c:pt idx="0">
                  <c:v>0</c:v>
                </c:pt>
                <c:pt idx="1">
                  <c:v>0</c:v>
                </c:pt>
                <c:pt idx="2">
                  <c:v>0</c:v>
                </c:pt>
              </c:numCache>
            </c:numRef>
          </c:val>
          <c:extLst>
            <c:ext xmlns:c16="http://schemas.microsoft.com/office/drawing/2014/chart" uri="{C3380CC4-5D6E-409C-BE32-E72D297353CC}">
              <c16:uniqueId val="{00000001-1068-4488-8C14-C49270AE7826}"/>
            </c:ext>
          </c:extLst>
        </c:ser>
        <c:dLbls>
          <c:showLegendKey val="0"/>
          <c:showVal val="0"/>
          <c:showCatName val="0"/>
          <c:showSerName val="0"/>
          <c:showPercent val="0"/>
          <c:showBubbleSize val="0"/>
        </c:dLbls>
        <c:gapWidth val="219"/>
        <c:overlap val="-27"/>
        <c:axId val="1414100047"/>
        <c:axId val="1414121167"/>
      </c:barChart>
      <c:catAx>
        <c:axId val="1414100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1414121167"/>
        <c:crosses val="autoZero"/>
        <c:auto val="1"/>
        <c:lblAlgn val="ctr"/>
        <c:lblOffset val="100"/>
        <c:noMultiLvlLbl val="0"/>
      </c:catAx>
      <c:valAx>
        <c:axId val="141412116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14141000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v>2024</c:v>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ja-JP"/>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Cal!$C$52:$C$57</c:f>
              <c:strCache>
                <c:ptCount val="6"/>
                <c:pt idx="0">
                  <c:v>Issue solving</c:v>
                </c:pt>
                <c:pt idx="1">
                  <c:v>Risk Management</c:v>
                </c:pt>
                <c:pt idx="2">
                  <c:v>Business Strategy Adjustment</c:v>
                </c:pt>
                <c:pt idx="3">
                  <c:v>Independency and Continuity</c:v>
                </c:pt>
                <c:pt idx="4">
                  <c:v>Integration/ Incorporation</c:v>
                </c:pt>
                <c:pt idx="5">
                  <c:v>avg.</c:v>
                </c:pt>
              </c:strCache>
            </c:strRef>
          </c:cat>
          <c:val>
            <c:numRef>
              <c:f>Cal!$E$52:$E$57</c:f>
              <c:numCache>
                <c:formatCode>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7B65-44B5-A1BC-E6A61D88E441}"/>
            </c:ext>
          </c:extLst>
        </c:ser>
        <c:ser>
          <c:idx val="3"/>
          <c:order val="1"/>
          <c:tx>
            <c:v>2025</c:v>
          </c:tx>
          <c:spPr>
            <a:solidFill>
              <a:schemeClr val="accent6">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ja-JP"/>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Cal!$C$52:$C$57</c:f>
              <c:strCache>
                <c:ptCount val="6"/>
                <c:pt idx="0">
                  <c:v>Issue solving</c:v>
                </c:pt>
                <c:pt idx="1">
                  <c:v>Risk Management</c:v>
                </c:pt>
                <c:pt idx="2">
                  <c:v>Business Strategy Adjustment</c:v>
                </c:pt>
                <c:pt idx="3">
                  <c:v>Independency and Continuity</c:v>
                </c:pt>
                <c:pt idx="4">
                  <c:v>Integration/ Incorporation</c:v>
                </c:pt>
                <c:pt idx="5">
                  <c:v>avg.</c:v>
                </c:pt>
              </c:strCache>
            </c:strRef>
          </c:cat>
          <c:val>
            <c:numRef>
              <c:f>Cal!$G$52:$G$57</c:f>
              <c:numCache>
                <c:formatCode>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7B65-44B5-A1BC-E6A61D88E441}"/>
            </c:ext>
          </c:extLst>
        </c:ser>
        <c:dLbls>
          <c:showLegendKey val="0"/>
          <c:showVal val="0"/>
          <c:showCatName val="0"/>
          <c:showSerName val="0"/>
          <c:showPercent val="0"/>
          <c:showBubbleSize val="0"/>
        </c:dLbls>
        <c:gapWidth val="219"/>
        <c:overlap val="-27"/>
        <c:axId val="1414149967"/>
        <c:axId val="1414125487"/>
      </c:barChart>
      <c:catAx>
        <c:axId val="1414149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1414125487"/>
        <c:crosses val="autoZero"/>
        <c:auto val="1"/>
        <c:lblAlgn val="ctr"/>
        <c:lblOffset val="100"/>
        <c:noMultiLvlLbl val="0"/>
      </c:catAx>
      <c:valAx>
        <c:axId val="141412548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14141499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Cal!$K$60</c:f>
              <c:strCache>
                <c:ptCount val="1"/>
                <c:pt idx="0">
                  <c:v>B+ or higher</c:v>
                </c:pt>
              </c:strCache>
            </c:strRef>
          </c:tx>
          <c:spPr>
            <a:solidFill>
              <a:schemeClr val="accent1"/>
            </a:solidFill>
            <a:ln>
              <a:noFill/>
            </a:ln>
            <a:effectLst/>
          </c:spPr>
          <c:invertIfNegative val="0"/>
          <c:cat>
            <c:multiLvlStrRef>
              <c:f>Cal!$I$61:$J$66</c:f>
              <c:multiLvlStrCache>
                <c:ptCount val="6"/>
                <c:lvl>
                  <c:pt idx="0">
                    <c:v>2025</c:v>
                  </c:pt>
                  <c:pt idx="1">
                    <c:v>2026</c:v>
                  </c:pt>
                  <c:pt idx="2">
                    <c:v>2025</c:v>
                  </c:pt>
                  <c:pt idx="3">
                    <c:v>2026</c:v>
                  </c:pt>
                  <c:pt idx="4">
                    <c:v>2025</c:v>
                  </c:pt>
                  <c:pt idx="5">
                    <c:v>2026</c:v>
                  </c:pt>
                </c:lvl>
                <c:lvl>
                  <c:pt idx="0">
                    <c:v>governance</c:v>
                  </c:pt>
                  <c:pt idx="2">
                    <c:v>Compliance</c:v>
                  </c:pt>
                  <c:pt idx="4">
                    <c:v>Governance</c:v>
                  </c:pt>
                </c:lvl>
              </c:multiLvlStrCache>
            </c:multiLvlStrRef>
          </c:cat>
          <c:val>
            <c:numRef>
              <c:f>Cal!$K$61:$K$66</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25FD-41D2-80EA-7078C4B2C50D}"/>
            </c:ext>
          </c:extLst>
        </c:ser>
        <c:ser>
          <c:idx val="1"/>
          <c:order val="1"/>
          <c:tx>
            <c:strRef>
              <c:f>Cal!$L$60</c:f>
              <c:strCache>
                <c:ptCount val="1"/>
                <c:pt idx="0">
                  <c:v>B</c:v>
                </c:pt>
              </c:strCache>
            </c:strRef>
          </c:tx>
          <c:spPr>
            <a:solidFill>
              <a:schemeClr val="accent2"/>
            </a:solidFill>
            <a:ln>
              <a:noFill/>
            </a:ln>
            <a:effectLst/>
          </c:spPr>
          <c:invertIfNegative val="0"/>
          <c:cat>
            <c:multiLvlStrRef>
              <c:f>Cal!$I$61:$J$66</c:f>
              <c:multiLvlStrCache>
                <c:ptCount val="6"/>
                <c:lvl>
                  <c:pt idx="0">
                    <c:v>2025</c:v>
                  </c:pt>
                  <c:pt idx="1">
                    <c:v>2026</c:v>
                  </c:pt>
                  <c:pt idx="2">
                    <c:v>2025</c:v>
                  </c:pt>
                  <c:pt idx="3">
                    <c:v>2026</c:v>
                  </c:pt>
                  <c:pt idx="4">
                    <c:v>2025</c:v>
                  </c:pt>
                  <c:pt idx="5">
                    <c:v>2026</c:v>
                  </c:pt>
                </c:lvl>
                <c:lvl>
                  <c:pt idx="0">
                    <c:v>governance</c:v>
                  </c:pt>
                  <c:pt idx="2">
                    <c:v>Compliance</c:v>
                  </c:pt>
                  <c:pt idx="4">
                    <c:v>Governance</c:v>
                  </c:pt>
                </c:lvl>
              </c:multiLvlStrCache>
            </c:multiLvlStrRef>
          </c:cat>
          <c:val>
            <c:numRef>
              <c:f>Cal!$L$61:$L$66</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25FD-41D2-80EA-7078C4B2C50D}"/>
            </c:ext>
          </c:extLst>
        </c:ser>
        <c:ser>
          <c:idx val="2"/>
          <c:order val="2"/>
          <c:tx>
            <c:strRef>
              <c:f>Cal!$M$60</c:f>
              <c:strCache>
                <c:ptCount val="1"/>
                <c:pt idx="0">
                  <c:v>B-</c:v>
                </c:pt>
              </c:strCache>
            </c:strRef>
          </c:tx>
          <c:spPr>
            <a:solidFill>
              <a:schemeClr val="accent3"/>
            </a:solidFill>
            <a:ln>
              <a:noFill/>
            </a:ln>
            <a:effectLst/>
          </c:spPr>
          <c:invertIfNegative val="0"/>
          <c:cat>
            <c:multiLvlStrRef>
              <c:f>Cal!$I$61:$J$66</c:f>
              <c:multiLvlStrCache>
                <c:ptCount val="6"/>
                <c:lvl>
                  <c:pt idx="0">
                    <c:v>2025</c:v>
                  </c:pt>
                  <c:pt idx="1">
                    <c:v>2026</c:v>
                  </c:pt>
                  <c:pt idx="2">
                    <c:v>2025</c:v>
                  </c:pt>
                  <c:pt idx="3">
                    <c:v>2026</c:v>
                  </c:pt>
                  <c:pt idx="4">
                    <c:v>2025</c:v>
                  </c:pt>
                  <c:pt idx="5">
                    <c:v>2026</c:v>
                  </c:pt>
                </c:lvl>
                <c:lvl>
                  <c:pt idx="0">
                    <c:v>governance</c:v>
                  </c:pt>
                  <c:pt idx="2">
                    <c:v>Compliance</c:v>
                  </c:pt>
                  <c:pt idx="4">
                    <c:v>Governance</c:v>
                  </c:pt>
                </c:lvl>
              </c:multiLvlStrCache>
            </c:multiLvlStrRef>
          </c:cat>
          <c:val>
            <c:numRef>
              <c:f>Cal!$M$61:$M$66</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2-25FD-41D2-80EA-7078C4B2C50D}"/>
            </c:ext>
          </c:extLst>
        </c:ser>
        <c:ser>
          <c:idx val="3"/>
          <c:order val="3"/>
          <c:tx>
            <c:strRef>
              <c:f>Cal!$N$60</c:f>
              <c:strCache>
                <c:ptCount val="1"/>
                <c:pt idx="0">
                  <c:v>C</c:v>
                </c:pt>
              </c:strCache>
            </c:strRef>
          </c:tx>
          <c:spPr>
            <a:solidFill>
              <a:schemeClr val="accent4"/>
            </a:solidFill>
            <a:ln>
              <a:noFill/>
            </a:ln>
            <a:effectLst/>
          </c:spPr>
          <c:invertIfNegative val="0"/>
          <c:cat>
            <c:multiLvlStrRef>
              <c:f>Cal!$I$61:$J$66</c:f>
              <c:multiLvlStrCache>
                <c:ptCount val="6"/>
                <c:lvl>
                  <c:pt idx="0">
                    <c:v>2025</c:v>
                  </c:pt>
                  <c:pt idx="1">
                    <c:v>2026</c:v>
                  </c:pt>
                  <c:pt idx="2">
                    <c:v>2025</c:v>
                  </c:pt>
                  <c:pt idx="3">
                    <c:v>2026</c:v>
                  </c:pt>
                  <c:pt idx="4">
                    <c:v>2025</c:v>
                  </c:pt>
                  <c:pt idx="5">
                    <c:v>2026</c:v>
                  </c:pt>
                </c:lvl>
                <c:lvl>
                  <c:pt idx="0">
                    <c:v>governance</c:v>
                  </c:pt>
                  <c:pt idx="2">
                    <c:v>Compliance</c:v>
                  </c:pt>
                  <c:pt idx="4">
                    <c:v>Governance</c:v>
                  </c:pt>
                </c:lvl>
              </c:multiLvlStrCache>
            </c:multiLvlStrRef>
          </c:cat>
          <c:val>
            <c:numRef>
              <c:f>Cal!$N$61:$N$66</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3-25FD-41D2-80EA-7078C4B2C50D}"/>
            </c:ext>
          </c:extLst>
        </c:ser>
        <c:dLbls>
          <c:showLegendKey val="0"/>
          <c:showVal val="0"/>
          <c:showCatName val="0"/>
          <c:showSerName val="0"/>
          <c:showPercent val="0"/>
          <c:showBubbleSize val="0"/>
        </c:dLbls>
        <c:gapWidth val="150"/>
        <c:overlap val="100"/>
        <c:axId val="613412239"/>
        <c:axId val="613402159"/>
      </c:barChart>
      <c:catAx>
        <c:axId val="613412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613402159"/>
        <c:crosses val="autoZero"/>
        <c:auto val="1"/>
        <c:lblAlgn val="ctr"/>
        <c:lblOffset val="100"/>
        <c:noMultiLvlLbl val="0"/>
      </c:catAx>
      <c:valAx>
        <c:axId val="61340215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6134122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127409233712642"/>
          <c:y val="0.25708509052072637"/>
          <c:w val="0.53228139473198288"/>
          <c:h val="0.57673887733039464"/>
        </c:manualLayout>
      </c:layout>
      <c:radarChart>
        <c:radarStyle val="marker"/>
        <c:varyColors val="0"/>
        <c:ser>
          <c:idx val="0"/>
          <c:order val="0"/>
          <c:spPr>
            <a:ln w="28575" cap="rnd">
              <a:solidFill>
                <a:schemeClr val="accent1"/>
              </a:solidFill>
              <a:round/>
            </a:ln>
            <a:effectLst/>
          </c:spPr>
          <c:marker>
            <c:symbol val="none"/>
          </c:marker>
          <c:cat>
            <c:strRef>
              <c:f>Cal!$C$52:$C$56</c:f>
              <c:strCache>
                <c:ptCount val="5"/>
                <c:pt idx="0">
                  <c:v>Issue solving</c:v>
                </c:pt>
                <c:pt idx="1">
                  <c:v>Risk Management</c:v>
                </c:pt>
                <c:pt idx="2">
                  <c:v>Business Strategy Adjustment</c:v>
                </c:pt>
                <c:pt idx="3">
                  <c:v>Independency and Continuity</c:v>
                </c:pt>
                <c:pt idx="4">
                  <c:v>Integration/ Incorporation</c:v>
                </c:pt>
              </c:strCache>
            </c:strRef>
          </c:cat>
          <c:val>
            <c:numRef>
              <c:f>Cal!$F$52:$F$56</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A117-44D4-A8EC-4971E0AECE44}"/>
            </c:ext>
          </c:extLst>
        </c:ser>
        <c:ser>
          <c:idx val="1"/>
          <c:order val="1"/>
          <c:spPr>
            <a:ln w="28575" cap="rnd">
              <a:solidFill>
                <a:schemeClr val="accent2"/>
              </a:solidFill>
              <a:round/>
            </a:ln>
            <a:effectLst/>
          </c:spPr>
          <c:marker>
            <c:symbol val="none"/>
          </c:marker>
          <c:val>
            <c:numRef>
              <c:f>Cal!$D$52:$D$56</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1-A117-44D4-A8EC-4971E0AECE44}"/>
            </c:ext>
          </c:extLst>
        </c:ser>
        <c:dLbls>
          <c:showLegendKey val="0"/>
          <c:showVal val="0"/>
          <c:showCatName val="0"/>
          <c:showSerName val="0"/>
          <c:showPercent val="0"/>
          <c:showBubbleSize val="0"/>
        </c:dLbls>
        <c:axId val="516867759"/>
        <c:axId val="516872559"/>
      </c:radarChart>
      <c:catAx>
        <c:axId val="516867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516872559"/>
        <c:crosses val="autoZero"/>
        <c:auto val="1"/>
        <c:lblAlgn val="ctr"/>
        <c:lblOffset val="100"/>
        <c:noMultiLvlLbl val="0"/>
      </c:catAx>
      <c:valAx>
        <c:axId val="51687255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516867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127409233712642"/>
          <c:y val="0.25708509052072637"/>
          <c:w val="0.53228139473198288"/>
          <c:h val="0.57673887733039464"/>
        </c:manualLayout>
      </c:layout>
      <c:radarChart>
        <c:radarStyle val="marker"/>
        <c:varyColors val="0"/>
        <c:ser>
          <c:idx val="0"/>
          <c:order val="0"/>
          <c:spPr>
            <a:ln w="28575" cap="rnd">
              <a:solidFill>
                <a:schemeClr val="accent6">
                  <a:lumMod val="60000"/>
                  <a:lumOff val="40000"/>
                </a:schemeClr>
              </a:solidFill>
              <a:round/>
            </a:ln>
            <a:effectLst/>
          </c:spPr>
          <c:marker>
            <c:symbol val="none"/>
          </c:marker>
          <c:cat>
            <c:strRef>
              <c:f>'(ref.) Cal'!$B$40:$B$42</c:f>
              <c:strCache>
                <c:ptCount val="3"/>
                <c:pt idx="0">
                  <c:v>Compliance</c:v>
                </c:pt>
                <c:pt idx="1">
                  <c:v>Governance</c:v>
                </c:pt>
                <c:pt idx="2">
                  <c:v>Risk</c:v>
                </c:pt>
              </c:strCache>
            </c:strRef>
          </c:cat>
          <c:val>
            <c:numRef>
              <c:f>'(ref.) Cal'!$E$40:$E$42</c:f>
              <c:numCache>
                <c:formatCode>0.0</c:formatCode>
                <c:ptCount val="3"/>
                <c:pt idx="0">
                  <c:v>0</c:v>
                </c:pt>
                <c:pt idx="1">
                  <c:v>0</c:v>
                </c:pt>
                <c:pt idx="2">
                  <c:v>0</c:v>
                </c:pt>
              </c:numCache>
            </c:numRef>
          </c:val>
          <c:extLst>
            <c:ext xmlns:c16="http://schemas.microsoft.com/office/drawing/2014/chart" uri="{C3380CC4-5D6E-409C-BE32-E72D297353CC}">
              <c16:uniqueId val="{00000000-F55E-47ED-B86E-991E45E52FD0}"/>
            </c:ext>
          </c:extLst>
        </c:ser>
        <c:ser>
          <c:idx val="1"/>
          <c:order val="1"/>
          <c:spPr>
            <a:ln w="28575" cap="rnd">
              <a:solidFill>
                <a:schemeClr val="accent2"/>
              </a:solidFill>
              <a:round/>
            </a:ln>
            <a:effectLst/>
          </c:spPr>
          <c:marker>
            <c:symbol val="none"/>
          </c:marker>
          <c:cat>
            <c:strRef>
              <c:f>'(ref.) Cal'!$B$40:$B$42</c:f>
              <c:strCache>
                <c:ptCount val="3"/>
                <c:pt idx="0">
                  <c:v>Compliance</c:v>
                </c:pt>
                <c:pt idx="1">
                  <c:v>Governance</c:v>
                </c:pt>
                <c:pt idx="2">
                  <c:v>Risk</c:v>
                </c:pt>
              </c:strCache>
            </c:strRef>
          </c:cat>
          <c:val>
            <c:numRef>
              <c:f>'(ref.) Cal'!$D$40:$D$42</c:f>
              <c:numCache>
                <c:formatCode>0.0</c:formatCode>
                <c:ptCount val="3"/>
                <c:pt idx="0">
                  <c:v>0</c:v>
                </c:pt>
                <c:pt idx="1">
                  <c:v>0</c:v>
                </c:pt>
                <c:pt idx="2">
                  <c:v>0</c:v>
                </c:pt>
              </c:numCache>
            </c:numRef>
          </c:val>
          <c:extLst>
            <c:ext xmlns:c16="http://schemas.microsoft.com/office/drawing/2014/chart" uri="{C3380CC4-5D6E-409C-BE32-E72D297353CC}">
              <c16:uniqueId val="{00000000-502D-4F89-8868-A615EF182E6C}"/>
            </c:ext>
          </c:extLst>
        </c:ser>
        <c:dLbls>
          <c:showLegendKey val="0"/>
          <c:showVal val="0"/>
          <c:showCatName val="0"/>
          <c:showSerName val="0"/>
          <c:showPercent val="0"/>
          <c:showBubbleSize val="0"/>
        </c:dLbls>
        <c:axId val="516867759"/>
        <c:axId val="516872559"/>
      </c:radarChart>
      <c:catAx>
        <c:axId val="516867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516872559"/>
        <c:crosses val="autoZero"/>
        <c:auto val="1"/>
        <c:lblAlgn val="ctr"/>
        <c:lblOffset val="100"/>
        <c:noMultiLvlLbl val="0"/>
      </c:catAx>
      <c:valAx>
        <c:axId val="51687255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516867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127409233712642"/>
          <c:y val="0.25708509052072637"/>
          <c:w val="0.53228139473198288"/>
          <c:h val="0.57673887733039464"/>
        </c:manualLayout>
      </c:layout>
      <c:radarChart>
        <c:radarStyle val="marker"/>
        <c:varyColors val="0"/>
        <c:ser>
          <c:idx val="0"/>
          <c:order val="0"/>
          <c:spPr>
            <a:ln w="28575" cap="rnd">
              <a:solidFill>
                <a:schemeClr val="accent6">
                  <a:lumMod val="60000"/>
                  <a:lumOff val="40000"/>
                </a:schemeClr>
              </a:solidFill>
              <a:round/>
            </a:ln>
            <a:effectLst/>
          </c:spPr>
          <c:marker>
            <c:symbol val="none"/>
          </c:marker>
          <c:cat>
            <c:strRef>
              <c:f>'(ref.) Cal'!$B$48:$B$52</c:f>
              <c:strCache>
                <c:ptCount val="5"/>
                <c:pt idx="0">
                  <c:v>Issue solving</c:v>
                </c:pt>
                <c:pt idx="1">
                  <c:v>Risk Management</c:v>
                </c:pt>
                <c:pt idx="2">
                  <c:v>Business Strategy Adjustment</c:v>
                </c:pt>
                <c:pt idx="3">
                  <c:v>Independency and Continuity</c:v>
                </c:pt>
                <c:pt idx="4">
                  <c:v>Integration/ Incorporation</c:v>
                </c:pt>
              </c:strCache>
            </c:strRef>
          </c:cat>
          <c:val>
            <c:numRef>
              <c:f>'(ref.) Cal'!$G$48:$G$52</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66D3-415E-8FEA-94ED9C8DEC2F}"/>
            </c:ext>
          </c:extLst>
        </c:ser>
        <c:ser>
          <c:idx val="1"/>
          <c:order val="1"/>
          <c:spPr>
            <a:ln w="28575" cap="rnd">
              <a:solidFill>
                <a:schemeClr val="accent2"/>
              </a:solidFill>
              <a:round/>
            </a:ln>
            <a:effectLst/>
          </c:spPr>
          <c:marker>
            <c:symbol val="none"/>
          </c:marker>
          <c:cat>
            <c:strRef>
              <c:f>'(ref.) Cal'!$B$48:$B$52</c:f>
              <c:strCache>
                <c:ptCount val="5"/>
                <c:pt idx="0">
                  <c:v>Issue solving</c:v>
                </c:pt>
                <c:pt idx="1">
                  <c:v>Risk Management</c:v>
                </c:pt>
                <c:pt idx="2">
                  <c:v>Business Strategy Adjustment</c:v>
                </c:pt>
                <c:pt idx="3">
                  <c:v>Independency and Continuity</c:v>
                </c:pt>
                <c:pt idx="4">
                  <c:v>Integration/ Incorporation</c:v>
                </c:pt>
              </c:strCache>
            </c:strRef>
          </c:cat>
          <c:val>
            <c:numRef>
              <c:f>'(ref.) Cal'!$E$48:$E$52</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996B-474D-B8A6-4DC51467FCED}"/>
            </c:ext>
          </c:extLst>
        </c:ser>
        <c:dLbls>
          <c:showLegendKey val="0"/>
          <c:showVal val="0"/>
          <c:showCatName val="0"/>
          <c:showSerName val="0"/>
          <c:showPercent val="0"/>
          <c:showBubbleSize val="0"/>
        </c:dLbls>
        <c:axId val="516867759"/>
        <c:axId val="516872559"/>
      </c:radarChart>
      <c:catAx>
        <c:axId val="516867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516872559"/>
        <c:crosses val="autoZero"/>
        <c:auto val="1"/>
        <c:lblAlgn val="ctr"/>
        <c:lblOffset val="100"/>
        <c:noMultiLvlLbl val="0"/>
      </c:catAx>
      <c:valAx>
        <c:axId val="51687255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516867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127409233712642"/>
          <c:y val="0.25708509052072637"/>
          <c:w val="0.53228139473198288"/>
          <c:h val="0.57673887733039464"/>
        </c:manualLayout>
      </c:layout>
      <c:radarChart>
        <c:radarStyle val="marker"/>
        <c:varyColors val="0"/>
        <c:ser>
          <c:idx val="0"/>
          <c:order val="0"/>
          <c:spPr>
            <a:ln w="28575" cap="rnd">
              <a:solidFill>
                <a:schemeClr val="accent1"/>
              </a:solidFill>
              <a:round/>
            </a:ln>
            <a:effectLst/>
          </c:spPr>
          <c:marker>
            <c:symbol val="none"/>
          </c:marker>
          <c:cat>
            <c:strRef>
              <c:f>'(ref.) Cal'!$C$78:$C$80</c:f>
              <c:strCache>
                <c:ptCount val="3"/>
                <c:pt idx="0">
                  <c:v>順守推進</c:v>
                </c:pt>
                <c:pt idx="1">
                  <c:v>ガバナンス</c:v>
                </c:pt>
                <c:pt idx="2">
                  <c:v>リスク</c:v>
                </c:pt>
              </c:strCache>
            </c:strRef>
          </c:cat>
          <c:val>
            <c:numRef>
              <c:f>'(ref.) Cal'!$D$78:$D$80</c:f>
              <c:numCache>
                <c:formatCode>0.0</c:formatCode>
                <c:ptCount val="3"/>
                <c:pt idx="0">
                  <c:v>0</c:v>
                </c:pt>
                <c:pt idx="1">
                  <c:v>0</c:v>
                </c:pt>
                <c:pt idx="2">
                  <c:v>0</c:v>
                </c:pt>
              </c:numCache>
            </c:numRef>
          </c:val>
          <c:extLst>
            <c:ext xmlns:c16="http://schemas.microsoft.com/office/drawing/2014/chart" uri="{C3380CC4-5D6E-409C-BE32-E72D297353CC}">
              <c16:uniqueId val="{00000000-757F-4B28-9566-E7249F7AC73E}"/>
            </c:ext>
          </c:extLst>
        </c:ser>
        <c:ser>
          <c:idx val="1"/>
          <c:order val="1"/>
          <c:spPr>
            <a:ln w="28575" cap="rnd">
              <a:solidFill>
                <a:schemeClr val="accent2"/>
              </a:solidFill>
              <a:round/>
            </a:ln>
            <a:effectLst/>
          </c:spPr>
          <c:marker>
            <c:symbol val="none"/>
          </c:marker>
          <c:cat>
            <c:strRef>
              <c:f>'(ref.) Cal'!$C$78:$C$80</c:f>
              <c:strCache>
                <c:ptCount val="3"/>
                <c:pt idx="0">
                  <c:v>順守推進</c:v>
                </c:pt>
                <c:pt idx="1">
                  <c:v>ガバナンス</c:v>
                </c:pt>
                <c:pt idx="2">
                  <c:v>リスク</c:v>
                </c:pt>
              </c:strCache>
            </c:strRef>
          </c:cat>
          <c:val>
            <c:numRef>
              <c:f>'(ref.) Cal'!$E$78:$E$80</c:f>
              <c:numCache>
                <c:formatCode>0.0</c:formatCode>
                <c:ptCount val="3"/>
                <c:pt idx="0">
                  <c:v>0</c:v>
                </c:pt>
                <c:pt idx="1">
                  <c:v>0</c:v>
                </c:pt>
                <c:pt idx="2">
                  <c:v>0</c:v>
                </c:pt>
              </c:numCache>
            </c:numRef>
          </c:val>
          <c:extLst>
            <c:ext xmlns:c16="http://schemas.microsoft.com/office/drawing/2014/chart" uri="{C3380CC4-5D6E-409C-BE32-E72D297353CC}">
              <c16:uniqueId val="{00000000-3B9D-46A8-8E3A-064108B2F5AA}"/>
            </c:ext>
          </c:extLst>
        </c:ser>
        <c:dLbls>
          <c:showLegendKey val="0"/>
          <c:showVal val="0"/>
          <c:showCatName val="0"/>
          <c:showSerName val="0"/>
          <c:showPercent val="0"/>
          <c:showBubbleSize val="0"/>
        </c:dLbls>
        <c:axId val="516867759"/>
        <c:axId val="516872559"/>
      </c:radarChart>
      <c:catAx>
        <c:axId val="516867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516872559"/>
        <c:crosses val="autoZero"/>
        <c:auto val="1"/>
        <c:lblAlgn val="ctr"/>
        <c:lblOffset val="100"/>
        <c:noMultiLvlLbl val="0"/>
      </c:catAx>
      <c:valAx>
        <c:axId val="51687255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516867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127409233712642"/>
          <c:y val="0.25708509052072637"/>
          <c:w val="0.53228139473198288"/>
          <c:h val="0.57673887733039464"/>
        </c:manualLayout>
      </c:layout>
      <c:radarChart>
        <c:radarStyle val="marker"/>
        <c:varyColors val="0"/>
        <c:ser>
          <c:idx val="0"/>
          <c:order val="0"/>
          <c:spPr>
            <a:ln w="28575" cap="rnd">
              <a:solidFill>
                <a:schemeClr val="accent1"/>
              </a:solidFill>
              <a:round/>
            </a:ln>
            <a:effectLst/>
          </c:spPr>
          <c:marker>
            <c:symbol val="none"/>
          </c:marker>
          <c:cat>
            <c:strRef>
              <c:f>'(ref.) Cal'!$C$85:$C$89</c:f>
              <c:strCache>
                <c:ptCount val="5"/>
                <c:pt idx="0">
                  <c:v>課題
解決力</c:v>
                </c:pt>
                <c:pt idx="1">
                  <c:v>リスク
管理力</c:v>
                </c:pt>
                <c:pt idx="2">
                  <c:v>方向性
アジャスト</c:v>
                </c:pt>
                <c:pt idx="3">
                  <c:v>自律・
持続力</c:v>
                </c:pt>
                <c:pt idx="4">
                  <c:v>横断・
一本化</c:v>
                </c:pt>
              </c:strCache>
            </c:strRef>
          </c:cat>
          <c:val>
            <c:numRef>
              <c:f>'(ref.) Cal'!$E$85:$E$89</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001E-40D1-87D2-2B6F4596B1E1}"/>
            </c:ext>
          </c:extLst>
        </c:ser>
        <c:ser>
          <c:idx val="1"/>
          <c:order val="1"/>
          <c:spPr>
            <a:ln w="28575" cap="rnd">
              <a:solidFill>
                <a:schemeClr val="accent2"/>
              </a:solidFill>
              <a:round/>
            </a:ln>
            <a:effectLst/>
          </c:spPr>
          <c:marker>
            <c:symbol val="none"/>
          </c:marker>
          <c:val>
            <c:numRef>
              <c:f>'(ref.) Cal'!$G$85:$G$89</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B004-46BD-B5EE-509D415D7527}"/>
            </c:ext>
          </c:extLst>
        </c:ser>
        <c:dLbls>
          <c:showLegendKey val="0"/>
          <c:showVal val="0"/>
          <c:showCatName val="0"/>
          <c:showSerName val="0"/>
          <c:showPercent val="0"/>
          <c:showBubbleSize val="0"/>
        </c:dLbls>
        <c:axId val="516867759"/>
        <c:axId val="516872559"/>
      </c:radarChart>
      <c:catAx>
        <c:axId val="516867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516872559"/>
        <c:crosses val="autoZero"/>
        <c:auto val="1"/>
        <c:lblAlgn val="ctr"/>
        <c:lblOffset val="100"/>
        <c:noMultiLvlLbl val="0"/>
      </c:catAx>
      <c:valAx>
        <c:axId val="51687255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516867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'(ref.) Cal'!$D$39</c:f>
              <c:strCache>
                <c:ptCount val="1"/>
                <c:pt idx="0">
                  <c:v>2024</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ja-JP"/>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'(ref.) Cal'!$C$40:$C$42</c:f>
              <c:strCache>
                <c:ptCount val="3"/>
                <c:pt idx="0">
                  <c:v>順守推進</c:v>
                </c:pt>
                <c:pt idx="1">
                  <c:v>ガバナンス</c:v>
                </c:pt>
                <c:pt idx="2">
                  <c:v>リスク</c:v>
                </c:pt>
              </c:strCache>
            </c:strRef>
          </c:cat>
          <c:val>
            <c:numRef>
              <c:f>'(ref.) Cal'!$D$40:$D$42</c:f>
              <c:numCache>
                <c:formatCode>0.0</c:formatCode>
                <c:ptCount val="3"/>
                <c:pt idx="0">
                  <c:v>0</c:v>
                </c:pt>
                <c:pt idx="1">
                  <c:v>0</c:v>
                </c:pt>
                <c:pt idx="2">
                  <c:v>0</c:v>
                </c:pt>
              </c:numCache>
            </c:numRef>
          </c:val>
          <c:extLst>
            <c:ext xmlns:c16="http://schemas.microsoft.com/office/drawing/2014/chart" uri="{C3380CC4-5D6E-409C-BE32-E72D297353CC}">
              <c16:uniqueId val="{00000000-697B-42E6-B067-D921CDE65AD5}"/>
            </c:ext>
          </c:extLst>
        </c:ser>
        <c:ser>
          <c:idx val="1"/>
          <c:order val="1"/>
          <c:tx>
            <c:strRef>
              <c:f>'(ref.) Cal'!$E$39</c:f>
              <c:strCache>
                <c:ptCount val="1"/>
                <c:pt idx="0">
                  <c:v>2025</c:v>
                </c:pt>
              </c:strCache>
            </c:strRef>
          </c:tx>
          <c:spPr>
            <a:solidFill>
              <a:schemeClr val="accent6">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ja-JP"/>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'(ref.) Cal'!$C$40:$C$42</c:f>
              <c:strCache>
                <c:ptCount val="3"/>
                <c:pt idx="0">
                  <c:v>順守推進</c:v>
                </c:pt>
                <c:pt idx="1">
                  <c:v>ガバナンス</c:v>
                </c:pt>
                <c:pt idx="2">
                  <c:v>リスク</c:v>
                </c:pt>
              </c:strCache>
            </c:strRef>
          </c:cat>
          <c:val>
            <c:numRef>
              <c:f>'(ref.) Cal'!$E$40:$E$42</c:f>
              <c:numCache>
                <c:formatCode>0.0</c:formatCode>
                <c:ptCount val="3"/>
                <c:pt idx="0">
                  <c:v>0</c:v>
                </c:pt>
                <c:pt idx="1">
                  <c:v>0</c:v>
                </c:pt>
                <c:pt idx="2">
                  <c:v>0</c:v>
                </c:pt>
              </c:numCache>
            </c:numRef>
          </c:val>
          <c:extLst>
            <c:ext xmlns:c16="http://schemas.microsoft.com/office/drawing/2014/chart" uri="{C3380CC4-5D6E-409C-BE32-E72D297353CC}">
              <c16:uniqueId val="{00000001-697B-42E6-B067-D921CDE65AD5}"/>
            </c:ext>
          </c:extLst>
        </c:ser>
        <c:dLbls>
          <c:showLegendKey val="0"/>
          <c:showVal val="0"/>
          <c:showCatName val="0"/>
          <c:showSerName val="0"/>
          <c:showPercent val="0"/>
          <c:showBubbleSize val="0"/>
        </c:dLbls>
        <c:gapWidth val="219"/>
        <c:overlap val="-27"/>
        <c:axId val="1414100047"/>
        <c:axId val="1414121167"/>
      </c:barChart>
      <c:catAx>
        <c:axId val="1414100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1414121167"/>
        <c:crosses val="autoZero"/>
        <c:auto val="1"/>
        <c:lblAlgn val="ctr"/>
        <c:lblOffset val="100"/>
        <c:noMultiLvlLbl val="0"/>
      </c:catAx>
      <c:valAx>
        <c:axId val="141412116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14141000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v>2024</c:v>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ja-JP"/>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'(ref.) Cal'!$C$48:$C$53</c:f>
              <c:strCache>
                <c:ptCount val="6"/>
                <c:pt idx="0">
                  <c:v>課題
解決力</c:v>
                </c:pt>
                <c:pt idx="1">
                  <c:v>リスク
管理力</c:v>
                </c:pt>
                <c:pt idx="2">
                  <c:v>方向性
アジャスト</c:v>
                </c:pt>
                <c:pt idx="3">
                  <c:v>自律・
持続力</c:v>
                </c:pt>
                <c:pt idx="4">
                  <c:v>横断・
一本化</c:v>
                </c:pt>
                <c:pt idx="5">
                  <c:v>平均</c:v>
                </c:pt>
              </c:strCache>
            </c:strRef>
          </c:cat>
          <c:val>
            <c:numRef>
              <c:f>'(ref.) Cal'!$E$48:$E$53</c:f>
              <c:numCache>
                <c:formatCode>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1AC6-46FF-B35C-15FD8AA1629C}"/>
            </c:ext>
          </c:extLst>
        </c:ser>
        <c:ser>
          <c:idx val="3"/>
          <c:order val="1"/>
          <c:tx>
            <c:v>2025</c:v>
          </c:tx>
          <c:spPr>
            <a:solidFill>
              <a:schemeClr val="accent6">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ja-JP"/>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'(ref.) Cal'!$C$48:$C$53</c:f>
              <c:strCache>
                <c:ptCount val="6"/>
                <c:pt idx="0">
                  <c:v>課題
解決力</c:v>
                </c:pt>
                <c:pt idx="1">
                  <c:v>リスク
管理力</c:v>
                </c:pt>
                <c:pt idx="2">
                  <c:v>方向性
アジャスト</c:v>
                </c:pt>
                <c:pt idx="3">
                  <c:v>自律・
持続力</c:v>
                </c:pt>
                <c:pt idx="4">
                  <c:v>横断・
一本化</c:v>
                </c:pt>
                <c:pt idx="5">
                  <c:v>平均</c:v>
                </c:pt>
              </c:strCache>
            </c:strRef>
          </c:cat>
          <c:val>
            <c:numRef>
              <c:f>'(ref.) Cal'!$G$48:$G$53</c:f>
              <c:numCache>
                <c:formatCode>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3-1AC6-46FF-B35C-15FD8AA1629C}"/>
            </c:ext>
          </c:extLst>
        </c:ser>
        <c:dLbls>
          <c:showLegendKey val="0"/>
          <c:showVal val="0"/>
          <c:showCatName val="0"/>
          <c:showSerName val="0"/>
          <c:showPercent val="0"/>
          <c:showBubbleSize val="0"/>
        </c:dLbls>
        <c:gapWidth val="219"/>
        <c:overlap val="-27"/>
        <c:axId val="1414149967"/>
        <c:axId val="1414125487"/>
      </c:barChart>
      <c:catAx>
        <c:axId val="1414149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1414125487"/>
        <c:crosses val="autoZero"/>
        <c:auto val="1"/>
        <c:lblAlgn val="ctr"/>
        <c:lblOffset val="100"/>
        <c:noMultiLvlLbl val="0"/>
      </c:catAx>
      <c:valAx>
        <c:axId val="141412548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14141499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'(ref.) Cal'!$K$56</c:f>
              <c:strCache>
                <c:ptCount val="1"/>
                <c:pt idx="0">
                  <c:v>B＋以上</c:v>
                </c:pt>
              </c:strCache>
            </c:strRef>
          </c:tx>
          <c:spPr>
            <a:solidFill>
              <a:schemeClr val="accent1"/>
            </a:solidFill>
            <a:ln>
              <a:noFill/>
            </a:ln>
            <a:effectLst/>
          </c:spPr>
          <c:invertIfNegative val="0"/>
          <c:cat>
            <c:multiLvlStrRef>
              <c:f>'(ref.) Cal'!$I$57:$J$62</c:f>
              <c:multiLvlStrCache>
                <c:ptCount val="6"/>
                <c:lvl>
                  <c:pt idx="0">
                    <c:v>2024</c:v>
                  </c:pt>
                  <c:pt idx="1">
                    <c:v>2025</c:v>
                  </c:pt>
                  <c:pt idx="2">
                    <c:v>2024</c:v>
                  </c:pt>
                  <c:pt idx="3">
                    <c:v>2025</c:v>
                  </c:pt>
                  <c:pt idx="4">
                    <c:v>2024</c:v>
                  </c:pt>
                  <c:pt idx="5">
                    <c:v>2025</c:v>
                  </c:pt>
                </c:lvl>
                <c:lvl>
                  <c:pt idx="0">
                    <c:v>ガバナンス</c:v>
                  </c:pt>
                  <c:pt idx="2">
                    <c:v>順守推進</c:v>
                  </c:pt>
                  <c:pt idx="4">
                    <c:v>リスク</c:v>
                  </c:pt>
                </c:lvl>
              </c:multiLvlStrCache>
            </c:multiLvlStrRef>
          </c:cat>
          <c:val>
            <c:numRef>
              <c:f>'(ref.) Cal'!$K$57:$K$62</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8EB4-4791-9F52-D7004751B8A9}"/>
            </c:ext>
          </c:extLst>
        </c:ser>
        <c:ser>
          <c:idx val="1"/>
          <c:order val="1"/>
          <c:tx>
            <c:strRef>
              <c:f>'(ref.) Cal'!$L$56</c:f>
              <c:strCache>
                <c:ptCount val="1"/>
                <c:pt idx="0">
                  <c:v>B</c:v>
                </c:pt>
              </c:strCache>
            </c:strRef>
          </c:tx>
          <c:spPr>
            <a:solidFill>
              <a:schemeClr val="accent2"/>
            </a:solidFill>
            <a:ln>
              <a:noFill/>
            </a:ln>
            <a:effectLst/>
          </c:spPr>
          <c:invertIfNegative val="0"/>
          <c:cat>
            <c:multiLvlStrRef>
              <c:f>'(ref.) Cal'!$I$57:$J$62</c:f>
              <c:multiLvlStrCache>
                <c:ptCount val="6"/>
                <c:lvl>
                  <c:pt idx="0">
                    <c:v>2024</c:v>
                  </c:pt>
                  <c:pt idx="1">
                    <c:v>2025</c:v>
                  </c:pt>
                  <c:pt idx="2">
                    <c:v>2024</c:v>
                  </c:pt>
                  <c:pt idx="3">
                    <c:v>2025</c:v>
                  </c:pt>
                  <c:pt idx="4">
                    <c:v>2024</c:v>
                  </c:pt>
                  <c:pt idx="5">
                    <c:v>2025</c:v>
                  </c:pt>
                </c:lvl>
                <c:lvl>
                  <c:pt idx="0">
                    <c:v>ガバナンス</c:v>
                  </c:pt>
                  <c:pt idx="2">
                    <c:v>順守推進</c:v>
                  </c:pt>
                  <c:pt idx="4">
                    <c:v>リスク</c:v>
                  </c:pt>
                </c:lvl>
              </c:multiLvlStrCache>
            </c:multiLvlStrRef>
          </c:cat>
          <c:val>
            <c:numRef>
              <c:f>'(ref.) Cal'!$L$57:$L$62</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8EB4-4791-9F52-D7004751B8A9}"/>
            </c:ext>
          </c:extLst>
        </c:ser>
        <c:ser>
          <c:idx val="2"/>
          <c:order val="2"/>
          <c:tx>
            <c:strRef>
              <c:f>'(ref.) Cal'!$M$56</c:f>
              <c:strCache>
                <c:ptCount val="1"/>
                <c:pt idx="0">
                  <c:v>B-</c:v>
                </c:pt>
              </c:strCache>
            </c:strRef>
          </c:tx>
          <c:spPr>
            <a:solidFill>
              <a:schemeClr val="accent3"/>
            </a:solidFill>
            <a:ln>
              <a:noFill/>
            </a:ln>
            <a:effectLst/>
          </c:spPr>
          <c:invertIfNegative val="0"/>
          <c:cat>
            <c:multiLvlStrRef>
              <c:f>'(ref.) Cal'!$I$57:$J$62</c:f>
              <c:multiLvlStrCache>
                <c:ptCount val="6"/>
                <c:lvl>
                  <c:pt idx="0">
                    <c:v>2024</c:v>
                  </c:pt>
                  <c:pt idx="1">
                    <c:v>2025</c:v>
                  </c:pt>
                  <c:pt idx="2">
                    <c:v>2024</c:v>
                  </c:pt>
                  <c:pt idx="3">
                    <c:v>2025</c:v>
                  </c:pt>
                  <c:pt idx="4">
                    <c:v>2024</c:v>
                  </c:pt>
                  <c:pt idx="5">
                    <c:v>2025</c:v>
                  </c:pt>
                </c:lvl>
                <c:lvl>
                  <c:pt idx="0">
                    <c:v>ガバナンス</c:v>
                  </c:pt>
                  <c:pt idx="2">
                    <c:v>順守推進</c:v>
                  </c:pt>
                  <c:pt idx="4">
                    <c:v>リスク</c:v>
                  </c:pt>
                </c:lvl>
              </c:multiLvlStrCache>
            </c:multiLvlStrRef>
          </c:cat>
          <c:val>
            <c:numRef>
              <c:f>'(ref.) Cal'!$M$57:$M$62</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2-8EB4-4791-9F52-D7004751B8A9}"/>
            </c:ext>
          </c:extLst>
        </c:ser>
        <c:ser>
          <c:idx val="3"/>
          <c:order val="3"/>
          <c:tx>
            <c:strRef>
              <c:f>'(ref.) Cal'!$N$56</c:f>
              <c:strCache>
                <c:ptCount val="1"/>
                <c:pt idx="0">
                  <c:v>C</c:v>
                </c:pt>
              </c:strCache>
            </c:strRef>
          </c:tx>
          <c:spPr>
            <a:solidFill>
              <a:schemeClr val="accent4"/>
            </a:solidFill>
            <a:ln>
              <a:noFill/>
            </a:ln>
            <a:effectLst/>
          </c:spPr>
          <c:invertIfNegative val="0"/>
          <c:cat>
            <c:multiLvlStrRef>
              <c:f>'(ref.) Cal'!$I$57:$J$62</c:f>
              <c:multiLvlStrCache>
                <c:ptCount val="6"/>
                <c:lvl>
                  <c:pt idx="0">
                    <c:v>2024</c:v>
                  </c:pt>
                  <c:pt idx="1">
                    <c:v>2025</c:v>
                  </c:pt>
                  <c:pt idx="2">
                    <c:v>2024</c:v>
                  </c:pt>
                  <c:pt idx="3">
                    <c:v>2025</c:v>
                  </c:pt>
                  <c:pt idx="4">
                    <c:v>2024</c:v>
                  </c:pt>
                  <c:pt idx="5">
                    <c:v>2025</c:v>
                  </c:pt>
                </c:lvl>
                <c:lvl>
                  <c:pt idx="0">
                    <c:v>ガバナンス</c:v>
                  </c:pt>
                  <c:pt idx="2">
                    <c:v>順守推進</c:v>
                  </c:pt>
                  <c:pt idx="4">
                    <c:v>リスク</c:v>
                  </c:pt>
                </c:lvl>
              </c:multiLvlStrCache>
            </c:multiLvlStrRef>
          </c:cat>
          <c:val>
            <c:numRef>
              <c:f>'(ref.) Cal'!$N$57:$N$62</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3-8EB4-4791-9F52-D7004751B8A9}"/>
            </c:ext>
          </c:extLst>
        </c:ser>
        <c:dLbls>
          <c:showLegendKey val="0"/>
          <c:showVal val="0"/>
          <c:showCatName val="0"/>
          <c:showSerName val="0"/>
          <c:showPercent val="0"/>
          <c:showBubbleSize val="0"/>
        </c:dLbls>
        <c:gapWidth val="150"/>
        <c:overlap val="100"/>
        <c:axId val="613412239"/>
        <c:axId val="613402159"/>
      </c:barChart>
      <c:catAx>
        <c:axId val="613412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613402159"/>
        <c:crosses val="autoZero"/>
        <c:auto val="1"/>
        <c:lblAlgn val="ctr"/>
        <c:lblOffset val="100"/>
        <c:noMultiLvlLbl val="0"/>
      </c:catAx>
      <c:valAx>
        <c:axId val="61340215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6134122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'(ref.) Cal'!$K$56</c:f>
              <c:strCache>
                <c:ptCount val="1"/>
                <c:pt idx="0">
                  <c:v>B＋以上</c:v>
                </c:pt>
              </c:strCache>
            </c:strRef>
          </c:tx>
          <c:spPr>
            <a:solidFill>
              <a:schemeClr val="accent1"/>
            </a:solidFill>
            <a:ln>
              <a:noFill/>
            </a:ln>
            <a:effectLst/>
          </c:spPr>
          <c:invertIfNegative val="0"/>
          <c:cat>
            <c:multiLvlStrRef>
              <c:f>'(ref.) Cal'!$I$93:$J$98</c:f>
              <c:multiLvlStrCache>
                <c:ptCount val="6"/>
                <c:lvl>
                  <c:pt idx="0">
                    <c:v>2024</c:v>
                  </c:pt>
                  <c:pt idx="1">
                    <c:v>2025</c:v>
                  </c:pt>
                  <c:pt idx="2">
                    <c:v>2024</c:v>
                  </c:pt>
                  <c:pt idx="3">
                    <c:v>2025</c:v>
                  </c:pt>
                  <c:pt idx="4">
                    <c:v>2024</c:v>
                  </c:pt>
                  <c:pt idx="5">
                    <c:v>2025</c:v>
                  </c:pt>
                </c:lvl>
                <c:lvl>
                  <c:pt idx="0">
                    <c:v>ガバナンス</c:v>
                  </c:pt>
                  <c:pt idx="2">
                    <c:v>順守推進</c:v>
                  </c:pt>
                  <c:pt idx="4">
                    <c:v>リスク</c:v>
                  </c:pt>
                </c:lvl>
              </c:multiLvlStrCache>
            </c:multiLvlStrRef>
          </c:cat>
          <c:val>
            <c:numRef>
              <c:f>'(ref.) Cal'!$K$93:$K$98</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2D8D-42C8-99F3-C3EECF694A1D}"/>
            </c:ext>
          </c:extLst>
        </c:ser>
        <c:ser>
          <c:idx val="1"/>
          <c:order val="1"/>
          <c:tx>
            <c:strRef>
              <c:f>'(ref.) Cal'!$L$56</c:f>
              <c:strCache>
                <c:ptCount val="1"/>
                <c:pt idx="0">
                  <c:v>B</c:v>
                </c:pt>
              </c:strCache>
            </c:strRef>
          </c:tx>
          <c:spPr>
            <a:solidFill>
              <a:schemeClr val="accent2"/>
            </a:solidFill>
            <a:ln>
              <a:noFill/>
            </a:ln>
            <a:effectLst/>
          </c:spPr>
          <c:invertIfNegative val="0"/>
          <c:cat>
            <c:multiLvlStrRef>
              <c:f>'(ref.) Cal'!$I$93:$J$98</c:f>
              <c:multiLvlStrCache>
                <c:ptCount val="6"/>
                <c:lvl>
                  <c:pt idx="0">
                    <c:v>2024</c:v>
                  </c:pt>
                  <c:pt idx="1">
                    <c:v>2025</c:v>
                  </c:pt>
                  <c:pt idx="2">
                    <c:v>2024</c:v>
                  </c:pt>
                  <c:pt idx="3">
                    <c:v>2025</c:v>
                  </c:pt>
                  <c:pt idx="4">
                    <c:v>2024</c:v>
                  </c:pt>
                  <c:pt idx="5">
                    <c:v>2025</c:v>
                  </c:pt>
                </c:lvl>
                <c:lvl>
                  <c:pt idx="0">
                    <c:v>ガバナンス</c:v>
                  </c:pt>
                  <c:pt idx="2">
                    <c:v>順守推進</c:v>
                  </c:pt>
                  <c:pt idx="4">
                    <c:v>リスク</c:v>
                  </c:pt>
                </c:lvl>
              </c:multiLvlStrCache>
            </c:multiLvlStrRef>
          </c:cat>
          <c:val>
            <c:numRef>
              <c:f>'(ref.) Cal'!$L$93:$L$98</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2D8D-42C8-99F3-C3EECF694A1D}"/>
            </c:ext>
          </c:extLst>
        </c:ser>
        <c:ser>
          <c:idx val="2"/>
          <c:order val="2"/>
          <c:tx>
            <c:strRef>
              <c:f>'(ref.) Cal'!$M$56</c:f>
              <c:strCache>
                <c:ptCount val="1"/>
                <c:pt idx="0">
                  <c:v>B-</c:v>
                </c:pt>
              </c:strCache>
            </c:strRef>
          </c:tx>
          <c:spPr>
            <a:solidFill>
              <a:schemeClr val="accent3"/>
            </a:solidFill>
            <a:ln>
              <a:noFill/>
            </a:ln>
            <a:effectLst/>
          </c:spPr>
          <c:invertIfNegative val="0"/>
          <c:cat>
            <c:multiLvlStrRef>
              <c:f>'(ref.) Cal'!$I$93:$J$98</c:f>
              <c:multiLvlStrCache>
                <c:ptCount val="6"/>
                <c:lvl>
                  <c:pt idx="0">
                    <c:v>2024</c:v>
                  </c:pt>
                  <c:pt idx="1">
                    <c:v>2025</c:v>
                  </c:pt>
                  <c:pt idx="2">
                    <c:v>2024</c:v>
                  </c:pt>
                  <c:pt idx="3">
                    <c:v>2025</c:v>
                  </c:pt>
                  <c:pt idx="4">
                    <c:v>2024</c:v>
                  </c:pt>
                  <c:pt idx="5">
                    <c:v>2025</c:v>
                  </c:pt>
                </c:lvl>
                <c:lvl>
                  <c:pt idx="0">
                    <c:v>ガバナンス</c:v>
                  </c:pt>
                  <c:pt idx="2">
                    <c:v>順守推進</c:v>
                  </c:pt>
                  <c:pt idx="4">
                    <c:v>リスク</c:v>
                  </c:pt>
                </c:lvl>
              </c:multiLvlStrCache>
            </c:multiLvlStrRef>
          </c:cat>
          <c:val>
            <c:numRef>
              <c:f>'(ref.) Cal'!$M$93:$M$98</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2-2D8D-42C8-99F3-C3EECF694A1D}"/>
            </c:ext>
          </c:extLst>
        </c:ser>
        <c:ser>
          <c:idx val="3"/>
          <c:order val="3"/>
          <c:tx>
            <c:strRef>
              <c:f>'(ref.) Cal'!$N$56</c:f>
              <c:strCache>
                <c:ptCount val="1"/>
                <c:pt idx="0">
                  <c:v>C</c:v>
                </c:pt>
              </c:strCache>
            </c:strRef>
          </c:tx>
          <c:spPr>
            <a:solidFill>
              <a:schemeClr val="accent4"/>
            </a:solidFill>
            <a:ln>
              <a:noFill/>
            </a:ln>
            <a:effectLst/>
          </c:spPr>
          <c:invertIfNegative val="0"/>
          <c:cat>
            <c:multiLvlStrRef>
              <c:f>'(ref.) Cal'!$I$93:$J$98</c:f>
              <c:multiLvlStrCache>
                <c:ptCount val="6"/>
                <c:lvl>
                  <c:pt idx="0">
                    <c:v>2024</c:v>
                  </c:pt>
                  <c:pt idx="1">
                    <c:v>2025</c:v>
                  </c:pt>
                  <c:pt idx="2">
                    <c:v>2024</c:v>
                  </c:pt>
                  <c:pt idx="3">
                    <c:v>2025</c:v>
                  </c:pt>
                  <c:pt idx="4">
                    <c:v>2024</c:v>
                  </c:pt>
                  <c:pt idx="5">
                    <c:v>2025</c:v>
                  </c:pt>
                </c:lvl>
                <c:lvl>
                  <c:pt idx="0">
                    <c:v>ガバナンス</c:v>
                  </c:pt>
                  <c:pt idx="2">
                    <c:v>順守推進</c:v>
                  </c:pt>
                  <c:pt idx="4">
                    <c:v>リスク</c:v>
                  </c:pt>
                </c:lvl>
              </c:multiLvlStrCache>
            </c:multiLvlStrRef>
          </c:cat>
          <c:val>
            <c:numRef>
              <c:f>'(ref.) Cal'!$N$93:$N$98</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3-2D8D-42C8-99F3-C3EECF694A1D}"/>
            </c:ext>
          </c:extLst>
        </c:ser>
        <c:dLbls>
          <c:showLegendKey val="0"/>
          <c:showVal val="0"/>
          <c:showCatName val="0"/>
          <c:showSerName val="0"/>
          <c:showPercent val="0"/>
          <c:showBubbleSize val="0"/>
        </c:dLbls>
        <c:gapWidth val="150"/>
        <c:overlap val="100"/>
        <c:axId val="613412239"/>
        <c:axId val="613402159"/>
      </c:barChart>
      <c:catAx>
        <c:axId val="613412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613402159"/>
        <c:crosses val="autoZero"/>
        <c:auto val="1"/>
        <c:lblAlgn val="ctr"/>
        <c:lblOffset val="100"/>
        <c:noMultiLvlLbl val="0"/>
      </c:catAx>
      <c:valAx>
        <c:axId val="61340215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6134122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127409233712642"/>
          <c:y val="0.25708509052072637"/>
          <c:w val="0.53228139473198288"/>
          <c:h val="0.57673887733039464"/>
        </c:manualLayout>
      </c:layout>
      <c:radarChart>
        <c:radarStyle val="marker"/>
        <c:varyColors val="0"/>
        <c:ser>
          <c:idx val="0"/>
          <c:order val="0"/>
          <c:spPr>
            <a:ln w="28575" cap="rnd">
              <a:solidFill>
                <a:schemeClr val="accent1"/>
              </a:solidFill>
              <a:round/>
            </a:ln>
            <a:effectLst/>
          </c:spPr>
          <c:marker>
            <c:symbol val="none"/>
          </c:marker>
          <c:cat>
            <c:strRef>
              <c:f>'(ref.) Cal'!$C$48:$C$52</c:f>
              <c:strCache>
                <c:ptCount val="5"/>
                <c:pt idx="0">
                  <c:v>課題
解決力</c:v>
                </c:pt>
                <c:pt idx="1">
                  <c:v>リスク
管理力</c:v>
                </c:pt>
                <c:pt idx="2">
                  <c:v>方向性
アジャスト</c:v>
                </c:pt>
                <c:pt idx="3">
                  <c:v>自律・
持続力</c:v>
                </c:pt>
                <c:pt idx="4">
                  <c:v>横断・
一本化</c:v>
                </c:pt>
              </c:strCache>
            </c:strRef>
          </c:cat>
          <c:val>
            <c:numRef>
              <c:f>'(ref.) Cal'!$F$48:$F$52</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41BF-4888-AC3B-283B34AD2B41}"/>
            </c:ext>
          </c:extLst>
        </c:ser>
        <c:ser>
          <c:idx val="1"/>
          <c:order val="1"/>
          <c:spPr>
            <a:ln w="28575" cap="rnd">
              <a:solidFill>
                <a:schemeClr val="accent2"/>
              </a:solidFill>
              <a:round/>
            </a:ln>
            <a:effectLst/>
          </c:spPr>
          <c:marker>
            <c:symbol val="none"/>
          </c:marker>
          <c:val>
            <c:numRef>
              <c:f>'(ref.) Cal'!$D$48:$D$52</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1-41BF-4888-AC3B-283B34AD2B41}"/>
            </c:ext>
          </c:extLst>
        </c:ser>
        <c:dLbls>
          <c:showLegendKey val="0"/>
          <c:showVal val="0"/>
          <c:showCatName val="0"/>
          <c:showSerName val="0"/>
          <c:showPercent val="0"/>
          <c:showBubbleSize val="0"/>
        </c:dLbls>
        <c:axId val="516867759"/>
        <c:axId val="516872559"/>
      </c:radarChart>
      <c:catAx>
        <c:axId val="516867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516872559"/>
        <c:crosses val="autoZero"/>
        <c:auto val="1"/>
        <c:lblAlgn val="ctr"/>
        <c:lblOffset val="100"/>
        <c:noMultiLvlLbl val="0"/>
      </c:catAx>
      <c:valAx>
        <c:axId val="51687255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516867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127409233712642"/>
          <c:y val="0.25708509052072637"/>
          <c:w val="0.53228139473198288"/>
          <c:h val="0.57673887733039464"/>
        </c:manualLayout>
      </c:layout>
      <c:radarChart>
        <c:radarStyle val="marker"/>
        <c:varyColors val="0"/>
        <c:ser>
          <c:idx val="0"/>
          <c:order val="0"/>
          <c:spPr>
            <a:ln w="28575" cap="rnd">
              <a:solidFill>
                <a:schemeClr val="accent1"/>
              </a:solidFill>
              <a:round/>
            </a:ln>
            <a:effectLst/>
          </c:spPr>
          <c:marker>
            <c:symbol val="none"/>
          </c:marker>
          <c:cat>
            <c:strRef>
              <c:f>'(ref.) Cal'!$C$85:$C$89</c:f>
              <c:strCache>
                <c:ptCount val="5"/>
                <c:pt idx="0">
                  <c:v>課題
解決力</c:v>
                </c:pt>
                <c:pt idx="1">
                  <c:v>リスク
管理力</c:v>
                </c:pt>
                <c:pt idx="2">
                  <c:v>方向性
アジャスト</c:v>
                </c:pt>
                <c:pt idx="3">
                  <c:v>自律・
持続力</c:v>
                </c:pt>
                <c:pt idx="4">
                  <c:v>横断・
一本化</c:v>
                </c:pt>
              </c:strCache>
            </c:strRef>
          </c:cat>
          <c:val>
            <c:numRef>
              <c:f>'(ref.) Cal'!$D$85:$D$89</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F1C1-48A9-95C4-E9436B2B44F5}"/>
            </c:ext>
          </c:extLst>
        </c:ser>
        <c:ser>
          <c:idx val="1"/>
          <c:order val="1"/>
          <c:spPr>
            <a:ln w="28575" cap="rnd">
              <a:solidFill>
                <a:schemeClr val="accent2"/>
              </a:solidFill>
              <a:round/>
            </a:ln>
            <a:effectLst/>
          </c:spPr>
          <c:marker>
            <c:symbol val="none"/>
          </c:marker>
          <c:val>
            <c:numRef>
              <c:f>'(ref.) Cal'!$F$85:$F$89</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1-F1C1-48A9-95C4-E9436B2B44F5}"/>
            </c:ext>
          </c:extLst>
        </c:ser>
        <c:dLbls>
          <c:showLegendKey val="0"/>
          <c:showVal val="0"/>
          <c:showCatName val="0"/>
          <c:showSerName val="0"/>
          <c:showPercent val="0"/>
          <c:showBubbleSize val="0"/>
        </c:dLbls>
        <c:axId val="516867759"/>
        <c:axId val="516872559"/>
      </c:radarChart>
      <c:catAx>
        <c:axId val="516867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516872559"/>
        <c:crosses val="autoZero"/>
        <c:auto val="1"/>
        <c:lblAlgn val="ctr"/>
        <c:lblOffset val="100"/>
        <c:noMultiLvlLbl val="0"/>
      </c:catAx>
      <c:valAx>
        <c:axId val="51687255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ja-JP"/>
          </a:p>
        </c:txPr>
        <c:crossAx val="516867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emf"/><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4.emf"/><Relationship Id="rId5" Type="http://schemas.openxmlformats.org/officeDocument/2006/relationships/image" Target="../media/image3.emf"/><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image" Target="../media/image4.emf"/><Relationship Id="rId5" Type="http://schemas.openxmlformats.org/officeDocument/2006/relationships/image" Target="../media/image1.emf"/><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_rels/drawing5.xml.rels><?xml version="1.0" encoding="UTF-8" standalone="yes"?>
<Relationships xmlns="http://schemas.openxmlformats.org/package/2006/relationships"><Relationship Id="rId8" Type="http://schemas.openxmlformats.org/officeDocument/2006/relationships/chart" Target="../charts/chart26.xml"/><Relationship Id="rId3" Type="http://schemas.openxmlformats.org/officeDocument/2006/relationships/chart" Target="../charts/chart21.xml"/><Relationship Id="rId7" Type="http://schemas.openxmlformats.org/officeDocument/2006/relationships/chart" Target="../charts/chart25.xml"/><Relationship Id="rId2" Type="http://schemas.openxmlformats.org/officeDocument/2006/relationships/chart" Target="../charts/chart20.xml"/><Relationship Id="rId1" Type="http://schemas.openxmlformats.org/officeDocument/2006/relationships/chart" Target="../charts/chart19.xml"/><Relationship Id="rId6" Type="http://schemas.openxmlformats.org/officeDocument/2006/relationships/chart" Target="../charts/chart24.xml"/><Relationship Id="rId5" Type="http://schemas.openxmlformats.org/officeDocument/2006/relationships/chart" Target="../charts/chart23.xml"/><Relationship Id="rId10" Type="http://schemas.openxmlformats.org/officeDocument/2006/relationships/chart" Target="../charts/chart28.xml"/><Relationship Id="rId4" Type="http://schemas.openxmlformats.org/officeDocument/2006/relationships/chart" Target="../charts/chart22.xml"/><Relationship Id="rId9" Type="http://schemas.openxmlformats.org/officeDocument/2006/relationships/chart" Target="../charts/chart27.xml"/></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12</xdr:col>
      <xdr:colOff>244507</xdr:colOff>
      <xdr:row>8</xdr:row>
      <xdr:rowOff>63089</xdr:rowOff>
    </xdr:from>
    <xdr:to>
      <xdr:col>20</xdr:col>
      <xdr:colOff>28024</xdr:colOff>
      <xdr:row>18</xdr:row>
      <xdr:rowOff>45743</xdr:rowOff>
    </xdr:to>
    <xdr:graphicFrame macro="">
      <xdr:nvGraphicFramePr>
        <xdr:cNvPr id="10" name="Chart 1">
          <a:extLst>
            <a:ext uri="{FF2B5EF4-FFF2-40B4-BE49-F238E27FC236}">
              <a16:creationId xmlns:a16="http://schemas.microsoft.com/office/drawing/2014/main" id="{CBF40CAA-31A4-43B9-BF0C-FDA71D551B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15</xdr:col>
      <xdr:colOff>485591</xdr:colOff>
      <xdr:row>9</xdr:row>
      <xdr:rowOff>75664</xdr:rowOff>
    </xdr:from>
    <xdr:ext cx="318292" cy="874920"/>
    <xdr:sp macro="" textlink="">
      <xdr:nvSpPr>
        <xdr:cNvPr id="3" name="テキスト ボックス 6">
          <a:extLst>
            <a:ext uri="{FF2B5EF4-FFF2-40B4-BE49-F238E27FC236}">
              <a16:creationId xmlns:a16="http://schemas.microsoft.com/office/drawing/2014/main" id="{D74FCDB3-DBD0-4D75-A763-D199605943EA}"/>
            </a:ext>
          </a:extLst>
        </xdr:cNvPr>
        <xdr:cNvSpPr txBox="1"/>
      </xdr:nvSpPr>
      <xdr:spPr>
        <a:xfrm>
          <a:off x="7403916" y="2637889"/>
          <a:ext cx="318292" cy="8749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solidFill>
                <a:schemeClr val="tx1">
                  <a:lumMod val="50000"/>
                  <a:lumOff val="50000"/>
                </a:schemeClr>
              </a:solidFill>
              <a:effectLst>
                <a:glow rad="63500">
                  <a:schemeClr val="bg1">
                    <a:alpha val="70000"/>
                  </a:schemeClr>
                </a:glow>
              </a:effectLst>
            </a:rPr>
            <a:t>A</a:t>
          </a:r>
        </a:p>
        <a:p>
          <a:r>
            <a:rPr kumimoji="1" lang="en-US" altLang="ja-JP" sz="1000">
              <a:solidFill>
                <a:schemeClr val="tx1">
                  <a:lumMod val="50000"/>
                  <a:lumOff val="50000"/>
                </a:schemeClr>
              </a:solidFill>
              <a:effectLst>
                <a:glow rad="63500">
                  <a:schemeClr val="bg1">
                    <a:alpha val="70000"/>
                  </a:schemeClr>
                </a:glow>
              </a:effectLst>
            </a:rPr>
            <a:t>B+</a:t>
          </a:r>
        </a:p>
        <a:p>
          <a:r>
            <a:rPr kumimoji="1" lang="en-US" altLang="ja-JP" sz="1000">
              <a:solidFill>
                <a:schemeClr val="tx1">
                  <a:lumMod val="50000"/>
                  <a:lumOff val="50000"/>
                </a:schemeClr>
              </a:solidFill>
              <a:effectLst>
                <a:glow rad="63500">
                  <a:schemeClr val="bg1">
                    <a:alpha val="70000"/>
                  </a:schemeClr>
                </a:glow>
              </a:effectLst>
            </a:rPr>
            <a:t>B</a:t>
          </a:r>
        </a:p>
        <a:p>
          <a:r>
            <a:rPr kumimoji="1" lang="en-US" altLang="ja-JP" sz="1000">
              <a:solidFill>
                <a:schemeClr val="tx1">
                  <a:lumMod val="50000"/>
                  <a:lumOff val="50000"/>
                </a:schemeClr>
              </a:solidFill>
              <a:effectLst>
                <a:glow rad="63500">
                  <a:schemeClr val="bg1">
                    <a:alpha val="70000"/>
                  </a:schemeClr>
                </a:glow>
              </a:effectLst>
            </a:rPr>
            <a:t>B-</a:t>
          </a:r>
        </a:p>
        <a:p>
          <a:r>
            <a:rPr kumimoji="1" lang="en-US" altLang="ja-JP" sz="1000">
              <a:solidFill>
                <a:schemeClr val="tx1">
                  <a:lumMod val="50000"/>
                  <a:lumOff val="50000"/>
                </a:schemeClr>
              </a:solidFill>
              <a:effectLst>
                <a:glow rad="63500">
                  <a:schemeClr val="bg1">
                    <a:alpha val="70000"/>
                  </a:schemeClr>
                </a:glow>
              </a:effectLst>
            </a:rPr>
            <a:t>C</a:t>
          </a:r>
          <a:endParaRPr kumimoji="1" lang="ja-JP" altLang="en-US" sz="1000">
            <a:solidFill>
              <a:schemeClr val="tx1">
                <a:lumMod val="50000"/>
                <a:lumOff val="50000"/>
              </a:schemeClr>
            </a:solidFill>
            <a:effectLst>
              <a:glow rad="63500">
                <a:schemeClr val="bg1">
                  <a:alpha val="70000"/>
                </a:schemeClr>
              </a:glow>
            </a:effectLst>
          </a:endParaRPr>
        </a:p>
      </xdr:txBody>
    </xdr:sp>
    <xdr:clientData/>
  </xdr:oneCellAnchor>
  <xdr:twoCellAnchor>
    <xdr:from>
      <xdr:col>16</xdr:col>
      <xdr:colOff>352000</xdr:colOff>
      <xdr:row>17</xdr:row>
      <xdr:rowOff>44482</xdr:rowOff>
    </xdr:from>
    <xdr:to>
      <xdr:col>23</xdr:col>
      <xdr:colOff>524552</xdr:colOff>
      <xdr:row>25</xdr:row>
      <xdr:rowOff>28936</xdr:rowOff>
    </xdr:to>
    <xdr:graphicFrame macro="">
      <xdr:nvGraphicFramePr>
        <xdr:cNvPr id="14" name="Chart 3">
          <a:extLst>
            <a:ext uri="{FF2B5EF4-FFF2-40B4-BE49-F238E27FC236}">
              <a16:creationId xmlns:a16="http://schemas.microsoft.com/office/drawing/2014/main" id="{7D014F20-6F97-494F-A895-9107B8CF8E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211669</xdr:colOff>
      <xdr:row>29</xdr:row>
      <xdr:rowOff>16909</xdr:rowOff>
    </xdr:from>
    <xdr:to>
      <xdr:col>19</xdr:col>
      <xdr:colOff>366375</xdr:colOff>
      <xdr:row>38</xdr:row>
      <xdr:rowOff>6906</xdr:rowOff>
    </xdr:to>
    <xdr:graphicFrame macro="">
      <xdr:nvGraphicFramePr>
        <xdr:cNvPr id="15" name="Chart 4">
          <a:extLst>
            <a:ext uri="{FF2B5EF4-FFF2-40B4-BE49-F238E27FC236}">
              <a16:creationId xmlns:a16="http://schemas.microsoft.com/office/drawing/2014/main" id="{776A945B-0E1D-46E3-AFBA-B20F2F4782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134620</xdr:colOff>
      <xdr:row>29</xdr:row>
      <xdr:rowOff>25227</xdr:rowOff>
    </xdr:from>
    <xdr:to>
      <xdr:col>25</xdr:col>
      <xdr:colOff>368708</xdr:colOff>
      <xdr:row>38</xdr:row>
      <xdr:rowOff>879</xdr:rowOff>
    </xdr:to>
    <xdr:graphicFrame macro="">
      <xdr:nvGraphicFramePr>
        <xdr:cNvPr id="16" name="Chart 5">
          <a:extLst>
            <a:ext uri="{FF2B5EF4-FFF2-40B4-BE49-F238E27FC236}">
              <a16:creationId xmlns:a16="http://schemas.microsoft.com/office/drawing/2014/main" id="{F423DB9A-6AA6-47F0-A6E9-E1401615C5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16</xdr:col>
      <xdr:colOff>51674</xdr:colOff>
      <xdr:row>30</xdr:row>
      <xdr:rowOff>218806</xdr:rowOff>
    </xdr:from>
    <xdr:ext cx="230191" cy="640240"/>
    <xdr:sp macro="" textlink="">
      <xdr:nvSpPr>
        <xdr:cNvPr id="7" name="テキスト ボックス 6">
          <a:extLst>
            <a:ext uri="{FF2B5EF4-FFF2-40B4-BE49-F238E27FC236}">
              <a16:creationId xmlns:a16="http://schemas.microsoft.com/office/drawing/2014/main" id="{AFAE0C62-D3F2-42EC-82FB-F274D3DF8443}"/>
            </a:ext>
          </a:extLst>
        </xdr:cNvPr>
        <xdr:cNvSpPr txBox="1"/>
      </xdr:nvSpPr>
      <xdr:spPr>
        <a:xfrm>
          <a:off x="7458949" y="6698981"/>
          <a:ext cx="230191" cy="640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700">
              <a:solidFill>
                <a:schemeClr val="tx1">
                  <a:lumMod val="50000"/>
                  <a:lumOff val="50000"/>
                </a:schemeClr>
              </a:solidFill>
              <a:effectLst>
                <a:glow rad="63500">
                  <a:schemeClr val="bg1">
                    <a:alpha val="70000"/>
                  </a:schemeClr>
                </a:glow>
              </a:effectLst>
            </a:rPr>
            <a:t>5</a:t>
          </a:r>
        </a:p>
        <a:p>
          <a:r>
            <a:rPr kumimoji="1" lang="en-US" altLang="ja-JP" sz="700">
              <a:solidFill>
                <a:schemeClr val="tx1">
                  <a:lumMod val="50000"/>
                  <a:lumOff val="50000"/>
                </a:schemeClr>
              </a:solidFill>
              <a:effectLst>
                <a:glow rad="63500">
                  <a:schemeClr val="bg1">
                    <a:alpha val="70000"/>
                  </a:schemeClr>
                </a:glow>
              </a:effectLst>
            </a:rPr>
            <a:t>4</a:t>
          </a:r>
        </a:p>
        <a:p>
          <a:r>
            <a:rPr kumimoji="1" lang="en-US" altLang="ja-JP" sz="700">
              <a:solidFill>
                <a:schemeClr val="tx1">
                  <a:lumMod val="50000"/>
                  <a:lumOff val="50000"/>
                </a:schemeClr>
              </a:solidFill>
              <a:effectLst>
                <a:glow rad="63500">
                  <a:schemeClr val="bg1">
                    <a:alpha val="70000"/>
                  </a:schemeClr>
                </a:glow>
              </a:effectLst>
            </a:rPr>
            <a:t>3</a:t>
          </a:r>
        </a:p>
        <a:p>
          <a:r>
            <a:rPr kumimoji="1" lang="en-US" altLang="ja-JP" sz="700">
              <a:solidFill>
                <a:schemeClr val="tx1">
                  <a:lumMod val="50000"/>
                  <a:lumOff val="50000"/>
                </a:schemeClr>
              </a:solidFill>
              <a:effectLst>
                <a:glow rad="63500">
                  <a:schemeClr val="bg1">
                    <a:alpha val="70000"/>
                  </a:schemeClr>
                </a:glow>
              </a:effectLst>
            </a:rPr>
            <a:t>2</a:t>
          </a:r>
        </a:p>
        <a:p>
          <a:r>
            <a:rPr kumimoji="1" lang="en-US" altLang="ja-JP" sz="700">
              <a:solidFill>
                <a:schemeClr val="tx1">
                  <a:lumMod val="50000"/>
                  <a:lumOff val="50000"/>
                </a:schemeClr>
              </a:solidFill>
              <a:effectLst>
                <a:glow rad="63500">
                  <a:schemeClr val="bg1">
                    <a:alpha val="70000"/>
                  </a:schemeClr>
                </a:glow>
              </a:effectLst>
            </a:rPr>
            <a:t>1</a:t>
          </a:r>
        </a:p>
      </xdr:txBody>
    </xdr:sp>
    <xdr:clientData/>
  </xdr:oneCellAnchor>
  <xdr:oneCellAnchor>
    <xdr:from>
      <xdr:col>21</xdr:col>
      <xdr:colOff>29677</xdr:colOff>
      <xdr:row>30</xdr:row>
      <xdr:rowOff>230256</xdr:rowOff>
    </xdr:from>
    <xdr:ext cx="230191" cy="640240"/>
    <xdr:sp macro="" textlink="">
      <xdr:nvSpPr>
        <xdr:cNvPr id="8" name="テキスト ボックス 6">
          <a:extLst>
            <a:ext uri="{FF2B5EF4-FFF2-40B4-BE49-F238E27FC236}">
              <a16:creationId xmlns:a16="http://schemas.microsoft.com/office/drawing/2014/main" id="{05D53EDC-D98C-48E1-8B65-970FEA51CE81}"/>
            </a:ext>
          </a:extLst>
        </xdr:cNvPr>
        <xdr:cNvSpPr txBox="1"/>
      </xdr:nvSpPr>
      <xdr:spPr>
        <a:xfrm>
          <a:off x="9913452" y="6697731"/>
          <a:ext cx="230191" cy="640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700">
              <a:solidFill>
                <a:schemeClr val="tx1">
                  <a:lumMod val="50000"/>
                  <a:lumOff val="50000"/>
                </a:schemeClr>
              </a:solidFill>
              <a:effectLst>
                <a:glow rad="63500">
                  <a:schemeClr val="bg1">
                    <a:alpha val="70000"/>
                  </a:schemeClr>
                </a:glow>
              </a:effectLst>
            </a:rPr>
            <a:t>5</a:t>
          </a:r>
        </a:p>
        <a:p>
          <a:r>
            <a:rPr kumimoji="1" lang="en-US" altLang="ja-JP" sz="700">
              <a:solidFill>
                <a:schemeClr val="tx1">
                  <a:lumMod val="50000"/>
                  <a:lumOff val="50000"/>
                </a:schemeClr>
              </a:solidFill>
              <a:effectLst>
                <a:glow rad="63500">
                  <a:schemeClr val="bg1">
                    <a:alpha val="70000"/>
                  </a:schemeClr>
                </a:glow>
              </a:effectLst>
            </a:rPr>
            <a:t>4</a:t>
          </a:r>
        </a:p>
        <a:p>
          <a:r>
            <a:rPr kumimoji="1" lang="en-US" altLang="ja-JP" sz="700">
              <a:solidFill>
                <a:schemeClr val="tx1">
                  <a:lumMod val="50000"/>
                  <a:lumOff val="50000"/>
                </a:schemeClr>
              </a:solidFill>
              <a:effectLst>
                <a:glow rad="63500">
                  <a:schemeClr val="bg1">
                    <a:alpha val="70000"/>
                  </a:schemeClr>
                </a:glow>
              </a:effectLst>
            </a:rPr>
            <a:t>3</a:t>
          </a:r>
        </a:p>
        <a:p>
          <a:r>
            <a:rPr kumimoji="1" lang="en-US" altLang="ja-JP" sz="700">
              <a:solidFill>
                <a:schemeClr val="tx1">
                  <a:lumMod val="50000"/>
                  <a:lumOff val="50000"/>
                </a:schemeClr>
              </a:solidFill>
              <a:effectLst>
                <a:glow rad="63500">
                  <a:schemeClr val="bg1">
                    <a:alpha val="70000"/>
                  </a:schemeClr>
                </a:glow>
              </a:effectLst>
            </a:rPr>
            <a:t>2</a:t>
          </a:r>
        </a:p>
        <a:p>
          <a:r>
            <a:rPr kumimoji="1" lang="en-US" altLang="ja-JP" sz="700">
              <a:solidFill>
                <a:schemeClr val="tx1">
                  <a:lumMod val="50000"/>
                  <a:lumOff val="50000"/>
                </a:schemeClr>
              </a:solidFill>
              <a:effectLst>
                <a:glow rad="63500">
                  <a:schemeClr val="bg1">
                    <a:alpha val="70000"/>
                  </a:schemeClr>
                </a:glow>
              </a:effectLst>
            </a:rPr>
            <a:t>1</a:t>
          </a:r>
        </a:p>
      </xdr:txBody>
    </xdr:sp>
    <xdr:clientData/>
  </xdr:oneCellAnchor>
  <mc:AlternateContent xmlns:mc="http://schemas.openxmlformats.org/markup-compatibility/2006">
    <mc:Choice xmlns:a14="http://schemas.microsoft.com/office/drawing/2010/main" Requires="a14">
      <xdr:twoCellAnchor editAs="oneCell">
        <xdr:from>
          <xdr:col>19</xdr:col>
          <xdr:colOff>146005</xdr:colOff>
          <xdr:row>7</xdr:row>
          <xdr:rowOff>87647</xdr:rowOff>
        </xdr:from>
        <xdr:to>
          <xdr:col>23</xdr:col>
          <xdr:colOff>419101</xdr:colOff>
          <xdr:row>16</xdr:row>
          <xdr:rowOff>162998</xdr:rowOff>
        </xdr:to>
        <xdr:pic>
          <xdr:nvPicPr>
            <xdr:cNvPr id="9" name="Picture 8">
              <a:extLst>
                <a:ext uri="{FF2B5EF4-FFF2-40B4-BE49-F238E27FC236}">
                  <a16:creationId xmlns:a16="http://schemas.microsoft.com/office/drawing/2014/main" id="{71B6B90A-497E-437D-8168-CAF6A65CC87A}"/>
                </a:ext>
              </a:extLst>
            </xdr:cNvPr>
            <xdr:cNvPicPr>
              <a:picLocks noChangeAspect="1" noChangeArrowheads="1"/>
              <a:extLst>
                <a:ext uri="{84589F7E-364E-4C9E-8A38-B11213B215E9}">
                  <a14:cameraTool cellRange="memo!$B$2:$D$7" spid="_x0000_s19794"/>
                </a:ext>
              </a:extLst>
            </xdr:cNvPicPr>
          </xdr:nvPicPr>
          <xdr:blipFill>
            <a:blip xmlns:r="http://schemas.openxmlformats.org/officeDocument/2006/relationships" r:embed="rId5"/>
            <a:srcRect/>
            <a:stretch>
              <a:fillRect/>
            </a:stretch>
          </xdr:blipFill>
          <xdr:spPr bwMode="auto">
            <a:xfrm>
              <a:off x="9042355" y="2287922"/>
              <a:ext cx="2254296" cy="174540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12</xdr:col>
      <xdr:colOff>244507</xdr:colOff>
      <xdr:row>8</xdr:row>
      <xdr:rowOff>63089</xdr:rowOff>
    </xdr:from>
    <xdr:to>
      <xdr:col>20</xdr:col>
      <xdr:colOff>28024</xdr:colOff>
      <xdr:row>18</xdr:row>
      <xdr:rowOff>45743</xdr:rowOff>
    </xdr:to>
    <xdr:graphicFrame macro="">
      <xdr:nvGraphicFramePr>
        <xdr:cNvPr id="9" name="Chart 8">
          <a:extLst>
            <a:ext uri="{FF2B5EF4-FFF2-40B4-BE49-F238E27FC236}">
              <a16:creationId xmlns:a16="http://schemas.microsoft.com/office/drawing/2014/main" id="{E2398869-8EAA-4774-8B11-1DEB66EB8E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15</xdr:col>
      <xdr:colOff>485591</xdr:colOff>
      <xdr:row>9</xdr:row>
      <xdr:rowOff>75664</xdr:rowOff>
    </xdr:from>
    <xdr:ext cx="318292" cy="874920"/>
    <xdr:sp macro="" textlink="">
      <xdr:nvSpPr>
        <xdr:cNvPr id="5" name="テキスト ボックス 6">
          <a:extLst>
            <a:ext uri="{FF2B5EF4-FFF2-40B4-BE49-F238E27FC236}">
              <a16:creationId xmlns:a16="http://schemas.microsoft.com/office/drawing/2014/main" id="{DB73FEDB-7BA9-4818-BA15-097E96D7C06F}"/>
            </a:ext>
          </a:extLst>
        </xdr:cNvPr>
        <xdr:cNvSpPr txBox="1"/>
      </xdr:nvSpPr>
      <xdr:spPr>
        <a:xfrm>
          <a:off x="8085884" y="2683543"/>
          <a:ext cx="318292" cy="8749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solidFill>
                <a:schemeClr val="tx1">
                  <a:lumMod val="50000"/>
                  <a:lumOff val="50000"/>
                </a:schemeClr>
              </a:solidFill>
              <a:effectLst>
                <a:glow rad="63500">
                  <a:schemeClr val="bg1">
                    <a:alpha val="70000"/>
                  </a:schemeClr>
                </a:glow>
              </a:effectLst>
            </a:rPr>
            <a:t>A</a:t>
          </a:r>
        </a:p>
        <a:p>
          <a:r>
            <a:rPr kumimoji="1" lang="en-US" altLang="ja-JP" sz="1000">
              <a:solidFill>
                <a:schemeClr val="tx1">
                  <a:lumMod val="50000"/>
                  <a:lumOff val="50000"/>
                </a:schemeClr>
              </a:solidFill>
              <a:effectLst>
                <a:glow rad="63500">
                  <a:schemeClr val="bg1">
                    <a:alpha val="70000"/>
                  </a:schemeClr>
                </a:glow>
              </a:effectLst>
            </a:rPr>
            <a:t>B+</a:t>
          </a:r>
        </a:p>
        <a:p>
          <a:r>
            <a:rPr kumimoji="1" lang="en-US" altLang="ja-JP" sz="1000">
              <a:solidFill>
                <a:schemeClr val="tx1">
                  <a:lumMod val="50000"/>
                  <a:lumOff val="50000"/>
                </a:schemeClr>
              </a:solidFill>
              <a:effectLst>
                <a:glow rad="63500">
                  <a:schemeClr val="bg1">
                    <a:alpha val="70000"/>
                  </a:schemeClr>
                </a:glow>
              </a:effectLst>
            </a:rPr>
            <a:t>B</a:t>
          </a:r>
        </a:p>
        <a:p>
          <a:r>
            <a:rPr kumimoji="1" lang="en-US" altLang="ja-JP" sz="1000">
              <a:solidFill>
                <a:schemeClr val="tx1">
                  <a:lumMod val="50000"/>
                  <a:lumOff val="50000"/>
                </a:schemeClr>
              </a:solidFill>
              <a:effectLst>
                <a:glow rad="63500">
                  <a:schemeClr val="bg1">
                    <a:alpha val="70000"/>
                  </a:schemeClr>
                </a:glow>
              </a:effectLst>
            </a:rPr>
            <a:t>B-</a:t>
          </a:r>
        </a:p>
        <a:p>
          <a:r>
            <a:rPr kumimoji="1" lang="en-US" altLang="ja-JP" sz="1000">
              <a:solidFill>
                <a:schemeClr val="tx1">
                  <a:lumMod val="50000"/>
                  <a:lumOff val="50000"/>
                </a:schemeClr>
              </a:solidFill>
              <a:effectLst>
                <a:glow rad="63500">
                  <a:schemeClr val="bg1">
                    <a:alpha val="70000"/>
                  </a:schemeClr>
                </a:glow>
              </a:effectLst>
            </a:rPr>
            <a:t>C</a:t>
          </a:r>
          <a:endParaRPr kumimoji="1" lang="ja-JP" altLang="en-US" sz="1000">
            <a:solidFill>
              <a:schemeClr val="tx1">
                <a:lumMod val="50000"/>
                <a:lumOff val="50000"/>
              </a:schemeClr>
            </a:solidFill>
            <a:effectLst>
              <a:glow rad="63500">
                <a:schemeClr val="bg1">
                  <a:alpha val="70000"/>
                </a:schemeClr>
              </a:glow>
            </a:effectLst>
          </a:endParaRPr>
        </a:p>
      </xdr:txBody>
    </xdr:sp>
    <xdr:clientData/>
  </xdr:oneCellAnchor>
  <xdr:twoCellAnchor>
    <xdr:from>
      <xdr:col>16</xdr:col>
      <xdr:colOff>352000</xdr:colOff>
      <xdr:row>17</xdr:row>
      <xdr:rowOff>44482</xdr:rowOff>
    </xdr:from>
    <xdr:to>
      <xdr:col>23</xdr:col>
      <xdr:colOff>524552</xdr:colOff>
      <xdr:row>25</xdr:row>
      <xdr:rowOff>28936</xdr:rowOff>
    </xdr:to>
    <xdr:graphicFrame macro="">
      <xdr:nvGraphicFramePr>
        <xdr:cNvPr id="8" name="Chart 7">
          <a:extLst>
            <a:ext uri="{FF2B5EF4-FFF2-40B4-BE49-F238E27FC236}">
              <a16:creationId xmlns:a16="http://schemas.microsoft.com/office/drawing/2014/main" id="{0D089370-E94A-43F5-8541-B6F6044B6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211669</xdr:colOff>
      <xdr:row>29</xdr:row>
      <xdr:rowOff>16909</xdr:rowOff>
    </xdr:from>
    <xdr:to>
      <xdr:col>19</xdr:col>
      <xdr:colOff>366375</xdr:colOff>
      <xdr:row>38</xdr:row>
      <xdr:rowOff>6906</xdr:rowOff>
    </xdr:to>
    <xdr:graphicFrame macro="">
      <xdr:nvGraphicFramePr>
        <xdr:cNvPr id="10" name="Chart 9">
          <a:extLst>
            <a:ext uri="{FF2B5EF4-FFF2-40B4-BE49-F238E27FC236}">
              <a16:creationId xmlns:a16="http://schemas.microsoft.com/office/drawing/2014/main" id="{A035DA5E-0915-4329-A67E-48711D28BF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134620</xdr:colOff>
      <xdr:row>29</xdr:row>
      <xdr:rowOff>25227</xdr:rowOff>
    </xdr:from>
    <xdr:to>
      <xdr:col>25</xdr:col>
      <xdr:colOff>368708</xdr:colOff>
      <xdr:row>38</xdr:row>
      <xdr:rowOff>879</xdr:rowOff>
    </xdr:to>
    <xdr:graphicFrame macro="">
      <xdr:nvGraphicFramePr>
        <xdr:cNvPr id="11" name="Chart 10">
          <a:extLst>
            <a:ext uri="{FF2B5EF4-FFF2-40B4-BE49-F238E27FC236}">
              <a16:creationId xmlns:a16="http://schemas.microsoft.com/office/drawing/2014/main" id="{0B4BFF33-E44F-47F8-B6BC-A8DA1C342E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16</xdr:col>
      <xdr:colOff>51674</xdr:colOff>
      <xdr:row>30</xdr:row>
      <xdr:rowOff>218806</xdr:rowOff>
    </xdr:from>
    <xdr:ext cx="230191" cy="640240"/>
    <xdr:sp macro="" textlink="">
      <xdr:nvSpPr>
        <xdr:cNvPr id="2" name="テキスト ボックス 6">
          <a:extLst>
            <a:ext uri="{FF2B5EF4-FFF2-40B4-BE49-F238E27FC236}">
              <a16:creationId xmlns:a16="http://schemas.microsoft.com/office/drawing/2014/main" id="{9479E9D6-6DD7-442D-BB27-BE375984D36C}"/>
            </a:ext>
          </a:extLst>
        </xdr:cNvPr>
        <xdr:cNvSpPr txBox="1"/>
      </xdr:nvSpPr>
      <xdr:spPr>
        <a:xfrm>
          <a:off x="8183943" y="7818795"/>
          <a:ext cx="230191" cy="640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700">
              <a:solidFill>
                <a:schemeClr val="tx1">
                  <a:lumMod val="50000"/>
                  <a:lumOff val="50000"/>
                </a:schemeClr>
              </a:solidFill>
              <a:effectLst>
                <a:glow rad="63500">
                  <a:schemeClr val="bg1">
                    <a:alpha val="70000"/>
                  </a:schemeClr>
                </a:glow>
              </a:effectLst>
            </a:rPr>
            <a:t>5</a:t>
          </a:r>
        </a:p>
        <a:p>
          <a:r>
            <a:rPr kumimoji="1" lang="en-US" altLang="ja-JP" sz="700">
              <a:solidFill>
                <a:schemeClr val="tx1">
                  <a:lumMod val="50000"/>
                  <a:lumOff val="50000"/>
                </a:schemeClr>
              </a:solidFill>
              <a:effectLst>
                <a:glow rad="63500">
                  <a:schemeClr val="bg1">
                    <a:alpha val="70000"/>
                  </a:schemeClr>
                </a:glow>
              </a:effectLst>
            </a:rPr>
            <a:t>4</a:t>
          </a:r>
        </a:p>
        <a:p>
          <a:r>
            <a:rPr kumimoji="1" lang="en-US" altLang="ja-JP" sz="700">
              <a:solidFill>
                <a:schemeClr val="tx1">
                  <a:lumMod val="50000"/>
                  <a:lumOff val="50000"/>
                </a:schemeClr>
              </a:solidFill>
              <a:effectLst>
                <a:glow rad="63500">
                  <a:schemeClr val="bg1">
                    <a:alpha val="70000"/>
                  </a:schemeClr>
                </a:glow>
              </a:effectLst>
            </a:rPr>
            <a:t>3</a:t>
          </a:r>
        </a:p>
        <a:p>
          <a:r>
            <a:rPr kumimoji="1" lang="en-US" altLang="ja-JP" sz="700">
              <a:solidFill>
                <a:schemeClr val="tx1">
                  <a:lumMod val="50000"/>
                  <a:lumOff val="50000"/>
                </a:schemeClr>
              </a:solidFill>
              <a:effectLst>
                <a:glow rad="63500">
                  <a:schemeClr val="bg1">
                    <a:alpha val="70000"/>
                  </a:schemeClr>
                </a:glow>
              </a:effectLst>
            </a:rPr>
            <a:t>2</a:t>
          </a:r>
        </a:p>
        <a:p>
          <a:r>
            <a:rPr kumimoji="1" lang="en-US" altLang="ja-JP" sz="700">
              <a:solidFill>
                <a:schemeClr val="tx1">
                  <a:lumMod val="50000"/>
                  <a:lumOff val="50000"/>
                </a:schemeClr>
              </a:solidFill>
              <a:effectLst>
                <a:glow rad="63500">
                  <a:schemeClr val="bg1">
                    <a:alpha val="70000"/>
                  </a:schemeClr>
                </a:glow>
              </a:effectLst>
            </a:rPr>
            <a:t>1</a:t>
          </a:r>
        </a:p>
      </xdr:txBody>
    </xdr:sp>
    <xdr:clientData/>
  </xdr:oneCellAnchor>
  <xdr:oneCellAnchor>
    <xdr:from>
      <xdr:col>21</xdr:col>
      <xdr:colOff>29677</xdr:colOff>
      <xdr:row>30</xdr:row>
      <xdr:rowOff>230256</xdr:rowOff>
    </xdr:from>
    <xdr:ext cx="230191" cy="640240"/>
    <xdr:sp macro="" textlink="">
      <xdr:nvSpPr>
        <xdr:cNvPr id="3" name="テキスト ボックス 6">
          <a:extLst>
            <a:ext uri="{FF2B5EF4-FFF2-40B4-BE49-F238E27FC236}">
              <a16:creationId xmlns:a16="http://schemas.microsoft.com/office/drawing/2014/main" id="{994BB9A2-2CFF-4730-AD48-B73E4EAA5E1B}"/>
            </a:ext>
          </a:extLst>
        </xdr:cNvPr>
        <xdr:cNvSpPr txBox="1"/>
      </xdr:nvSpPr>
      <xdr:spPr>
        <a:xfrm>
          <a:off x="10859313" y="7902211"/>
          <a:ext cx="230191" cy="640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700">
              <a:solidFill>
                <a:schemeClr val="tx1">
                  <a:lumMod val="50000"/>
                  <a:lumOff val="50000"/>
                </a:schemeClr>
              </a:solidFill>
              <a:effectLst>
                <a:glow rad="63500">
                  <a:schemeClr val="bg1">
                    <a:alpha val="70000"/>
                  </a:schemeClr>
                </a:glow>
              </a:effectLst>
            </a:rPr>
            <a:t>5</a:t>
          </a:r>
        </a:p>
        <a:p>
          <a:r>
            <a:rPr kumimoji="1" lang="en-US" altLang="ja-JP" sz="700">
              <a:solidFill>
                <a:schemeClr val="tx1">
                  <a:lumMod val="50000"/>
                  <a:lumOff val="50000"/>
                </a:schemeClr>
              </a:solidFill>
              <a:effectLst>
                <a:glow rad="63500">
                  <a:schemeClr val="bg1">
                    <a:alpha val="70000"/>
                  </a:schemeClr>
                </a:glow>
              </a:effectLst>
            </a:rPr>
            <a:t>4</a:t>
          </a:r>
        </a:p>
        <a:p>
          <a:r>
            <a:rPr kumimoji="1" lang="en-US" altLang="ja-JP" sz="700">
              <a:solidFill>
                <a:schemeClr val="tx1">
                  <a:lumMod val="50000"/>
                  <a:lumOff val="50000"/>
                </a:schemeClr>
              </a:solidFill>
              <a:effectLst>
                <a:glow rad="63500">
                  <a:schemeClr val="bg1">
                    <a:alpha val="70000"/>
                  </a:schemeClr>
                </a:glow>
              </a:effectLst>
            </a:rPr>
            <a:t>3</a:t>
          </a:r>
        </a:p>
        <a:p>
          <a:r>
            <a:rPr kumimoji="1" lang="en-US" altLang="ja-JP" sz="700">
              <a:solidFill>
                <a:schemeClr val="tx1">
                  <a:lumMod val="50000"/>
                  <a:lumOff val="50000"/>
                </a:schemeClr>
              </a:solidFill>
              <a:effectLst>
                <a:glow rad="63500">
                  <a:schemeClr val="bg1">
                    <a:alpha val="70000"/>
                  </a:schemeClr>
                </a:glow>
              </a:effectLst>
            </a:rPr>
            <a:t>2</a:t>
          </a:r>
        </a:p>
        <a:p>
          <a:r>
            <a:rPr kumimoji="1" lang="en-US" altLang="ja-JP" sz="700">
              <a:solidFill>
                <a:schemeClr val="tx1">
                  <a:lumMod val="50000"/>
                  <a:lumOff val="50000"/>
                </a:schemeClr>
              </a:solidFill>
              <a:effectLst>
                <a:glow rad="63500">
                  <a:schemeClr val="bg1">
                    <a:alpha val="70000"/>
                  </a:schemeClr>
                </a:glow>
              </a:effectLst>
            </a:rPr>
            <a:t>1</a:t>
          </a:r>
        </a:p>
      </xdr:txBody>
    </xdr:sp>
    <xdr:clientData/>
  </xdr:oneCellAnchor>
  <mc:AlternateContent xmlns:mc="http://schemas.openxmlformats.org/markup-compatibility/2006">
    <mc:Choice xmlns:a14="http://schemas.microsoft.com/office/drawing/2010/main" Requires="a14">
      <xdr:twoCellAnchor editAs="oneCell">
        <xdr:from>
          <xdr:col>19</xdr:col>
          <xdr:colOff>146004</xdr:colOff>
          <xdr:row>7</xdr:row>
          <xdr:rowOff>87647</xdr:rowOff>
        </xdr:from>
        <xdr:to>
          <xdr:col>23</xdr:col>
          <xdr:colOff>464298</xdr:colOff>
          <xdr:row>16</xdr:row>
          <xdr:rowOff>133932</xdr:rowOff>
        </xdr:to>
        <xdr:pic>
          <xdr:nvPicPr>
            <xdr:cNvPr id="7" name="Picture 6">
              <a:extLst>
                <a:ext uri="{FF2B5EF4-FFF2-40B4-BE49-F238E27FC236}">
                  <a16:creationId xmlns:a16="http://schemas.microsoft.com/office/drawing/2014/main" id="{113D0AF9-CC8F-6036-9893-003FB07B3E8C}"/>
                </a:ext>
              </a:extLst>
            </xdr:cNvPr>
            <xdr:cNvPicPr>
              <a:picLocks noChangeAspect="1" noChangeArrowheads="1"/>
              <a:extLst>
                <a:ext uri="{84589F7E-364E-4C9E-8A38-B11213B215E9}">
                  <a14:cameraTool cellRange="memo!$B$2:$D$7" spid="_x0000_s1698"/>
                </a:ext>
              </a:extLst>
            </xdr:cNvPicPr>
          </xdr:nvPicPr>
          <xdr:blipFill>
            <a:blip xmlns:r="http://schemas.openxmlformats.org/officeDocument/2006/relationships" r:embed="rId5"/>
            <a:srcRect/>
            <a:stretch>
              <a:fillRect/>
            </a:stretch>
          </xdr:blipFill>
          <xdr:spPr bwMode="auto">
            <a:xfrm>
              <a:off x="9839588" y="2279240"/>
              <a:ext cx="2472995" cy="168998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22</xdr:col>
      <xdr:colOff>256761</xdr:colOff>
      <xdr:row>2</xdr:row>
      <xdr:rowOff>104500</xdr:rowOff>
    </xdr:from>
    <xdr:to>
      <xdr:col>23</xdr:col>
      <xdr:colOff>283468</xdr:colOff>
      <xdr:row>2</xdr:row>
      <xdr:rowOff>626458</xdr:rowOff>
    </xdr:to>
    <xdr:pic>
      <xdr:nvPicPr>
        <xdr:cNvPr id="4" name="図 13">
          <a:extLst>
            <a:ext uri="{FF2B5EF4-FFF2-40B4-BE49-F238E27FC236}">
              <a16:creationId xmlns:a16="http://schemas.microsoft.com/office/drawing/2014/main" id="{590FFCB9-F8B8-443D-A41B-32818508959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1703326" y="518630"/>
          <a:ext cx="573359" cy="5219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13</xdr:col>
      <xdr:colOff>206410</xdr:colOff>
      <xdr:row>7</xdr:row>
      <xdr:rowOff>92076</xdr:rowOff>
    </xdr:from>
    <xdr:to>
      <xdr:col>19</xdr:col>
      <xdr:colOff>427038</xdr:colOff>
      <xdr:row>17</xdr:row>
      <xdr:rowOff>228601</xdr:rowOff>
    </xdr:to>
    <xdr:graphicFrame macro="">
      <xdr:nvGraphicFramePr>
        <xdr:cNvPr id="6" name="Chart 5">
          <a:extLst>
            <a:ext uri="{FF2B5EF4-FFF2-40B4-BE49-F238E27FC236}">
              <a16:creationId xmlns:a16="http://schemas.microsoft.com/office/drawing/2014/main" id="{CF7F9D7A-66D6-4B5F-A2D8-645804FA1C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15</xdr:col>
      <xdr:colOff>410296</xdr:colOff>
      <xdr:row>9</xdr:row>
      <xdr:rowOff>152839</xdr:rowOff>
    </xdr:from>
    <xdr:ext cx="318292" cy="874920"/>
    <xdr:sp macro="" textlink="">
      <xdr:nvSpPr>
        <xdr:cNvPr id="3" name="テキスト ボックス 6">
          <a:extLst>
            <a:ext uri="{FF2B5EF4-FFF2-40B4-BE49-F238E27FC236}">
              <a16:creationId xmlns:a16="http://schemas.microsoft.com/office/drawing/2014/main" id="{63A2E384-EF83-4E33-ABB2-AD11C530F061}"/>
            </a:ext>
          </a:extLst>
        </xdr:cNvPr>
        <xdr:cNvSpPr txBox="1"/>
      </xdr:nvSpPr>
      <xdr:spPr>
        <a:xfrm>
          <a:off x="7964606" y="2961072"/>
          <a:ext cx="318292" cy="8749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solidFill>
                <a:schemeClr val="tx1">
                  <a:lumMod val="50000"/>
                  <a:lumOff val="50000"/>
                </a:schemeClr>
              </a:solidFill>
              <a:effectLst>
                <a:glow rad="63500">
                  <a:schemeClr val="bg1">
                    <a:alpha val="70000"/>
                  </a:schemeClr>
                </a:glow>
              </a:effectLst>
            </a:rPr>
            <a:t>A</a:t>
          </a:r>
        </a:p>
        <a:p>
          <a:r>
            <a:rPr kumimoji="1" lang="en-US" altLang="ja-JP" sz="1000">
              <a:solidFill>
                <a:schemeClr val="tx1">
                  <a:lumMod val="50000"/>
                  <a:lumOff val="50000"/>
                </a:schemeClr>
              </a:solidFill>
              <a:effectLst>
                <a:glow rad="63500">
                  <a:schemeClr val="bg1">
                    <a:alpha val="70000"/>
                  </a:schemeClr>
                </a:glow>
              </a:effectLst>
            </a:rPr>
            <a:t>B+</a:t>
          </a:r>
        </a:p>
        <a:p>
          <a:r>
            <a:rPr kumimoji="1" lang="en-US" altLang="ja-JP" sz="1000">
              <a:solidFill>
                <a:schemeClr val="tx1">
                  <a:lumMod val="50000"/>
                  <a:lumOff val="50000"/>
                </a:schemeClr>
              </a:solidFill>
              <a:effectLst>
                <a:glow rad="63500">
                  <a:schemeClr val="bg1">
                    <a:alpha val="70000"/>
                  </a:schemeClr>
                </a:glow>
              </a:effectLst>
            </a:rPr>
            <a:t>B</a:t>
          </a:r>
        </a:p>
        <a:p>
          <a:r>
            <a:rPr kumimoji="1" lang="en-US" altLang="ja-JP" sz="1000">
              <a:solidFill>
                <a:schemeClr val="tx1">
                  <a:lumMod val="50000"/>
                  <a:lumOff val="50000"/>
                </a:schemeClr>
              </a:solidFill>
              <a:effectLst>
                <a:glow rad="63500">
                  <a:schemeClr val="bg1">
                    <a:alpha val="70000"/>
                  </a:schemeClr>
                </a:glow>
              </a:effectLst>
            </a:rPr>
            <a:t>B-</a:t>
          </a:r>
        </a:p>
        <a:p>
          <a:r>
            <a:rPr kumimoji="1" lang="en-US" altLang="ja-JP" sz="1000">
              <a:solidFill>
                <a:schemeClr val="tx1">
                  <a:lumMod val="50000"/>
                  <a:lumOff val="50000"/>
                </a:schemeClr>
              </a:solidFill>
              <a:effectLst>
                <a:glow rad="63500">
                  <a:schemeClr val="bg1">
                    <a:alpha val="70000"/>
                  </a:schemeClr>
                </a:glow>
              </a:effectLst>
            </a:rPr>
            <a:t>C</a:t>
          </a:r>
          <a:endParaRPr kumimoji="1" lang="ja-JP" altLang="en-US" sz="1000">
            <a:solidFill>
              <a:schemeClr val="tx1">
                <a:lumMod val="50000"/>
                <a:lumOff val="50000"/>
              </a:schemeClr>
            </a:solidFill>
            <a:effectLst>
              <a:glow rad="63500">
                <a:schemeClr val="bg1">
                  <a:alpha val="70000"/>
                </a:schemeClr>
              </a:glow>
            </a:effectLst>
          </a:endParaRPr>
        </a:p>
      </xdr:txBody>
    </xdr:sp>
    <xdr:clientData/>
  </xdr:oneCellAnchor>
  <xdr:twoCellAnchor>
    <xdr:from>
      <xdr:col>16</xdr:col>
      <xdr:colOff>373162</xdr:colOff>
      <xdr:row>17</xdr:row>
      <xdr:rowOff>34193</xdr:rowOff>
    </xdr:from>
    <xdr:to>
      <xdr:col>25</xdr:col>
      <xdr:colOff>993</xdr:colOff>
      <xdr:row>25</xdr:row>
      <xdr:rowOff>6594</xdr:rowOff>
    </xdr:to>
    <xdr:graphicFrame macro="">
      <xdr:nvGraphicFramePr>
        <xdr:cNvPr id="7" name="Chart 6">
          <a:extLst>
            <a:ext uri="{FF2B5EF4-FFF2-40B4-BE49-F238E27FC236}">
              <a16:creationId xmlns:a16="http://schemas.microsoft.com/office/drawing/2014/main" id="{CA6D9953-00B2-49A8-A3DE-5C4C2AABE7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200227</xdr:colOff>
      <xdr:row>29</xdr:row>
      <xdr:rowOff>35688</xdr:rowOff>
    </xdr:from>
    <xdr:to>
      <xdr:col>19</xdr:col>
      <xdr:colOff>393135</xdr:colOff>
      <xdr:row>37</xdr:row>
      <xdr:rowOff>216165</xdr:rowOff>
    </xdr:to>
    <xdr:graphicFrame macro="">
      <xdr:nvGraphicFramePr>
        <xdr:cNvPr id="9" name="Chart 8">
          <a:extLst>
            <a:ext uri="{FF2B5EF4-FFF2-40B4-BE49-F238E27FC236}">
              <a16:creationId xmlns:a16="http://schemas.microsoft.com/office/drawing/2014/main" id="{D736C377-E4AD-4733-A3FA-BCA1B45E57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141214</xdr:colOff>
      <xdr:row>29</xdr:row>
      <xdr:rowOff>16857</xdr:rowOff>
    </xdr:from>
    <xdr:to>
      <xdr:col>25</xdr:col>
      <xdr:colOff>330612</xdr:colOff>
      <xdr:row>37</xdr:row>
      <xdr:rowOff>216044</xdr:rowOff>
    </xdr:to>
    <xdr:graphicFrame macro="">
      <xdr:nvGraphicFramePr>
        <xdr:cNvPr id="10" name="Chart 9">
          <a:extLst>
            <a:ext uri="{FF2B5EF4-FFF2-40B4-BE49-F238E27FC236}">
              <a16:creationId xmlns:a16="http://schemas.microsoft.com/office/drawing/2014/main" id="{B19DF2AF-EBEB-4C2B-83AF-C781A9F943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16</xdr:col>
      <xdr:colOff>11367</xdr:colOff>
      <xdr:row>31</xdr:row>
      <xdr:rowOff>3174</xdr:rowOff>
    </xdr:from>
    <xdr:ext cx="230191" cy="640240"/>
    <xdr:sp macro="" textlink="">
      <xdr:nvSpPr>
        <xdr:cNvPr id="5" name="テキスト ボックス 6">
          <a:extLst>
            <a:ext uri="{FF2B5EF4-FFF2-40B4-BE49-F238E27FC236}">
              <a16:creationId xmlns:a16="http://schemas.microsoft.com/office/drawing/2014/main" id="{B6381EAD-234D-40E1-A39C-555711CCCD79}"/>
            </a:ext>
          </a:extLst>
        </xdr:cNvPr>
        <xdr:cNvSpPr txBox="1"/>
      </xdr:nvSpPr>
      <xdr:spPr>
        <a:xfrm>
          <a:off x="8154878" y="7754052"/>
          <a:ext cx="230191" cy="640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700">
              <a:solidFill>
                <a:schemeClr val="tx1">
                  <a:lumMod val="50000"/>
                  <a:lumOff val="50000"/>
                </a:schemeClr>
              </a:solidFill>
              <a:effectLst>
                <a:glow rad="63500">
                  <a:schemeClr val="bg1">
                    <a:alpha val="70000"/>
                  </a:schemeClr>
                </a:glow>
              </a:effectLst>
            </a:rPr>
            <a:t>5</a:t>
          </a:r>
        </a:p>
        <a:p>
          <a:r>
            <a:rPr kumimoji="1" lang="en-US" altLang="ja-JP" sz="700">
              <a:solidFill>
                <a:schemeClr val="tx1">
                  <a:lumMod val="50000"/>
                  <a:lumOff val="50000"/>
                </a:schemeClr>
              </a:solidFill>
              <a:effectLst>
                <a:glow rad="63500">
                  <a:schemeClr val="bg1">
                    <a:alpha val="70000"/>
                  </a:schemeClr>
                </a:glow>
              </a:effectLst>
            </a:rPr>
            <a:t>4</a:t>
          </a:r>
        </a:p>
        <a:p>
          <a:r>
            <a:rPr kumimoji="1" lang="en-US" altLang="ja-JP" sz="700">
              <a:solidFill>
                <a:schemeClr val="tx1">
                  <a:lumMod val="50000"/>
                  <a:lumOff val="50000"/>
                </a:schemeClr>
              </a:solidFill>
              <a:effectLst>
                <a:glow rad="63500">
                  <a:schemeClr val="bg1">
                    <a:alpha val="70000"/>
                  </a:schemeClr>
                </a:glow>
              </a:effectLst>
            </a:rPr>
            <a:t>3</a:t>
          </a:r>
        </a:p>
        <a:p>
          <a:r>
            <a:rPr kumimoji="1" lang="en-US" altLang="ja-JP" sz="700">
              <a:solidFill>
                <a:schemeClr val="tx1">
                  <a:lumMod val="50000"/>
                  <a:lumOff val="50000"/>
                </a:schemeClr>
              </a:solidFill>
              <a:effectLst>
                <a:glow rad="63500">
                  <a:schemeClr val="bg1">
                    <a:alpha val="70000"/>
                  </a:schemeClr>
                </a:glow>
              </a:effectLst>
            </a:rPr>
            <a:t>2</a:t>
          </a:r>
        </a:p>
        <a:p>
          <a:r>
            <a:rPr kumimoji="1" lang="en-US" altLang="ja-JP" sz="700">
              <a:solidFill>
                <a:schemeClr val="tx1">
                  <a:lumMod val="50000"/>
                  <a:lumOff val="50000"/>
                </a:schemeClr>
              </a:solidFill>
              <a:effectLst>
                <a:glow rad="63500">
                  <a:schemeClr val="bg1">
                    <a:alpha val="70000"/>
                  </a:schemeClr>
                </a:glow>
              </a:effectLst>
            </a:rPr>
            <a:t>1</a:t>
          </a:r>
        </a:p>
      </xdr:txBody>
    </xdr:sp>
    <xdr:clientData/>
  </xdr:oneCellAnchor>
  <xdr:oneCellAnchor>
    <xdr:from>
      <xdr:col>21</xdr:col>
      <xdr:colOff>27750</xdr:colOff>
      <xdr:row>31</xdr:row>
      <xdr:rowOff>24987</xdr:rowOff>
    </xdr:from>
    <xdr:ext cx="230191" cy="640240"/>
    <xdr:sp macro="" textlink="">
      <xdr:nvSpPr>
        <xdr:cNvPr id="8" name="テキスト ボックス 6">
          <a:extLst>
            <a:ext uri="{FF2B5EF4-FFF2-40B4-BE49-F238E27FC236}">
              <a16:creationId xmlns:a16="http://schemas.microsoft.com/office/drawing/2014/main" id="{0AD6FF97-4F4A-424B-9FD8-81A5A158B244}"/>
            </a:ext>
          </a:extLst>
        </xdr:cNvPr>
        <xdr:cNvSpPr txBox="1"/>
      </xdr:nvSpPr>
      <xdr:spPr>
        <a:xfrm>
          <a:off x="10897884" y="7775865"/>
          <a:ext cx="230191" cy="640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700">
              <a:solidFill>
                <a:schemeClr val="tx1">
                  <a:lumMod val="50000"/>
                  <a:lumOff val="50000"/>
                </a:schemeClr>
              </a:solidFill>
              <a:effectLst>
                <a:glow rad="63500">
                  <a:schemeClr val="bg1">
                    <a:alpha val="70000"/>
                  </a:schemeClr>
                </a:glow>
              </a:effectLst>
            </a:rPr>
            <a:t>5</a:t>
          </a:r>
        </a:p>
        <a:p>
          <a:r>
            <a:rPr kumimoji="1" lang="en-US" altLang="ja-JP" sz="700">
              <a:solidFill>
                <a:schemeClr val="tx1">
                  <a:lumMod val="50000"/>
                  <a:lumOff val="50000"/>
                </a:schemeClr>
              </a:solidFill>
              <a:effectLst>
                <a:glow rad="63500">
                  <a:schemeClr val="bg1">
                    <a:alpha val="70000"/>
                  </a:schemeClr>
                </a:glow>
              </a:effectLst>
            </a:rPr>
            <a:t>4</a:t>
          </a:r>
        </a:p>
        <a:p>
          <a:r>
            <a:rPr kumimoji="1" lang="en-US" altLang="ja-JP" sz="700">
              <a:solidFill>
                <a:schemeClr val="tx1">
                  <a:lumMod val="50000"/>
                  <a:lumOff val="50000"/>
                </a:schemeClr>
              </a:solidFill>
              <a:effectLst>
                <a:glow rad="63500">
                  <a:schemeClr val="bg1">
                    <a:alpha val="70000"/>
                  </a:schemeClr>
                </a:glow>
              </a:effectLst>
            </a:rPr>
            <a:t>3</a:t>
          </a:r>
        </a:p>
        <a:p>
          <a:r>
            <a:rPr kumimoji="1" lang="en-US" altLang="ja-JP" sz="700">
              <a:solidFill>
                <a:schemeClr val="tx1">
                  <a:lumMod val="50000"/>
                  <a:lumOff val="50000"/>
                </a:schemeClr>
              </a:solidFill>
              <a:effectLst>
                <a:glow rad="63500">
                  <a:schemeClr val="bg1">
                    <a:alpha val="70000"/>
                  </a:schemeClr>
                </a:glow>
              </a:effectLst>
            </a:rPr>
            <a:t>2</a:t>
          </a:r>
        </a:p>
        <a:p>
          <a:r>
            <a:rPr kumimoji="1" lang="en-US" altLang="ja-JP" sz="700">
              <a:solidFill>
                <a:schemeClr val="tx1">
                  <a:lumMod val="50000"/>
                  <a:lumOff val="50000"/>
                </a:schemeClr>
              </a:solidFill>
              <a:effectLst>
                <a:glow rad="63500">
                  <a:schemeClr val="bg1">
                    <a:alpha val="70000"/>
                  </a:schemeClr>
                </a:glow>
              </a:effectLst>
            </a:rPr>
            <a:t>1</a:t>
          </a:r>
        </a:p>
      </xdr:txBody>
    </xdr:sp>
    <xdr:clientData/>
  </xdr:oneCellAnchor>
  <mc:AlternateContent xmlns:mc="http://schemas.openxmlformats.org/markup-compatibility/2006">
    <mc:Choice xmlns:a14="http://schemas.microsoft.com/office/drawing/2010/main" Requires="a14">
      <xdr:twoCellAnchor editAs="oneCell">
        <xdr:from>
          <xdr:col>19</xdr:col>
          <xdr:colOff>72146</xdr:colOff>
          <xdr:row>8</xdr:row>
          <xdr:rowOff>30787</xdr:rowOff>
        </xdr:from>
        <xdr:to>
          <xdr:col>23</xdr:col>
          <xdr:colOff>474172</xdr:colOff>
          <xdr:row>15</xdr:row>
          <xdr:rowOff>217195</xdr:rowOff>
        </xdr:to>
        <xdr:pic>
          <xdr:nvPicPr>
            <xdr:cNvPr id="2" name="Picture 1">
              <a:extLst>
                <a:ext uri="{FF2B5EF4-FFF2-40B4-BE49-F238E27FC236}">
                  <a16:creationId xmlns:a16="http://schemas.microsoft.com/office/drawing/2014/main" id="{AF605368-F00F-4B7D-99B5-EF75B45EF9C0}"/>
                </a:ext>
              </a:extLst>
            </xdr:cNvPr>
            <xdr:cNvPicPr>
              <a:picLocks noChangeAspect="1" noChangeArrowheads="1"/>
              <a:extLst>
                <a:ext uri="{84589F7E-364E-4C9E-8A38-B11213B215E9}">
                  <a14:cameraTool cellRange="memo!$B$2:$D$7" spid="_x0000_s2708"/>
                </a:ext>
              </a:extLst>
            </xdr:cNvPicPr>
          </xdr:nvPicPr>
          <xdr:blipFill>
            <a:blip xmlns:r="http://schemas.openxmlformats.org/officeDocument/2006/relationships" r:embed="rId5"/>
            <a:srcRect/>
            <a:stretch>
              <a:fillRect/>
            </a:stretch>
          </xdr:blipFill>
          <xdr:spPr bwMode="auto">
            <a:xfrm>
              <a:off x="9794215" y="2609106"/>
              <a:ext cx="2626935" cy="180215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22</xdr:col>
      <xdr:colOff>256761</xdr:colOff>
      <xdr:row>2</xdr:row>
      <xdr:rowOff>104500</xdr:rowOff>
    </xdr:from>
    <xdr:to>
      <xdr:col>23</xdr:col>
      <xdr:colOff>283468</xdr:colOff>
      <xdr:row>2</xdr:row>
      <xdr:rowOff>626458</xdr:rowOff>
    </xdr:to>
    <xdr:pic>
      <xdr:nvPicPr>
        <xdr:cNvPr id="4" name="図 13">
          <a:extLst>
            <a:ext uri="{FF2B5EF4-FFF2-40B4-BE49-F238E27FC236}">
              <a16:creationId xmlns:a16="http://schemas.microsoft.com/office/drawing/2014/main" id="{CE6028BC-271F-4CE1-A442-A657CA2ACEE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1632786" y="517250"/>
          <a:ext cx="566457" cy="5187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7</xdr:col>
      <xdr:colOff>131762</xdr:colOff>
      <xdr:row>43</xdr:row>
      <xdr:rowOff>73025</xdr:rowOff>
    </xdr:from>
    <xdr:to>
      <xdr:col>11</xdr:col>
      <xdr:colOff>530225</xdr:colOff>
      <xdr:row>57</xdr:row>
      <xdr:rowOff>0</xdr:rowOff>
    </xdr:to>
    <xdr:graphicFrame macro="">
      <xdr:nvGraphicFramePr>
        <xdr:cNvPr id="2" name="Chart 1">
          <a:extLst>
            <a:ext uri="{FF2B5EF4-FFF2-40B4-BE49-F238E27FC236}">
              <a16:creationId xmlns:a16="http://schemas.microsoft.com/office/drawing/2014/main" id="{38C90173-2460-41DC-99EC-8A627DA172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76202</xdr:colOff>
      <xdr:row>43</xdr:row>
      <xdr:rowOff>66675</xdr:rowOff>
    </xdr:from>
    <xdr:to>
      <xdr:col>15</xdr:col>
      <xdr:colOff>639178</xdr:colOff>
      <xdr:row>57</xdr:row>
      <xdr:rowOff>0</xdr:rowOff>
    </xdr:to>
    <xdr:graphicFrame macro="">
      <xdr:nvGraphicFramePr>
        <xdr:cNvPr id="3" name="Chart 2">
          <a:extLst>
            <a:ext uri="{FF2B5EF4-FFF2-40B4-BE49-F238E27FC236}">
              <a16:creationId xmlns:a16="http://schemas.microsoft.com/office/drawing/2014/main" id="{B79999C0-7648-4A27-9DFB-D146BEA2DA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178511</xdr:colOff>
      <xdr:row>59</xdr:row>
      <xdr:rowOff>27371</xdr:rowOff>
    </xdr:from>
    <xdr:to>
      <xdr:col>22</xdr:col>
      <xdr:colOff>183826</xdr:colOff>
      <xdr:row>72</xdr:row>
      <xdr:rowOff>67255</xdr:rowOff>
    </xdr:to>
    <xdr:graphicFrame macro="">
      <xdr:nvGraphicFramePr>
        <xdr:cNvPr id="6" name="Chart 5">
          <a:extLst>
            <a:ext uri="{FF2B5EF4-FFF2-40B4-BE49-F238E27FC236}">
              <a16:creationId xmlns:a16="http://schemas.microsoft.com/office/drawing/2014/main" id="{C17691A9-DCDD-41DE-BE26-BDB91D0B28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463980</xdr:colOff>
      <xdr:row>59</xdr:row>
      <xdr:rowOff>15620</xdr:rowOff>
    </xdr:from>
    <xdr:to>
      <xdr:col>29</xdr:col>
      <xdr:colOff>459770</xdr:colOff>
      <xdr:row>72</xdr:row>
      <xdr:rowOff>11054</xdr:rowOff>
    </xdr:to>
    <xdr:graphicFrame macro="">
      <xdr:nvGraphicFramePr>
        <xdr:cNvPr id="7" name="Chart 6">
          <a:extLst>
            <a:ext uri="{FF2B5EF4-FFF2-40B4-BE49-F238E27FC236}">
              <a16:creationId xmlns:a16="http://schemas.microsoft.com/office/drawing/2014/main" id="{3F5DD566-2BB3-40AC-BEE3-AEE8407BB4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517196</xdr:colOff>
      <xdr:row>66</xdr:row>
      <xdr:rowOff>40727</xdr:rowOff>
    </xdr:from>
    <xdr:to>
      <xdr:col>14</xdr:col>
      <xdr:colOff>312026</xdr:colOff>
      <xdr:row>76</xdr:row>
      <xdr:rowOff>0</xdr:rowOff>
    </xdr:to>
    <xdr:graphicFrame macro="">
      <xdr:nvGraphicFramePr>
        <xdr:cNvPr id="8" name="Chart 7">
          <a:extLst>
            <a:ext uri="{FF2B5EF4-FFF2-40B4-BE49-F238E27FC236}">
              <a16:creationId xmlns:a16="http://schemas.microsoft.com/office/drawing/2014/main" id="{3B8E2A00-F726-4C29-98B9-E96989BA72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0</xdr:colOff>
      <xdr:row>43</xdr:row>
      <xdr:rowOff>0</xdr:rowOff>
    </xdr:from>
    <xdr:to>
      <xdr:col>21</xdr:col>
      <xdr:colOff>562977</xdr:colOff>
      <xdr:row>56</xdr:row>
      <xdr:rowOff>160111</xdr:rowOff>
    </xdr:to>
    <xdr:graphicFrame macro="">
      <xdr:nvGraphicFramePr>
        <xdr:cNvPr id="10" name="Chart 9">
          <a:extLst>
            <a:ext uri="{FF2B5EF4-FFF2-40B4-BE49-F238E27FC236}">
              <a16:creationId xmlns:a16="http://schemas.microsoft.com/office/drawing/2014/main" id="{33EEE4C6-DE66-47BD-A503-1C0DA8A17C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131762</xdr:colOff>
      <xdr:row>39</xdr:row>
      <xdr:rowOff>73025</xdr:rowOff>
    </xdr:from>
    <xdr:to>
      <xdr:col>11</xdr:col>
      <xdr:colOff>530225</xdr:colOff>
      <xdr:row>53</xdr:row>
      <xdr:rowOff>0</xdr:rowOff>
    </xdr:to>
    <xdr:graphicFrame macro="">
      <xdr:nvGraphicFramePr>
        <xdr:cNvPr id="2" name="Chart 1">
          <a:extLst>
            <a:ext uri="{FF2B5EF4-FFF2-40B4-BE49-F238E27FC236}">
              <a16:creationId xmlns:a16="http://schemas.microsoft.com/office/drawing/2014/main" id="{6C1C0A0C-C7C7-3205-972F-C728A52E27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76202</xdr:colOff>
      <xdr:row>39</xdr:row>
      <xdr:rowOff>66675</xdr:rowOff>
    </xdr:from>
    <xdr:to>
      <xdr:col>15</xdr:col>
      <xdr:colOff>639178</xdr:colOff>
      <xdr:row>53</xdr:row>
      <xdr:rowOff>0</xdr:rowOff>
    </xdr:to>
    <xdr:graphicFrame macro="">
      <xdr:nvGraphicFramePr>
        <xdr:cNvPr id="3" name="Chart 2">
          <a:extLst>
            <a:ext uri="{FF2B5EF4-FFF2-40B4-BE49-F238E27FC236}">
              <a16:creationId xmlns:a16="http://schemas.microsoft.com/office/drawing/2014/main" id="{1973BBA7-55F4-432E-A37E-C9F7906CFA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490978</xdr:colOff>
      <xdr:row>76</xdr:row>
      <xdr:rowOff>50704</xdr:rowOff>
    </xdr:from>
    <xdr:to>
      <xdr:col>13</xdr:col>
      <xdr:colOff>244081</xdr:colOff>
      <xdr:row>89</xdr:row>
      <xdr:rowOff>0</xdr:rowOff>
    </xdr:to>
    <xdr:graphicFrame macro="">
      <xdr:nvGraphicFramePr>
        <xdr:cNvPr id="4" name="Chart 3">
          <a:extLst>
            <a:ext uri="{FF2B5EF4-FFF2-40B4-BE49-F238E27FC236}">
              <a16:creationId xmlns:a16="http://schemas.microsoft.com/office/drawing/2014/main" id="{8DCF8FFD-E973-48B8-9155-B6F6387751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438592</xdr:colOff>
      <xdr:row>76</xdr:row>
      <xdr:rowOff>41179</xdr:rowOff>
    </xdr:from>
    <xdr:to>
      <xdr:col>18</xdr:col>
      <xdr:colOff>182169</xdr:colOff>
      <xdr:row>89</xdr:row>
      <xdr:rowOff>0</xdr:rowOff>
    </xdr:to>
    <xdr:graphicFrame macro="">
      <xdr:nvGraphicFramePr>
        <xdr:cNvPr id="5" name="Chart 4">
          <a:extLst>
            <a:ext uri="{FF2B5EF4-FFF2-40B4-BE49-F238E27FC236}">
              <a16:creationId xmlns:a16="http://schemas.microsoft.com/office/drawing/2014/main" id="{6412E900-F730-4544-A63C-0AAFD4629A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529068</xdr:colOff>
      <xdr:row>56</xdr:row>
      <xdr:rowOff>94606</xdr:rowOff>
    </xdr:from>
    <xdr:to>
      <xdr:col>24</xdr:col>
      <xdr:colOff>531209</xdr:colOff>
      <xdr:row>69</xdr:row>
      <xdr:rowOff>134490</xdr:rowOff>
    </xdr:to>
    <xdr:graphicFrame macro="">
      <xdr:nvGraphicFramePr>
        <xdr:cNvPr id="6" name="Chart 5">
          <a:extLst>
            <a:ext uri="{FF2B5EF4-FFF2-40B4-BE49-F238E27FC236}">
              <a16:creationId xmlns:a16="http://schemas.microsoft.com/office/drawing/2014/main" id="{AFA34DD0-4D68-5C81-F446-5EA2DFD9E3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46187</xdr:colOff>
      <xdr:row>56</xdr:row>
      <xdr:rowOff>186883</xdr:rowOff>
    </xdr:from>
    <xdr:to>
      <xdr:col>32</xdr:col>
      <xdr:colOff>48328</xdr:colOff>
      <xdr:row>69</xdr:row>
      <xdr:rowOff>226767</xdr:rowOff>
    </xdr:to>
    <xdr:graphicFrame macro="">
      <xdr:nvGraphicFramePr>
        <xdr:cNvPr id="7" name="Chart 6">
          <a:extLst>
            <a:ext uri="{FF2B5EF4-FFF2-40B4-BE49-F238E27FC236}">
              <a16:creationId xmlns:a16="http://schemas.microsoft.com/office/drawing/2014/main" id="{04D34E20-20C6-BA76-BE97-F181734212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517196</xdr:colOff>
      <xdr:row>62</xdr:row>
      <xdr:rowOff>40727</xdr:rowOff>
    </xdr:from>
    <xdr:to>
      <xdr:col>14</xdr:col>
      <xdr:colOff>312026</xdr:colOff>
      <xdr:row>72</xdr:row>
      <xdr:rowOff>98534</xdr:rowOff>
    </xdr:to>
    <xdr:graphicFrame macro="">
      <xdr:nvGraphicFramePr>
        <xdr:cNvPr id="9" name="Chart 8">
          <a:extLst>
            <a:ext uri="{FF2B5EF4-FFF2-40B4-BE49-F238E27FC236}">
              <a16:creationId xmlns:a16="http://schemas.microsoft.com/office/drawing/2014/main" id="{FEAD5F07-7C2D-9838-5056-4749CE353C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0</xdr:colOff>
      <xdr:row>99</xdr:row>
      <xdr:rowOff>0</xdr:rowOff>
    </xdr:from>
    <xdr:to>
      <xdr:col>14</xdr:col>
      <xdr:colOff>458610</xdr:colOff>
      <xdr:row>109</xdr:row>
      <xdr:rowOff>60981</xdr:rowOff>
    </xdr:to>
    <xdr:graphicFrame macro="">
      <xdr:nvGraphicFramePr>
        <xdr:cNvPr id="11" name="Chart 10">
          <a:extLst>
            <a:ext uri="{FF2B5EF4-FFF2-40B4-BE49-F238E27FC236}">
              <a16:creationId xmlns:a16="http://schemas.microsoft.com/office/drawing/2014/main" id="{52E5A531-C7A5-4BF3-AA46-3EA4F595D9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0</xdr:colOff>
      <xdr:row>39</xdr:row>
      <xdr:rowOff>0</xdr:rowOff>
    </xdr:from>
    <xdr:to>
      <xdr:col>21</xdr:col>
      <xdr:colOff>562977</xdr:colOff>
      <xdr:row>52</xdr:row>
      <xdr:rowOff>160111</xdr:rowOff>
    </xdr:to>
    <xdr:graphicFrame macro="">
      <xdr:nvGraphicFramePr>
        <xdr:cNvPr id="12" name="Chart 11">
          <a:extLst>
            <a:ext uri="{FF2B5EF4-FFF2-40B4-BE49-F238E27FC236}">
              <a16:creationId xmlns:a16="http://schemas.microsoft.com/office/drawing/2014/main" id="{14262842-81C1-452D-9D71-6AFD1E33E9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0</xdr:colOff>
      <xdr:row>76</xdr:row>
      <xdr:rowOff>0</xdr:rowOff>
    </xdr:from>
    <xdr:to>
      <xdr:col>24</xdr:col>
      <xdr:colOff>398080</xdr:colOff>
      <xdr:row>88</xdr:row>
      <xdr:rowOff>185607</xdr:rowOff>
    </xdr:to>
    <xdr:graphicFrame macro="">
      <xdr:nvGraphicFramePr>
        <xdr:cNvPr id="13" name="Chart 12">
          <a:extLst>
            <a:ext uri="{FF2B5EF4-FFF2-40B4-BE49-F238E27FC236}">
              <a16:creationId xmlns:a16="http://schemas.microsoft.com/office/drawing/2014/main" id="{453533F9-9DBC-4573-BE31-B78C3C3CAB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320675</xdr:colOff>
      <xdr:row>1</xdr:row>
      <xdr:rowOff>92075</xdr:rowOff>
    </xdr:from>
    <xdr:to>
      <xdr:col>8</xdr:col>
      <xdr:colOff>314285</xdr:colOff>
      <xdr:row>5</xdr:row>
      <xdr:rowOff>304951</xdr:rowOff>
    </xdr:to>
    <xdr:pic>
      <xdr:nvPicPr>
        <xdr:cNvPr id="2" name="Picture 1">
          <a:extLst>
            <a:ext uri="{FF2B5EF4-FFF2-40B4-BE49-F238E27FC236}">
              <a16:creationId xmlns:a16="http://schemas.microsoft.com/office/drawing/2014/main" id="{8209A7EC-2B49-438E-80FC-C95B049FBCCA}"/>
            </a:ext>
          </a:extLst>
        </xdr:cNvPr>
        <xdr:cNvPicPr>
          <a:picLocks noChangeAspect="1"/>
        </xdr:cNvPicPr>
      </xdr:nvPicPr>
      <xdr:blipFill>
        <a:blip xmlns:r="http://schemas.openxmlformats.org/officeDocument/2006/relationships" r:embed="rId1"/>
        <a:stretch>
          <a:fillRect/>
        </a:stretch>
      </xdr:blipFill>
      <xdr:spPr>
        <a:xfrm>
          <a:off x="5121275" y="273050"/>
          <a:ext cx="2625685" cy="182260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186A7-64CC-428C-B77D-7D3A75E7F15B}">
  <sheetPr codeName="Sheet7">
    <tabColor rgb="FFFFFF00"/>
    <pageSetUpPr fitToPage="1"/>
  </sheetPr>
  <dimension ref="B1:Y47"/>
  <sheetViews>
    <sheetView topLeftCell="A3" zoomScale="85" zoomScaleNormal="85" zoomScaleSheetLayoutView="85" workbookViewId="0">
      <selection activeCell="AA4" sqref="AA4"/>
    </sheetView>
  </sheetViews>
  <sheetFormatPr defaultColWidth="8.5703125" defaultRowHeight="14.45"/>
  <cols>
    <col min="1" max="2" width="3.42578125" style="126" customWidth="1"/>
    <col min="3" max="24" width="7.140625" style="126" customWidth="1"/>
    <col min="25" max="25" width="1.42578125" style="126" customWidth="1"/>
    <col min="26" max="16384" width="8.5703125" style="126"/>
  </cols>
  <sheetData>
    <row r="1" spans="2:25">
      <c r="X1" s="127" t="s">
        <v>0</v>
      </c>
    </row>
    <row r="2" spans="2:25" ht="18" customHeight="1">
      <c r="B2" s="128"/>
      <c r="C2" s="128"/>
      <c r="D2" s="128"/>
      <c r="E2" s="128"/>
      <c r="F2" s="128"/>
      <c r="G2" s="128"/>
      <c r="H2" s="128"/>
      <c r="I2" s="128"/>
      <c r="J2" s="128"/>
      <c r="K2" s="128"/>
      <c r="L2" s="128"/>
      <c r="M2" s="128"/>
      <c r="N2" s="128"/>
      <c r="O2" s="128"/>
      <c r="P2" s="128"/>
      <c r="Q2" s="128"/>
      <c r="S2" s="397"/>
      <c r="T2" s="397"/>
      <c r="U2" s="397"/>
      <c r="V2" s="397"/>
      <c r="W2" s="398" t="s">
        <v>1</v>
      </c>
      <c r="X2" s="399"/>
    </row>
    <row r="3" spans="2:25" ht="60.95" customHeight="1">
      <c r="B3" s="401" t="s">
        <v>2</v>
      </c>
      <c r="C3" s="402"/>
      <c r="D3" s="402"/>
      <c r="E3" s="402"/>
      <c r="F3" s="402"/>
      <c r="G3" s="402"/>
      <c r="H3" s="402"/>
      <c r="I3" s="402"/>
      <c r="J3" s="402"/>
      <c r="K3" s="402"/>
      <c r="L3" s="402"/>
      <c r="M3" s="402"/>
      <c r="N3" s="402"/>
      <c r="O3" s="402"/>
      <c r="P3" s="402"/>
      <c r="Q3" s="402"/>
      <c r="R3" s="402"/>
      <c r="S3" s="402"/>
      <c r="T3" s="402"/>
      <c r="U3" s="397"/>
      <c r="V3" s="397"/>
      <c r="W3" s="400"/>
      <c r="X3" s="400"/>
    </row>
    <row r="4" spans="2:25" s="130" customFormat="1" ht="19.5" customHeight="1">
      <c r="B4" s="403" t="s">
        <v>3</v>
      </c>
      <c r="C4" s="403"/>
      <c r="D4" s="404"/>
      <c r="E4" s="404"/>
      <c r="F4" s="404"/>
      <c r="G4" s="403" t="s">
        <v>4</v>
      </c>
      <c r="H4" s="403"/>
      <c r="I4" s="403"/>
      <c r="J4" s="405"/>
      <c r="K4" s="405"/>
      <c r="L4" s="405"/>
      <c r="M4" s="405"/>
      <c r="N4" s="405"/>
      <c r="O4" s="405"/>
    </row>
    <row r="5" spans="2:25" ht="18" customHeight="1" thickBot="1">
      <c r="B5" s="128"/>
      <c r="C5" s="128"/>
      <c r="D5" s="128"/>
      <c r="E5" s="128"/>
      <c r="F5" s="128"/>
      <c r="G5" s="128"/>
      <c r="H5" s="128"/>
      <c r="I5" s="128"/>
      <c r="J5" s="128"/>
      <c r="K5" s="128"/>
      <c r="L5" s="128"/>
      <c r="M5" s="128"/>
      <c r="N5" s="128"/>
      <c r="O5" s="128"/>
      <c r="P5" s="128"/>
      <c r="Q5" s="128"/>
      <c r="R5" s="128"/>
      <c r="S5" s="128"/>
      <c r="T5" s="128"/>
      <c r="U5" s="128"/>
      <c r="V5" s="128"/>
      <c r="W5" s="128"/>
      <c r="X5" s="128"/>
      <c r="Y5" s="128"/>
    </row>
    <row r="6" spans="2:25">
      <c r="B6" s="131" t="s">
        <v>5</v>
      </c>
      <c r="C6" s="132"/>
      <c r="D6" s="132"/>
      <c r="E6" s="132"/>
      <c r="F6" s="132"/>
      <c r="G6" s="132"/>
      <c r="H6" s="132"/>
      <c r="I6" s="132"/>
      <c r="J6" s="132"/>
      <c r="K6" s="132"/>
      <c r="L6" s="132"/>
      <c r="M6" s="132"/>
      <c r="N6" s="132"/>
      <c r="O6" s="132"/>
      <c r="P6" s="132"/>
      <c r="Q6" s="132"/>
      <c r="R6" s="132"/>
      <c r="S6" s="132"/>
      <c r="T6" s="132"/>
      <c r="U6" s="132"/>
      <c r="V6" s="132"/>
      <c r="W6" s="132"/>
      <c r="X6" s="132"/>
      <c r="Y6" s="133"/>
    </row>
    <row r="7" spans="2:25">
      <c r="B7" s="355"/>
      <c r="C7" s="137"/>
      <c r="D7" s="137"/>
      <c r="E7" s="137"/>
      <c r="F7" s="137"/>
      <c r="G7" s="137"/>
      <c r="H7" s="137"/>
      <c r="I7" s="137"/>
      <c r="J7" s="137"/>
      <c r="K7" s="137"/>
      <c r="L7" s="137"/>
      <c r="M7" s="137"/>
      <c r="N7" s="137"/>
      <c r="O7" s="137"/>
      <c r="P7" s="137"/>
      <c r="Q7" s="137"/>
      <c r="R7" s="137"/>
      <c r="S7" s="137"/>
      <c r="T7" s="137"/>
      <c r="U7" s="137"/>
      <c r="V7" s="137"/>
      <c r="W7" s="137"/>
      <c r="X7" s="137"/>
      <c r="Y7" s="135"/>
    </row>
    <row r="8" spans="2:25">
      <c r="B8" s="355"/>
      <c r="C8" s="406" t="s">
        <v>6</v>
      </c>
      <c r="D8" s="407"/>
      <c r="E8" s="407"/>
      <c r="F8" s="407"/>
      <c r="G8" s="407"/>
      <c r="H8" s="407"/>
      <c r="I8" s="408"/>
      <c r="J8" s="412">
        <v>2025</v>
      </c>
      <c r="K8" s="412"/>
      <c r="L8" s="412">
        <v>2028</v>
      </c>
      <c r="M8" s="412"/>
      <c r="N8" s="137"/>
      <c r="O8" s="413" t="s">
        <v>7</v>
      </c>
      <c r="P8" s="414"/>
      <c r="Q8" s="414"/>
      <c r="R8" s="414"/>
      <c r="S8" s="415"/>
      <c r="T8" s="137"/>
      <c r="U8" s="137"/>
      <c r="V8" s="137"/>
      <c r="W8" s="137"/>
      <c r="X8" s="137"/>
      <c r="Y8" s="135"/>
    </row>
    <row r="9" spans="2:25">
      <c r="B9" s="355"/>
      <c r="C9" s="409"/>
      <c r="D9" s="410"/>
      <c r="E9" s="410"/>
      <c r="F9" s="410"/>
      <c r="G9" s="410"/>
      <c r="H9" s="410"/>
      <c r="I9" s="411"/>
      <c r="J9" s="362" t="s">
        <v>8</v>
      </c>
      <c r="K9" s="362" t="s">
        <v>9</v>
      </c>
      <c r="L9" s="362" t="s">
        <v>8</v>
      </c>
      <c r="M9" s="362" t="s">
        <v>9</v>
      </c>
      <c r="N9" s="137"/>
      <c r="O9" s="416"/>
      <c r="P9" s="417"/>
      <c r="Q9" s="417"/>
      <c r="R9" s="417"/>
      <c r="S9" s="418"/>
      <c r="T9" s="137"/>
      <c r="U9" s="137"/>
      <c r="V9" s="137"/>
      <c r="W9" s="137"/>
      <c r="X9" s="137"/>
      <c r="Y9" s="135"/>
    </row>
    <row r="10" spans="2:25">
      <c r="B10" s="355"/>
      <c r="C10" s="425"/>
      <c r="D10" s="426"/>
      <c r="E10" s="426"/>
      <c r="F10" s="338"/>
      <c r="G10" s="339"/>
      <c r="H10" s="357"/>
      <c r="I10" s="358" t="s">
        <v>10</v>
      </c>
      <c r="J10" s="363">
        <f>Cal!D47</f>
        <v>4.833333333333333</v>
      </c>
      <c r="K10" s="364" t="str">
        <f>IF(J10&lt;2,"C",IF(J10&lt;3,"B-",IF(J10&lt;4,"B",IF(J10&lt;5,"B+",IF(J10=5,"A","")))))</f>
        <v>B+</v>
      </c>
      <c r="L10" s="359"/>
      <c r="M10" s="356"/>
      <c r="N10" s="137"/>
      <c r="O10" s="419"/>
      <c r="P10" s="420"/>
      <c r="Q10" s="420"/>
      <c r="R10" s="420"/>
      <c r="S10" s="421"/>
      <c r="T10" s="137"/>
      <c r="U10" s="137"/>
      <c r="V10" s="137"/>
      <c r="W10" s="137"/>
      <c r="X10" s="137"/>
      <c r="Y10" s="135"/>
    </row>
    <row r="11" spans="2:25">
      <c r="B11" s="355"/>
      <c r="C11" s="340"/>
      <c r="D11" s="450" t="s">
        <v>11</v>
      </c>
      <c r="E11" s="429" t="s">
        <v>12</v>
      </c>
      <c r="F11" s="430"/>
      <c r="G11" s="430"/>
      <c r="H11" s="431" t="s">
        <v>13</v>
      </c>
      <c r="I11" s="432"/>
      <c r="J11" s="363">
        <f>Cal!D46</f>
        <v>4.5</v>
      </c>
      <c r="K11" s="364" t="str">
        <f>IF(J11=5,"A",IF(J11&gt;=4,"B+",IF(J11&gt;=3,"B",IF(J11&gt;=2,"B-",IF(J11&gt;=1, "C","-")))))</f>
        <v>B+</v>
      </c>
      <c r="L11" s="359"/>
      <c r="M11" s="356"/>
      <c r="N11" s="137"/>
      <c r="O11" s="419"/>
      <c r="P11" s="420"/>
      <c r="Q11" s="420"/>
      <c r="R11" s="420"/>
      <c r="S11" s="421"/>
      <c r="T11" s="137"/>
      <c r="U11" s="137"/>
      <c r="V11" s="137"/>
      <c r="W11" s="137"/>
      <c r="X11" s="137"/>
      <c r="Y11" s="135"/>
    </row>
    <row r="12" spans="2:25" ht="18" customHeight="1">
      <c r="B12" s="355"/>
      <c r="C12" s="340"/>
      <c r="D12" s="450"/>
      <c r="E12" s="429"/>
      <c r="F12" s="430"/>
      <c r="G12" s="430"/>
      <c r="H12" s="433" t="s">
        <v>14</v>
      </c>
      <c r="I12" s="360" t="s">
        <v>15</v>
      </c>
      <c r="J12" s="427">
        <f>Cal!E61</f>
        <v>7</v>
      </c>
      <c r="K12" s="427"/>
      <c r="L12" s="428"/>
      <c r="M12" s="428"/>
      <c r="N12" s="137"/>
      <c r="O12" s="419"/>
      <c r="P12" s="420"/>
      <c r="Q12" s="420"/>
      <c r="R12" s="420"/>
      <c r="S12" s="421"/>
      <c r="T12" s="137"/>
      <c r="U12" s="137"/>
      <c r="V12" s="137"/>
      <c r="W12" s="137"/>
      <c r="X12" s="137"/>
      <c r="Y12" s="135"/>
    </row>
    <row r="13" spans="2:25">
      <c r="B13" s="355"/>
      <c r="C13" s="340"/>
      <c r="D13" s="450"/>
      <c r="E13" s="429"/>
      <c r="F13" s="430"/>
      <c r="G13" s="430"/>
      <c r="H13" s="434"/>
      <c r="I13" s="360" t="s">
        <v>16</v>
      </c>
      <c r="J13" s="427">
        <f>Cal!E62</f>
        <v>0</v>
      </c>
      <c r="K13" s="427"/>
      <c r="L13" s="428"/>
      <c r="M13" s="428"/>
      <c r="N13" s="137"/>
      <c r="O13" s="419"/>
      <c r="P13" s="420"/>
      <c r="Q13" s="420"/>
      <c r="R13" s="420"/>
      <c r="S13" s="421"/>
      <c r="T13" s="137"/>
      <c r="U13" s="137"/>
      <c r="V13" s="137"/>
      <c r="W13" s="137"/>
      <c r="X13" s="137"/>
      <c r="Y13" s="135"/>
    </row>
    <row r="14" spans="2:25">
      <c r="B14" s="355"/>
      <c r="C14" s="341"/>
      <c r="D14" s="450"/>
      <c r="E14" s="429"/>
      <c r="F14" s="430"/>
      <c r="G14" s="430"/>
      <c r="H14" s="434"/>
      <c r="I14" s="360" t="s">
        <v>17</v>
      </c>
      <c r="J14" s="427">
        <f>Cal!E63</f>
        <v>0</v>
      </c>
      <c r="K14" s="427"/>
      <c r="L14" s="428"/>
      <c r="M14" s="428"/>
      <c r="N14" s="137"/>
      <c r="O14" s="419"/>
      <c r="P14" s="420"/>
      <c r="Q14" s="420"/>
      <c r="R14" s="420"/>
      <c r="S14" s="421"/>
      <c r="T14" s="137"/>
      <c r="U14" s="137"/>
      <c r="V14" s="137"/>
      <c r="W14" s="137"/>
      <c r="X14" s="137"/>
      <c r="Y14" s="135"/>
    </row>
    <row r="15" spans="2:25">
      <c r="B15" s="355"/>
      <c r="C15" s="341"/>
      <c r="D15" s="450"/>
      <c r="E15" s="429"/>
      <c r="F15" s="430"/>
      <c r="G15" s="430"/>
      <c r="H15" s="435"/>
      <c r="I15" s="360" t="s">
        <v>18</v>
      </c>
      <c r="J15" s="427">
        <f>Cal!E64</f>
        <v>1</v>
      </c>
      <c r="K15" s="427"/>
      <c r="L15" s="428"/>
      <c r="M15" s="428"/>
      <c r="N15" s="137"/>
      <c r="O15" s="419"/>
      <c r="P15" s="420"/>
      <c r="Q15" s="420"/>
      <c r="R15" s="420"/>
      <c r="S15" s="421"/>
      <c r="T15" s="137"/>
      <c r="U15" s="137"/>
      <c r="V15" s="137"/>
      <c r="W15" s="137"/>
      <c r="X15" s="137"/>
      <c r="Y15" s="135"/>
    </row>
    <row r="16" spans="2:25">
      <c r="B16" s="355"/>
      <c r="C16" s="341"/>
      <c r="D16" s="450"/>
      <c r="E16" s="429" t="s">
        <v>19</v>
      </c>
      <c r="F16" s="430"/>
      <c r="G16" s="430"/>
      <c r="H16" s="431" t="s">
        <v>13</v>
      </c>
      <c r="I16" s="432"/>
      <c r="J16" s="363">
        <f>Cal!D44</f>
        <v>5</v>
      </c>
      <c r="K16" s="364" t="str">
        <f>IF(J16=5,"A",IF(J16&gt;=4,"B+",IF(J16&gt;=3,"B",IF(J16&gt;=2,"B-",IF(J16&gt;=1, "C","-")))))</f>
        <v>A</v>
      </c>
      <c r="L16" s="359"/>
      <c r="M16" s="356"/>
      <c r="N16" s="137"/>
      <c r="O16" s="419"/>
      <c r="P16" s="420"/>
      <c r="Q16" s="420"/>
      <c r="R16" s="420"/>
      <c r="S16" s="421"/>
      <c r="T16" s="137"/>
      <c r="U16" s="137"/>
      <c r="V16" s="137"/>
      <c r="W16" s="137"/>
      <c r="X16" s="137"/>
      <c r="Y16" s="135"/>
    </row>
    <row r="17" spans="2:25" ht="18" customHeight="1">
      <c r="B17" s="355"/>
      <c r="C17" s="341"/>
      <c r="D17" s="450"/>
      <c r="E17" s="429"/>
      <c r="F17" s="430"/>
      <c r="G17" s="430"/>
      <c r="H17" s="433" t="s">
        <v>14</v>
      </c>
      <c r="I17" s="360" t="s">
        <v>15</v>
      </c>
      <c r="J17" s="427">
        <f>Cal!E67</f>
        <v>5</v>
      </c>
      <c r="K17" s="427"/>
      <c r="L17" s="428"/>
      <c r="M17" s="428"/>
      <c r="N17" s="137"/>
      <c r="O17" s="422"/>
      <c r="P17" s="423"/>
      <c r="Q17" s="423"/>
      <c r="R17" s="423"/>
      <c r="S17" s="424"/>
      <c r="T17" s="137"/>
      <c r="U17" s="137"/>
      <c r="V17" s="137"/>
      <c r="W17" s="137"/>
      <c r="X17" s="137"/>
      <c r="Y17" s="135"/>
    </row>
    <row r="18" spans="2:25">
      <c r="B18" s="355"/>
      <c r="C18" s="341"/>
      <c r="D18" s="450"/>
      <c r="E18" s="429"/>
      <c r="F18" s="430"/>
      <c r="G18" s="430"/>
      <c r="H18" s="434"/>
      <c r="I18" s="360" t="s">
        <v>16</v>
      </c>
      <c r="J18" s="427">
        <f>Cal!E68</f>
        <v>0</v>
      </c>
      <c r="K18" s="427"/>
      <c r="L18" s="428"/>
      <c r="M18" s="428"/>
      <c r="N18" s="137"/>
      <c r="O18" s="413" t="s">
        <v>14</v>
      </c>
      <c r="P18" s="414"/>
      <c r="Q18" s="414"/>
      <c r="R18" s="414"/>
      <c r="S18" s="414"/>
      <c r="T18" s="414"/>
      <c r="U18" s="414"/>
      <c r="V18" s="414"/>
      <c r="W18" s="414"/>
      <c r="X18" s="415"/>
      <c r="Y18" s="135"/>
    </row>
    <row r="19" spans="2:25">
      <c r="B19" s="355"/>
      <c r="C19" s="341"/>
      <c r="D19" s="450"/>
      <c r="E19" s="429"/>
      <c r="F19" s="430"/>
      <c r="G19" s="430"/>
      <c r="H19" s="434"/>
      <c r="I19" s="360" t="s">
        <v>17</v>
      </c>
      <c r="J19" s="427">
        <f>Cal!E69</f>
        <v>0</v>
      </c>
      <c r="K19" s="427"/>
      <c r="L19" s="428"/>
      <c r="M19" s="428"/>
      <c r="N19" s="137"/>
      <c r="O19" s="344" t="s">
        <v>20</v>
      </c>
      <c r="P19" s="345"/>
      <c r="Q19" s="346">
        <v>2028</v>
      </c>
      <c r="R19" s="417"/>
      <c r="S19" s="417"/>
      <c r="T19" s="417"/>
      <c r="U19" s="417"/>
      <c r="V19" s="417"/>
      <c r="W19" s="417"/>
      <c r="X19" s="418"/>
      <c r="Y19" s="135"/>
    </row>
    <row r="20" spans="2:25">
      <c r="B20" s="355"/>
      <c r="C20" s="341"/>
      <c r="D20" s="450"/>
      <c r="E20" s="429"/>
      <c r="F20" s="430"/>
      <c r="G20" s="430"/>
      <c r="H20" s="435"/>
      <c r="I20" s="360" t="s">
        <v>18</v>
      </c>
      <c r="J20" s="427">
        <f>Cal!E70</f>
        <v>0</v>
      </c>
      <c r="K20" s="427"/>
      <c r="L20" s="428"/>
      <c r="M20" s="428"/>
      <c r="N20" s="137"/>
      <c r="O20" s="347"/>
      <c r="P20" s="348"/>
      <c r="Q20" s="349">
        <v>2025</v>
      </c>
      <c r="R20" s="420"/>
      <c r="S20" s="420"/>
      <c r="T20" s="420"/>
      <c r="U20" s="420"/>
      <c r="V20" s="420"/>
      <c r="W20" s="420"/>
      <c r="X20" s="421"/>
      <c r="Y20" s="135"/>
    </row>
    <row r="21" spans="2:25">
      <c r="B21" s="355"/>
      <c r="C21" s="341"/>
      <c r="D21" s="450"/>
      <c r="E21" s="429" t="s">
        <v>21</v>
      </c>
      <c r="F21" s="430"/>
      <c r="G21" s="430"/>
      <c r="H21" s="431" t="s">
        <v>13</v>
      </c>
      <c r="I21" s="432"/>
      <c r="J21" s="363">
        <f>Cal!D45</f>
        <v>5</v>
      </c>
      <c r="K21" s="364" t="str">
        <f>IF(J21=5,"A",IF(J21&gt;=4,"B+",IF(J21&gt;=3,"B",IF(J21&gt;=2,"B-",IF(J21&gt;=1, "C","-")))))</f>
        <v>A</v>
      </c>
      <c r="L21" s="359"/>
      <c r="M21" s="356"/>
      <c r="N21" s="137"/>
      <c r="O21" s="344" t="s">
        <v>22</v>
      </c>
      <c r="P21" s="137"/>
      <c r="Q21" s="346">
        <v>2028</v>
      </c>
      <c r="R21" s="420"/>
      <c r="S21" s="420"/>
      <c r="T21" s="420"/>
      <c r="U21" s="420"/>
      <c r="V21" s="420"/>
      <c r="W21" s="420"/>
      <c r="X21" s="421"/>
      <c r="Y21" s="135"/>
    </row>
    <row r="22" spans="2:25" ht="18" customHeight="1">
      <c r="B22" s="355"/>
      <c r="C22" s="341"/>
      <c r="D22" s="450"/>
      <c r="E22" s="429"/>
      <c r="F22" s="430"/>
      <c r="G22" s="430"/>
      <c r="H22" s="433" t="s">
        <v>14</v>
      </c>
      <c r="I22" s="360" t="s">
        <v>15</v>
      </c>
      <c r="J22" s="427">
        <f>Cal!E73</f>
        <v>15</v>
      </c>
      <c r="K22" s="427"/>
      <c r="L22" s="428"/>
      <c r="M22" s="428"/>
      <c r="N22" s="137"/>
      <c r="O22" s="347"/>
      <c r="P22" s="351"/>
      <c r="Q22" s="349">
        <v>2025</v>
      </c>
      <c r="R22" s="420"/>
      <c r="S22" s="420"/>
      <c r="T22" s="420"/>
      <c r="U22" s="420"/>
      <c r="V22" s="420"/>
      <c r="W22" s="420"/>
      <c r="X22" s="421"/>
      <c r="Y22" s="135"/>
    </row>
    <row r="23" spans="2:25">
      <c r="B23" s="355"/>
      <c r="C23" s="341"/>
      <c r="D23" s="450"/>
      <c r="E23" s="429"/>
      <c r="F23" s="430"/>
      <c r="G23" s="430"/>
      <c r="H23" s="434"/>
      <c r="I23" s="360" t="s">
        <v>16</v>
      </c>
      <c r="J23" s="427">
        <f>Cal!E74</f>
        <v>0</v>
      </c>
      <c r="K23" s="427"/>
      <c r="L23" s="428"/>
      <c r="M23" s="428"/>
      <c r="N23" s="137"/>
      <c r="O23" s="344" t="s">
        <v>23</v>
      </c>
      <c r="P23" s="137"/>
      <c r="Q23" s="346">
        <v>2028</v>
      </c>
      <c r="R23" s="420"/>
      <c r="S23" s="420"/>
      <c r="T23" s="420"/>
      <c r="U23" s="420"/>
      <c r="V23" s="420"/>
      <c r="W23" s="420"/>
      <c r="X23" s="421"/>
      <c r="Y23" s="135"/>
    </row>
    <row r="24" spans="2:25">
      <c r="B24" s="355"/>
      <c r="C24" s="341"/>
      <c r="D24" s="450"/>
      <c r="E24" s="429"/>
      <c r="F24" s="430"/>
      <c r="G24" s="430"/>
      <c r="H24" s="434"/>
      <c r="I24" s="360" t="s">
        <v>17</v>
      </c>
      <c r="J24" s="427">
        <f>Cal!E75</f>
        <v>0</v>
      </c>
      <c r="K24" s="427"/>
      <c r="L24" s="428"/>
      <c r="M24" s="428"/>
      <c r="N24" s="137"/>
      <c r="O24" s="347"/>
      <c r="P24" s="351"/>
      <c r="Q24" s="349">
        <v>2025</v>
      </c>
      <c r="R24" s="436"/>
      <c r="S24" s="436"/>
      <c r="T24" s="436"/>
      <c r="U24" s="436"/>
      <c r="V24" s="436"/>
      <c r="W24" s="436"/>
      <c r="X24" s="437"/>
      <c r="Y24" s="135"/>
    </row>
    <row r="25" spans="2:25">
      <c r="B25" s="355"/>
      <c r="C25" s="342"/>
      <c r="D25" s="450"/>
      <c r="E25" s="429"/>
      <c r="F25" s="430"/>
      <c r="G25" s="430"/>
      <c r="H25" s="435"/>
      <c r="I25" s="361" t="s">
        <v>18</v>
      </c>
      <c r="J25" s="427">
        <f>Cal!E76</f>
        <v>0</v>
      </c>
      <c r="K25" s="427"/>
      <c r="L25" s="428"/>
      <c r="M25" s="428"/>
      <c r="N25" s="137"/>
      <c r="O25" s="352"/>
      <c r="P25" s="353"/>
      <c r="Q25" s="353"/>
      <c r="R25" s="353"/>
      <c r="S25" s="353"/>
      <c r="T25" s="353"/>
      <c r="U25" s="353"/>
      <c r="V25" s="353"/>
      <c r="W25" s="353"/>
      <c r="X25" s="354"/>
      <c r="Y25" s="135"/>
    </row>
    <row r="26" spans="2:25" ht="15" thickBot="1">
      <c r="B26" s="134"/>
      <c r="Y26" s="135"/>
    </row>
    <row r="27" spans="2:25">
      <c r="B27" s="131" t="s">
        <v>24</v>
      </c>
      <c r="C27" s="132"/>
      <c r="D27" s="132"/>
      <c r="E27" s="132"/>
      <c r="F27" s="132"/>
      <c r="G27" s="132"/>
      <c r="H27" s="132"/>
      <c r="I27" s="132"/>
      <c r="J27" s="132"/>
      <c r="K27" s="132"/>
      <c r="L27" s="132"/>
      <c r="M27" s="132"/>
      <c r="N27" s="132"/>
      <c r="O27" s="132"/>
      <c r="P27" s="132"/>
      <c r="Q27" s="132"/>
      <c r="R27" s="132"/>
      <c r="S27" s="132"/>
      <c r="T27" s="132"/>
      <c r="U27" s="132"/>
      <c r="V27" s="132"/>
      <c r="W27" s="132"/>
      <c r="X27" s="132"/>
      <c r="Y27" s="133"/>
    </row>
    <row r="28" spans="2:25">
      <c r="B28" s="355"/>
      <c r="C28" s="137"/>
      <c r="D28" s="137"/>
      <c r="E28" s="137"/>
      <c r="F28" s="137"/>
      <c r="G28" s="137"/>
      <c r="H28" s="137"/>
      <c r="I28" s="137"/>
      <c r="J28" s="137"/>
      <c r="K28" s="137"/>
      <c r="L28" s="137"/>
      <c r="M28" s="137"/>
      <c r="N28" s="137"/>
      <c r="O28" s="137"/>
      <c r="P28" s="137"/>
      <c r="Q28" s="137"/>
      <c r="R28" s="137"/>
      <c r="S28" s="137"/>
      <c r="T28" s="137"/>
      <c r="U28" s="137"/>
      <c r="V28" s="137"/>
      <c r="W28" s="137"/>
      <c r="X28" s="137"/>
      <c r="Y28" s="370"/>
    </row>
    <row r="29" spans="2:25">
      <c r="B29" s="355"/>
      <c r="C29" s="440" t="s">
        <v>25</v>
      </c>
      <c r="D29" s="441"/>
      <c r="E29" s="442"/>
      <c r="F29" s="438">
        <v>2025</v>
      </c>
      <c r="G29" s="449"/>
      <c r="H29" s="449"/>
      <c r="I29" s="449"/>
      <c r="J29" s="438">
        <v>2028</v>
      </c>
      <c r="K29" s="449"/>
      <c r="L29" s="449"/>
      <c r="M29" s="439"/>
      <c r="N29" s="350"/>
      <c r="O29" s="413" t="s">
        <v>26</v>
      </c>
      <c r="P29" s="414"/>
      <c r="Q29" s="414"/>
      <c r="R29" s="414"/>
      <c r="S29" s="415"/>
      <c r="T29" s="413" t="s">
        <v>27</v>
      </c>
      <c r="U29" s="414"/>
      <c r="V29" s="414"/>
      <c r="W29" s="414"/>
      <c r="X29" s="415"/>
      <c r="Y29" s="370"/>
    </row>
    <row r="30" spans="2:25">
      <c r="B30" s="355"/>
      <c r="C30" s="443"/>
      <c r="D30" s="444"/>
      <c r="E30" s="445"/>
      <c r="F30" s="438" t="s">
        <v>13</v>
      </c>
      <c r="G30" s="439"/>
      <c r="H30" s="438" t="s">
        <v>28</v>
      </c>
      <c r="I30" s="439"/>
      <c r="J30" s="438" t="s">
        <v>13</v>
      </c>
      <c r="K30" s="439"/>
      <c r="L30" s="438" t="s">
        <v>28</v>
      </c>
      <c r="M30" s="439"/>
      <c r="N30" s="137"/>
      <c r="O30" s="646"/>
      <c r="P30" s="647"/>
      <c r="Q30" s="647"/>
      <c r="R30" s="647"/>
      <c r="S30" s="648"/>
      <c r="T30" s="416"/>
      <c r="U30" s="417"/>
      <c r="V30" s="417"/>
      <c r="W30" s="417"/>
      <c r="X30" s="418"/>
      <c r="Y30" s="370"/>
    </row>
    <row r="31" spans="2:25">
      <c r="B31" s="355"/>
      <c r="C31" s="446"/>
      <c r="D31" s="447"/>
      <c r="E31" s="448"/>
      <c r="F31" s="365" t="s">
        <v>8</v>
      </c>
      <c r="G31" s="365" t="s">
        <v>9</v>
      </c>
      <c r="H31" s="365" t="s">
        <v>8</v>
      </c>
      <c r="I31" s="365" t="s">
        <v>9</v>
      </c>
      <c r="J31" s="365" t="s">
        <v>8</v>
      </c>
      <c r="K31" s="365" t="s">
        <v>9</v>
      </c>
      <c r="L31" s="365" t="s">
        <v>8</v>
      </c>
      <c r="M31" s="365" t="s">
        <v>9</v>
      </c>
      <c r="N31" s="137"/>
      <c r="O31" s="649"/>
      <c r="P31" s="650"/>
      <c r="Q31" s="650"/>
      <c r="R31" s="650"/>
      <c r="S31" s="651"/>
      <c r="T31" s="419"/>
      <c r="U31" s="420"/>
      <c r="V31" s="420"/>
      <c r="W31" s="420"/>
      <c r="X31" s="421"/>
      <c r="Y31" s="370"/>
    </row>
    <row r="32" spans="2:25">
      <c r="B32" s="355"/>
      <c r="C32" s="452" t="s">
        <v>29</v>
      </c>
      <c r="D32" s="452"/>
      <c r="E32" s="452"/>
      <c r="F32" s="366">
        <f>Cal!$E52</f>
        <v>4</v>
      </c>
      <c r="G32" s="367" t="str">
        <f>IF(F32&lt;2,"C",IF(F32&lt;3,"B-",IF(F32&lt;4,"B",IF(F32&lt;5,"B+",IF(F32=5,"A","")))))</f>
        <v>B+</v>
      </c>
      <c r="H32" s="366">
        <f>Cal!$D52</f>
        <v>1</v>
      </c>
      <c r="I32" s="367" t="str">
        <f>IF(H32&lt;2,"C",IF(H32&lt;3,"B-",IF(H32&lt;4,"B",IF(H32&lt;5,"B+",IF(H32=5,"A","")))))</f>
        <v>C</v>
      </c>
      <c r="J32" s="161"/>
      <c r="K32" s="162"/>
      <c r="L32" s="161"/>
      <c r="M32" s="162"/>
      <c r="N32" s="137"/>
      <c r="O32" s="649"/>
      <c r="P32" s="650"/>
      <c r="Q32" s="650"/>
      <c r="R32" s="650"/>
      <c r="S32" s="651"/>
      <c r="T32" s="419"/>
      <c r="U32" s="420"/>
      <c r="V32" s="420"/>
      <c r="W32" s="420"/>
      <c r="X32" s="421"/>
      <c r="Y32" s="370"/>
    </row>
    <row r="33" spans="2:25">
      <c r="B33" s="355"/>
      <c r="C33" s="452" t="s">
        <v>30</v>
      </c>
      <c r="D33" s="452"/>
      <c r="E33" s="452"/>
      <c r="F33" s="366">
        <f>Cal!$E53</f>
        <v>5</v>
      </c>
      <c r="G33" s="367" t="str">
        <f t="shared" ref="G33:I38" si="0">IF(F33&lt;2,"C",IF(F33&lt;3,"B-",IF(F33&lt;4,"B",IF(F33&lt;5,"B+",IF(F33=5,"A","")))))</f>
        <v>A</v>
      </c>
      <c r="H33" s="366">
        <f>Cal!$D53</f>
        <v>5</v>
      </c>
      <c r="I33" s="367" t="str">
        <f>IF(H33&lt;2,"C",IF(H33&lt;3,"B-",IF(H33&lt;4,"B",IF(H33&lt;5,"B+",IF(H33=5,"A","")))))</f>
        <v>A</v>
      </c>
      <c r="J33" s="161"/>
      <c r="K33" s="162"/>
      <c r="L33" s="161"/>
      <c r="M33" s="162"/>
      <c r="N33" s="137"/>
      <c r="O33" s="649"/>
      <c r="P33" s="650"/>
      <c r="Q33" s="650"/>
      <c r="R33" s="650"/>
      <c r="S33" s="651"/>
      <c r="T33" s="419"/>
      <c r="U33" s="420"/>
      <c r="V33" s="420"/>
      <c r="W33" s="420"/>
      <c r="X33" s="421"/>
      <c r="Y33" s="370"/>
    </row>
    <row r="34" spans="2:25">
      <c r="B34" s="355"/>
      <c r="C34" s="452" t="s">
        <v>31</v>
      </c>
      <c r="D34" s="452"/>
      <c r="E34" s="452"/>
      <c r="F34" s="366">
        <f>Cal!$E54</f>
        <v>5</v>
      </c>
      <c r="G34" s="367" t="str">
        <f t="shared" si="0"/>
        <v>A</v>
      </c>
      <c r="H34" s="366">
        <f>Cal!$D54</f>
        <v>5</v>
      </c>
      <c r="I34" s="367" t="str">
        <f t="shared" si="0"/>
        <v>A</v>
      </c>
      <c r="J34" s="161"/>
      <c r="K34" s="162"/>
      <c r="L34" s="161"/>
      <c r="M34" s="162"/>
      <c r="N34" s="137"/>
      <c r="O34" s="649"/>
      <c r="P34" s="650"/>
      <c r="Q34" s="650"/>
      <c r="R34" s="650"/>
      <c r="S34" s="651"/>
      <c r="T34" s="419"/>
      <c r="U34" s="420"/>
      <c r="V34" s="420"/>
      <c r="W34" s="420"/>
      <c r="X34" s="421"/>
      <c r="Y34" s="370"/>
    </row>
    <row r="35" spans="2:25">
      <c r="B35" s="355"/>
      <c r="C35" s="452" t="s">
        <v>32</v>
      </c>
      <c r="D35" s="452"/>
      <c r="E35" s="452"/>
      <c r="F35" s="366">
        <f>Cal!$E55</f>
        <v>5</v>
      </c>
      <c r="G35" s="367" t="str">
        <f t="shared" si="0"/>
        <v>A</v>
      </c>
      <c r="H35" s="366">
        <f>Cal!$D55</f>
        <v>5</v>
      </c>
      <c r="I35" s="367" t="str">
        <f t="shared" si="0"/>
        <v>A</v>
      </c>
      <c r="J35" s="161"/>
      <c r="K35" s="162"/>
      <c r="L35" s="161"/>
      <c r="M35" s="162"/>
      <c r="N35" s="137"/>
      <c r="O35" s="649"/>
      <c r="P35" s="650"/>
      <c r="Q35" s="650"/>
      <c r="R35" s="650"/>
      <c r="S35" s="651"/>
      <c r="T35" s="419"/>
      <c r="U35" s="420"/>
      <c r="V35" s="420"/>
      <c r="W35" s="420"/>
      <c r="X35" s="421"/>
      <c r="Y35" s="370"/>
    </row>
    <row r="36" spans="2:25">
      <c r="B36" s="355"/>
      <c r="C36" s="452" t="s">
        <v>33</v>
      </c>
      <c r="D36" s="452"/>
      <c r="E36" s="452"/>
      <c r="F36" s="366">
        <f>Cal!$E56</f>
        <v>5</v>
      </c>
      <c r="G36" s="367" t="str">
        <f t="shared" si="0"/>
        <v>A</v>
      </c>
      <c r="H36" s="366">
        <f>Cal!$D56</f>
        <v>5</v>
      </c>
      <c r="I36" s="367" t="str">
        <f t="shared" si="0"/>
        <v>A</v>
      </c>
      <c r="J36" s="161"/>
      <c r="K36" s="162"/>
      <c r="L36" s="161"/>
      <c r="M36" s="162"/>
      <c r="N36" s="137"/>
      <c r="O36" s="649"/>
      <c r="P36" s="650"/>
      <c r="Q36" s="650"/>
      <c r="R36" s="650"/>
      <c r="S36" s="651"/>
      <c r="T36" s="419"/>
      <c r="U36" s="420"/>
      <c r="V36" s="420"/>
      <c r="W36" s="420"/>
      <c r="X36" s="421"/>
      <c r="Y36" s="370"/>
    </row>
    <row r="37" spans="2:25">
      <c r="B37" s="355"/>
      <c r="C37" s="137"/>
      <c r="D37" s="137"/>
      <c r="E37" s="137"/>
      <c r="F37" s="343"/>
      <c r="G37" s="137"/>
      <c r="H37" s="343"/>
      <c r="I37" s="137"/>
      <c r="J37" s="163"/>
      <c r="L37" s="163"/>
      <c r="N37" s="137"/>
      <c r="O37" s="649"/>
      <c r="P37" s="650"/>
      <c r="Q37" s="650"/>
      <c r="R37" s="650"/>
      <c r="S37" s="651"/>
      <c r="T37" s="419"/>
      <c r="U37" s="420"/>
      <c r="V37" s="420"/>
      <c r="W37" s="420"/>
      <c r="X37" s="421"/>
      <c r="Y37" s="370"/>
    </row>
    <row r="38" spans="2:25">
      <c r="B38" s="355"/>
      <c r="C38" s="453" t="s">
        <v>34</v>
      </c>
      <c r="D38" s="454"/>
      <c r="E38" s="455"/>
      <c r="F38" s="366">
        <f>AVERAGE(F32:F36)</f>
        <v>4.8</v>
      </c>
      <c r="G38" s="367" t="str">
        <f t="shared" si="0"/>
        <v>B+</v>
      </c>
      <c r="H38" s="366">
        <f>AVERAGE(H32:H36)</f>
        <v>4.2</v>
      </c>
      <c r="I38" s="367" t="str">
        <f t="shared" ref="I38" si="1">IF(H38&lt;2,"C",IF(H38&lt;3,"B-",IF(H38&lt;4,"B",IF(H38&lt;5,"B+",IF(H38=5,"A","")))))</f>
        <v>B+</v>
      </c>
      <c r="J38" s="161"/>
      <c r="K38" s="162"/>
      <c r="L38" s="161"/>
      <c r="M38" s="162"/>
      <c r="N38" s="137"/>
      <c r="O38" s="652"/>
      <c r="P38" s="653"/>
      <c r="Q38" s="653"/>
      <c r="R38" s="653"/>
      <c r="S38" s="654"/>
      <c r="T38" s="422"/>
      <c r="U38" s="423"/>
      <c r="V38" s="423"/>
      <c r="W38" s="423"/>
      <c r="X38" s="424"/>
      <c r="Y38" s="370"/>
    </row>
    <row r="39" spans="2:25" ht="15" thickBot="1">
      <c r="B39" s="368"/>
      <c r="C39" s="369"/>
      <c r="D39" s="369"/>
      <c r="E39" s="369"/>
      <c r="F39" s="165"/>
      <c r="G39" s="165"/>
      <c r="H39" s="165"/>
      <c r="I39" s="165"/>
      <c r="J39" s="165"/>
      <c r="K39" s="165"/>
      <c r="L39" s="165"/>
      <c r="M39" s="165"/>
      <c r="N39" s="369"/>
      <c r="O39" s="369"/>
      <c r="P39" s="369"/>
      <c r="Q39" s="369"/>
      <c r="R39" s="369"/>
      <c r="S39" s="369"/>
      <c r="T39" s="369"/>
      <c r="U39" s="369"/>
      <c r="V39" s="369"/>
      <c r="W39" s="369"/>
      <c r="X39" s="369"/>
      <c r="Y39" s="371"/>
    </row>
    <row r="40" spans="2:25">
      <c r="B40" s="131" t="s">
        <v>35</v>
      </c>
      <c r="C40" s="167"/>
      <c r="D40" s="132"/>
      <c r="E40" s="132"/>
      <c r="F40" s="132"/>
      <c r="G40" s="132"/>
      <c r="H40" s="132"/>
      <c r="I40" s="132"/>
      <c r="J40" s="132"/>
      <c r="K40" s="132"/>
      <c r="L40" s="132"/>
      <c r="M40" s="132"/>
      <c r="N40" s="132"/>
      <c r="O40" s="132"/>
      <c r="P40" s="132"/>
      <c r="Q40" s="132"/>
      <c r="R40" s="132"/>
      <c r="S40" s="132"/>
      <c r="T40" s="132"/>
      <c r="U40" s="132"/>
      <c r="V40" s="132"/>
      <c r="W40" s="132"/>
      <c r="X40" s="132"/>
      <c r="Y40" s="133"/>
    </row>
    <row r="41" spans="2:25">
      <c r="B41" s="168"/>
      <c r="C41" s="169"/>
      <c r="D41" s="169"/>
      <c r="E41" s="169"/>
      <c r="F41" s="169"/>
      <c r="G41" s="169"/>
      <c r="H41" s="169"/>
      <c r="I41" s="169"/>
      <c r="J41" s="169"/>
      <c r="K41" s="169"/>
      <c r="L41" s="169"/>
      <c r="M41" s="169"/>
      <c r="N41" s="169"/>
      <c r="O41" s="169"/>
      <c r="P41" s="169"/>
      <c r="Q41" s="169"/>
      <c r="R41" s="169"/>
      <c r="S41" s="169"/>
      <c r="T41" s="169"/>
      <c r="U41" s="169"/>
      <c r="V41" s="169"/>
      <c r="W41" s="169"/>
      <c r="X41" s="169"/>
      <c r="Y41" s="170"/>
    </row>
    <row r="42" spans="2:25">
      <c r="B42" s="168"/>
      <c r="C42" s="451"/>
      <c r="D42" s="451"/>
      <c r="E42" s="451"/>
      <c r="F42" s="451"/>
      <c r="G42" s="451"/>
      <c r="H42" s="451"/>
      <c r="I42" s="451"/>
      <c r="J42" s="451"/>
      <c r="K42" s="451"/>
      <c r="L42" s="451"/>
      <c r="M42" s="451"/>
      <c r="N42" s="451"/>
      <c r="O42" s="451"/>
      <c r="P42" s="451"/>
      <c r="Q42" s="451"/>
      <c r="R42" s="451"/>
      <c r="S42" s="451"/>
      <c r="T42" s="451"/>
      <c r="U42" s="451"/>
      <c r="V42" s="451"/>
      <c r="W42" s="451"/>
      <c r="X42" s="451"/>
      <c r="Y42" s="170"/>
    </row>
    <row r="43" spans="2:25">
      <c r="B43" s="168"/>
      <c r="C43" s="451"/>
      <c r="D43" s="451"/>
      <c r="E43" s="451"/>
      <c r="F43" s="451"/>
      <c r="G43" s="451"/>
      <c r="H43" s="451"/>
      <c r="I43" s="451"/>
      <c r="J43" s="451"/>
      <c r="K43" s="451"/>
      <c r="L43" s="451"/>
      <c r="M43" s="451"/>
      <c r="N43" s="451"/>
      <c r="O43" s="451"/>
      <c r="P43" s="451"/>
      <c r="Q43" s="451"/>
      <c r="R43" s="451"/>
      <c r="S43" s="451"/>
      <c r="T43" s="451"/>
      <c r="U43" s="451"/>
      <c r="V43" s="451"/>
      <c r="W43" s="451"/>
      <c r="X43" s="451"/>
      <c r="Y43" s="170"/>
    </row>
    <row r="44" spans="2:25">
      <c r="B44" s="168"/>
      <c r="C44" s="451"/>
      <c r="D44" s="451"/>
      <c r="E44" s="451"/>
      <c r="F44" s="451"/>
      <c r="G44" s="451"/>
      <c r="H44" s="451"/>
      <c r="I44" s="451"/>
      <c r="J44" s="451"/>
      <c r="K44" s="451"/>
      <c r="L44" s="451"/>
      <c r="M44" s="451"/>
      <c r="N44" s="451"/>
      <c r="O44" s="451"/>
      <c r="P44" s="451"/>
      <c r="Q44" s="451"/>
      <c r="R44" s="451"/>
      <c r="S44" s="451"/>
      <c r="T44" s="451"/>
      <c r="U44" s="451"/>
      <c r="V44" s="451"/>
      <c r="W44" s="451"/>
      <c r="X44" s="451"/>
      <c r="Y44" s="170"/>
    </row>
    <row r="45" spans="2:25">
      <c r="B45" s="168"/>
      <c r="C45" s="451"/>
      <c r="D45" s="451"/>
      <c r="E45" s="451"/>
      <c r="F45" s="451"/>
      <c r="G45" s="451"/>
      <c r="H45" s="451"/>
      <c r="I45" s="451"/>
      <c r="J45" s="451"/>
      <c r="K45" s="451"/>
      <c r="L45" s="451"/>
      <c r="M45" s="451"/>
      <c r="N45" s="451"/>
      <c r="O45" s="451"/>
      <c r="P45" s="451"/>
      <c r="Q45" s="451"/>
      <c r="R45" s="451"/>
      <c r="S45" s="451"/>
      <c r="T45" s="451"/>
      <c r="U45" s="451"/>
      <c r="V45" s="451"/>
      <c r="W45" s="451"/>
      <c r="X45" s="451"/>
      <c r="Y45" s="170"/>
    </row>
    <row r="46" spans="2:25">
      <c r="B46" s="168"/>
      <c r="C46" s="451"/>
      <c r="D46" s="451"/>
      <c r="E46" s="451"/>
      <c r="F46" s="451"/>
      <c r="G46" s="451"/>
      <c r="H46" s="451"/>
      <c r="I46" s="451"/>
      <c r="J46" s="451"/>
      <c r="K46" s="451"/>
      <c r="L46" s="451"/>
      <c r="M46" s="451"/>
      <c r="N46" s="451"/>
      <c r="O46" s="451"/>
      <c r="P46" s="451"/>
      <c r="Q46" s="451"/>
      <c r="R46" s="451"/>
      <c r="S46" s="451"/>
      <c r="T46" s="451"/>
      <c r="U46" s="451"/>
      <c r="V46" s="451"/>
      <c r="W46" s="451"/>
      <c r="X46" s="451"/>
      <c r="Y46" s="170"/>
    </row>
    <row r="47" spans="2:25" ht="15" thickBot="1">
      <c r="B47" s="171"/>
      <c r="C47" s="172"/>
      <c r="D47" s="172"/>
      <c r="E47" s="172"/>
      <c r="F47" s="172"/>
      <c r="G47" s="172"/>
      <c r="H47" s="172"/>
      <c r="I47" s="172"/>
      <c r="J47" s="172"/>
      <c r="K47" s="172"/>
      <c r="L47" s="172"/>
      <c r="M47" s="172"/>
      <c r="N47" s="172"/>
      <c r="O47" s="172"/>
      <c r="P47" s="172"/>
      <c r="Q47" s="172"/>
      <c r="R47" s="172"/>
      <c r="S47" s="172"/>
      <c r="T47" s="172"/>
      <c r="U47" s="172"/>
      <c r="V47" s="172"/>
      <c r="W47" s="172"/>
      <c r="X47" s="172"/>
      <c r="Y47" s="173"/>
    </row>
  </sheetData>
  <mergeCells count="70">
    <mergeCell ref="C42:X46"/>
    <mergeCell ref="O30:S38"/>
    <mergeCell ref="T30:X38"/>
    <mergeCell ref="C32:E32"/>
    <mergeCell ref="C33:E33"/>
    <mergeCell ref="C34:E34"/>
    <mergeCell ref="C35:E35"/>
    <mergeCell ref="C36:E36"/>
    <mergeCell ref="C38:E38"/>
    <mergeCell ref="L25:M25"/>
    <mergeCell ref="C29:E31"/>
    <mergeCell ref="F29:I29"/>
    <mergeCell ref="J29:M29"/>
    <mergeCell ref="O29:S29"/>
    <mergeCell ref="E21:G25"/>
    <mergeCell ref="H21:I21"/>
    <mergeCell ref="H22:H25"/>
    <mergeCell ref="J22:K22"/>
    <mergeCell ref="L22:M22"/>
    <mergeCell ref="J23:K23"/>
    <mergeCell ref="L23:M23"/>
    <mergeCell ref="J24:K24"/>
    <mergeCell ref="L24:M24"/>
    <mergeCell ref="J25:K25"/>
    <mergeCell ref="D11:D25"/>
    <mergeCell ref="T29:X29"/>
    <mergeCell ref="F30:G30"/>
    <mergeCell ref="H30:I30"/>
    <mergeCell ref="J30:K30"/>
    <mergeCell ref="L30:M30"/>
    <mergeCell ref="O18:X18"/>
    <mergeCell ref="J19:K19"/>
    <mergeCell ref="L19:M19"/>
    <mergeCell ref="R19:X24"/>
    <mergeCell ref="J20:K20"/>
    <mergeCell ref="L20:M20"/>
    <mergeCell ref="L17:M17"/>
    <mergeCell ref="J18:K18"/>
    <mergeCell ref="L18:M18"/>
    <mergeCell ref="E11:G15"/>
    <mergeCell ref="H11:I11"/>
    <mergeCell ref="H12:H15"/>
    <mergeCell ref="J12:K12"/>
    <mergeCell ref="L12:M12"/>
    <mergeCell ref="J13:K13"/>
    <mergeCell ref="L13:M13"/>
    <mergeCell ref="J14:K14"/>
    <mergeCell ref="L14:M14"/>
    <mergeCell ref="B4:C4"/>
    <mergeCell ref="D4:F4"/>
    <mergeCell ref="G4:I4"/>
    <mergeCell ref="J4:O4"/>
    <mergeCell ref="C8:I9"/>
    <mergeCell ref="J8:K8"/>
    <mergeCell ref="L8:M8"/>
    <mergeCell ref="O8:S8"/>
    <mergeCell ref="O9:S17"/>
    <mergeCell ref="C10:E10"/>
    <mergeCell ref="J15:K15"/>
    <mergeCell ref="L15:M15"/>
    <mergeCell ref="E16:G20"/>
    <mergeCell ref="H16:I16"/>
    <mergeCell ref="H17:H20"/>
    <mergeCell ref="J17:K17"/>
    <mergeCell ref="S2:T2"/>
    <mergeCell ref="U2:V2"/>
    <mergeCell ref="W2:X2"/>
    <mergeCell ref="U3:V3"/>
    <mergeCell ref="W3:X3"/>
    <mergeCell ref="B3:T3"/>
  </mergeCells>
  <pageMargins left="0.25" right="0.25" top="0.75" bottom="0.75" header="0.3" footer="0.3"/>
  <pageSetup paperSize="9" scale="59" fitToHeight="0" orientation="portrait"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E76A2-5EEE-4495-8884-6B008FBF5578}">
  <sheetPr codeName="Sheet1">
    <tabColor rgb="FFFF0000"/>
    <pageSetUpPr fitToPage="1"/>
  </sheetPr>
  <dimension ref="B1:Y58"/>
  <sheetViews>
    <sheetView topLeftCell="A3" zoomScaleNormal="100" zoomScaleSheetLayoutView="85" workbookViewId="0">
      <selection activeCell="AA43" sqref="AA43"/>
    </sheetView>
  </sheetViews>
  <sheetFormatPr defaultColWidth="8.5703125" defaultRowHeight="14.45"/>
  <cols>
    <col min="1" max="2" width="3.42578125" style="126" customWidth="1"/>
    <col min="3" max="24" width="7.140625" style="126" customWidth="1"/>
    <col min="25" max="25" width="1.42578125" style="126" customWidth="1"/>
    <col min="26" max="16384" width="8.5703125" style="126"/>
  </cols>
  <sheetData>
    <row r="1" spans="2:25">
      <c r="X1" s="127"/>
    </row>
    <row r="2" spans="2:25" ht="18" customHeight="1">
      <c r="B2" s="128"/>
      <c r="C2" s="128"/>
      <c r="D2" s="128"/>
      <c r="E2" s="128"/>
      <c r="F2" s="128"/>
      <c r="G2" s="128"/>
      <c r="H2" s="128"/>
      <c r="I2" s="128"/>
      <c r="J2" s="128"/>
      <c r="K2" s="128"/>
      <c r="L2" s="128"/>
      <c r="M2" s="128"/>
      <c r="N2" s="128"/>
      <c r="O2" s="128"/>
      <c r="P2" s="128"/>
      <c r="Q2" s="128"/>
      <c r="S2" s="397"/>
      <c r="T2" s="397"/>
      <c r="U2" s="397"/>
      <c r="V2" s="397"/>
      <c r="W2" s="400"/>
      <c r="X2" s="400"/>
    </row>
    <row r="3" spans="2:25" ht="60.95" customHeight="1">
      <c r="B3" s="129" t="s">
        <v>37</v>
      </c>
      <c r="C3" s="128"/>
      <c r="D3" s="128"/>
      <c r="E3" s="128"/>
      <c r="F3" s="128"/>
      <c r="G3" s="128"/>
      <c r="H3" s="128"/>
      <c r="I3" s="128"/>
      <c r="J3" s="128"/>
      <c r="K3" s="128"/>
      <c r="L3" s="128"/>
      <c r="M3" s="128"/>
      <c r="N3" s="128"/>
      <c r="O3" s="128"/>
      <c r="P3" s="128"/>
      <c r="Q3" s="128"/>
      <c r="S3" s="397"/>
      <c r="T3" s="397"/>
      <c r="U3" s="397"/>
      <c r="V3" s="397"/>
      <c r="W3" s="400"/>
      <c r="X3" s="400"/>
    </row>
    <row r="4" spans="2:25" s="130" customFormat="1" ht="33.950000000000003" customHeight="1">
      <c r="B4" s="404" t="s">
        <v>3</v>
      </c>
      <c r="C4" s="404"/>
      <c r="D4" s="404"/>
      <c r="E4" s="404"/>
      <c r="F4" s="404"/>
      <c r="G4" s="404" t="s">
        <v>4</v>
      </c>
      <c r="H4" s="404"/>
      <c r="I4" s="404"/>
      <c r="J4" s="405"/>
      <c r="K4" s="405"/>
      <c r="L4" s="405"/>
      <c r="M4" s="405"/>
      <c r="N4" s="405"/>
      <c r="O4" s="405"/>
    </row>
    <row r="5" spans="2:25" ht="18" customHeight="1" thickBot="1">
      <c r="B5" s="128"/>
      <c r="C5" s="128"/>
      <c r="D5" s="128"/>
      <c r="E5" s="128"/>
      <c r="F5" s="128"/>
      <c r="G5" s="128"/>
      <c r="H5" s="128"/>
      <c r="I5" s="128"/>
      <c r="J5" s="128"/>
      <c r="K5" s="128"/>
      <c r="L5" s="128"/>
      <c r="M5" s="128"/>
      <c r="N5" s="128"/>
      <c r="O5" s="128"/>
      <c r="P5" s="128"/>
      <c r="Q5" s="128"/>
      <c r="R5" s="128"/>
      <c r="S5" s="128"/>
      <c r="T5" s="128"/>
      <c r="U5" s="128"/>
      <c r="V5" s="128"/>
      <c r="W5" s="128"/>
      <c r="X5" s="128"/>
      <c r="Y5" s="128"/>
    </row>
    <row r="6" spans="2:25">
      <c r="B6" s="131" t="s">
        <v>5</v>
      </c>
      <c r="C6" s="132"/>
      <c r="D6" s="132"/>
      <c r="E6" s="132"/>
      <c r="F6" s="132"/>
      <c r="G6" s="132"/>
      <c r="H6" s="132"/>
      <c r="I6" s="132"/>
      <c r="J6" s="132"/>
      <c r="K6" s="132"/>
      <c r="L6" s="132"/>
      <c r="M6" s="132"/>
      <c r="N6" s="132"/>
      <c r="O6" s="132"/>
      <c r="P6" s="132"/>
      <c r="Q6" s="132"/>
      <c r="R6" s="132"/>
      <c r="S6" s="132"/>
      <c r="T6" s="132"/>
      <c r="U6" s="132"/>
      <c r="V6" s="132"/>
      <c r="W6" s="132"/>
      <c r="X6" s="132"/>
      <c r="Y6" s="133"/>
    </row>
    <row r="7" spans="2:25">
      <c r="B7" s="134"/>
      <c r="Y7" s="135"/>
    </row>
    <row r="8" spans="2:25">
      <c r="B8" s="134"/>
      <c r="C8" s="467" t="s">
        <v>6</v>
      </c>
      <c r="D8" s="468"/>
      <c r="E8" s="468"/>
      <c r="F8" s="468"/>
      <c r="G8" s="468"/>
      <c r="H8" s="468"/>
      <c r="I8" s="469"/>
      <c r="J8" s="473">
        <v>2025</v>
      </c>
      <c r="K8" s="473"/>
      <c r="L8" s="473">
        <v>2024</v>
      </c>
      <c r="M8" s="473"/>
      <c r="O8" s="474" t="s">
        <v>7</v>
      </c>
      <c r="P8" s="475"/>
      <c r="Q8" s="475"/>
      <c r="R8" s="475"/>
      <c r="S8" s="476"/>
      <c r="T8" s="137"/>
      <c r="U8" s="137"/>
      <c r="V8" s="137"/>
      <c r="W8" s="137"/>
      <c r="X8" s="137"/>
      <c r="Y8" s="135"/>
    </row>
    <row r="9" spans="2:25">
      <c r="B9" s="134"/>
      <c r="C9" s="470"/>
      <c r="D9" s="471"/>
      <c r="E9" s="471"/>
      <c r="F9" s="471"/>
      <c r="G9" s="471"/>
      <c r="H9" s="471"/>
      <c r="I9" s="472"/>
      <c r="J9" s="136" t="s">
        <v>8</v>
      </c>
      <c r="K9" s="136"/>
      <c r="L9" s="136" t="s">
        <v>8</v>
      </c>
      <c r="M9" s="136"/>
      <c r="O9" s="485"/>
      <c r="P9" s="486"/>
      <c r="Q9" s="486"/>
      <c r="R9" s="486"/>
      <c r="S9" s="487"/>
      <c r="T9" s="137"/>
      <c r="U9" s="137"/>
      <c r="V9" s="137"/>
      <c r="W9" s="137"/>
      <c r="X9" s="137"/>
      <c r="Y9" s="135"/>
    </row>
    <row r="10" spans="2:25">
      <c r="B10" s="134"/>
      <c r="C10" s="457"/>
      <c r="D10" s="458"/>
      <c r="E10" s="458"/>
      <c r="F10" s="138"/>
      <c r="G10" s="139"/>
      <c r="H10" s="140"/>
      <c r="I10" s="174" t="s">
        <v>40</v>
      </c>
      <c r="J10" s="141" t="e">
        <f>'(ref.) Cal'!E43</f>
        <v>#REF!</v>
      </c>
      <c r="K10" s="142" t="e">
        <f>IF(J10&lt;2,"C",IF(J10&lt;3,"B-",IF(J10&lt;4,"B",IF(J10&lt;5,"B+",IF(J10=5,"A","")))))</f>
        <v>#REF!</v>
      </c>
      <c r="L10" s="143" t="e">
        <f>'(ref.) Cal'!D43</f>
        <v>#N/A</v>
      </c>
      <c r="M10" s="144" t="e">
        <f>IF(L10=5,"A",IF(L10&gt;=4,"B+",IF(L10&gt;=3,"B",IF(L10&gt;=2,"B-",IF(L10&gt;=1, "C","-")))))</f>
        <v>#N/A</v>
      </c>
      <c r="O10" s="488"/>
      <c r="P10" s="397"/>
      <c r="Q10" s="397"/>
      <c r="R10" s="397"/>
      <c r="S10" s="489"/>
      <c r="T10" s="137"/>
      <c r="U10" s="137"/>
      <c r="V10" s="137"/>
      <c r="W10" s="137"/>
      <c r="X10" s="137"/>
      <c r="Y10" s="135"/>
    </row>
    <row r="11" spans="2:25">
      <c r="B11" s="134"/>
      <c r="C11" s="145"/>
      <c r="D11" s="459" t="s">
        <v>11</v>
      </c>
      <c r="E11" s="460" t="s">
        <v>12</v>
      </c>
      <c r="F11" s="461"/>
      <c r="G11" s="461"/>
      <c r="H11" s="462" t="s">
        <v>41</v>
      </c>
      <c r="I11" s="463"/>
      <c r="J11" s="143" t="e">
        <f>'(ref.) Cal'!E42</f>
        <v>#REF!</v>
      </c>
      <c r="K11" s="144" t="e">
        <f>IF(J11=5,"A",IF(J11&gt;=4,"B+",IF(J11&gt;=3,"B",IF(J11&gt;=2,"B-",IF(J11&gt;=1, "C","-")))))</f>
        <v>#REF!</v>
      </c>
      <c r="L11" s="143" t="e">
        <f>'(ref.) Cal'!D42</f>
        <v>#N/A</v>
      </c>
      <c r="M11" s="144" t="e">
        <f>IF(L11=5,"A",IF(L11&gt;=4,"B+",IF(L11&gt;=3,"B",IF(L11&gt;=2,"B-",IF(L11&gt;=1, "C","-")))))</f>
        <v>#N/A</v>
      </c>
      <c r="O11" s="488"/>
      <c r="P11" s="397"/>
      <c r="Q11" s="397"/>
      <c r="R11" s="397"/>
      <c r="S11" s="489"/>
      <c r="T11" s="137"/>
      <c r="U11" s="137"/>
      <c r="V11" s="137"/>
      <c r="W11" s="137"/>
      <c r="X11" s="137"/>
      <c r="Y11" s="135"/>
    </row>
    <row r="12" spans="2:25" ht="18" customHeight="1">
      <c r="B12" s="134"/>
      <c r="C12" s="145"/>
      <c r="D12" s="459"/>
      <c r="E12" s="460"/>
      <c r="F12" s="461"/>
      <c r="G12" s="461"/>
      <c r="H12" s="464" t="s">
        <v>14</v>
      </c>
      <c r="I12" s="279" t="s">
        <v>15</v>
      </c>
      <c r="J12" s="456">
        <f>'(ref.) Cal'!F57</f>
        <v>7</v>
      </c>
      <c r="K12" s="456"/>
      <c r="L12" s="456">
        <f>'(ref.) Cal'!E57</f>
        <v>0</v>
      </c>
      <c r="M12" s="456"/>
      <c r="O12" s="488"/>
      <c r="P12" s="397"/>
      <c r="Q12" s="397"/>
      <c r="R12" s="397"/>
      <c r="S12" s="489"/>
      <c r="T12" s="137"/>
      <c r="U12" s="137"/>
      <c r="V12" s="137"/>
      <c r="W12" s="137"/>
      <c r="X12" s="137"/>
      <c r="Y12" s="135"/>
    </row>
    <row r="13" spans="2:25">
      <c r="B13" s="134"/>
      <c r="C13" s="145"/>
      <c r="D13" s="459"/>
      <c r="E13" s="460"/>
      <c r="F13" s="461"/>
      <c r="G13" s="461"/>
      <c r="H13" s="465"/>
      <c r="I13" s="279" t="s">
        <v>16</v>
      </c>
      <c r="J13" s="456">
        <f>'(ref.) Cal'!F58</f>
        <v>0</v>
      </c>
      <c r="K13" s="456"/>
      <c r="L13" s="456">
        <f>'(ref.) Cal'!E58</f>
        <v>0</v>
      </c>
      <c r="M13" s="456"/>
      <c r="O13" s="488"/>
      <c r="P13" s="397"/>
      <c r="Q13" s="397"/>
      <c r="R13" s="397"/>
      <c r="S13" s="489"/>
      <c r="T13" s="137"/>
      <c r="U13" s="137"/>
      <c r="V13" s="137"/>
      <c r="W13" s="137"/>
      <c r="X13" s="137"/>
      <c r="Y13" s="135"/>
    </row>
    <row r="14" spans="2:25">
      <c r="B14" s="134"/>
      <c r="C14" s="146"/>
      <c r="D14" s="459"/>
      <c r="E14" s="460"/>
      <c r="F14" s="461"/>
      <c r="G14" s="461"/>
      <c r="H14" s="465"/>
      <c r="I14" s="279" t="s">
        <v>17</v>
      </c>
      <c r="J14" s="456">
        <f>'(ref.) Cal'!F59</f>
        <v>0</v>
      </c>
      <c r="K14" s="456"/>
      <c r="L14" s="456">
        <f>'(ref.) Cal'!E59</f>
        <v>0</v>
      </c>
      <c r="M14" s="456"/>
      <c r="O14" s="488"/>
      <c r="P14" s="397"/>
      <c r="Q14" s="397"/>
      <c r="R14" s="397"/>
      <c r="S14" s="489"/>
      <c r="T14" s="137"/>
      <c r="U14" s="137"/>
      <c r="V14" s="137"/>
      <c r="W14" s="137"/>
      <c r="X14" s="137"/>
      <c r="Y14" s="135"/>
    </row>
    <row r="15" spans="2:25">
      <c r="B15" s="134"/>
      <c r="C15" s="146"/>
      <c r="D15" s="459"/>
      <c r="E15" s="460"/>
      <c r="F15" s="461"/>
      <c r="G15" s="461"/>
      <c r="H15" s="466"/>
      <c r="I15" s="279" t="s">
        <v>18</v>
      </c>
      <c r="J15" s="456">
        <f>'(ref.) Cal'!F60</f>
        <v>1</v>
      </c>
      <c r="K15" s="456"/>
      <c r="L15" s="456">
        <f>'(ref.) Cal'!E60</f>
        <v>0</v>
      </c>
      <c r="M15" s="456"/>
      <c r="O15" s="488"/>
      <c r="P15" s="397"/>
      <c r="Q15" s="397"/>
      <c r="R15" s="397"/>
      <c r="S15" s="489"/>
      <c r="T15" s="137"/>
      <c r="U15" s="137"/>
      <c r="V15" s="137"/>
      <c r="W15" s="137"/>
      <c r="X15" s="137"/>
      <c r="Y15" s="135"/>
    </row>
    <row r="16" spans="2:25">
      <c r="B16" s="134"/>
      <c r="C16" s="146"/>
      <c r="D16" s="459"/>
      <c r="E16" s="460" t="s">
        <v>19</v>
      </c>
      <c r="F16" s="461"/>
      <c r="G16" s="461"/>
      <c r="H16" s="462" t="s">
        <v>41</v>
      </c>
      <c r="I16" s="463"/>
      <c r="J16" s="143">
        <f>'(ref.) Cal'!E40</f>
        <v>5</v>
      </c>
      <c r="K16" s="144" t="str">
        <f>IF(J16=5,"A",IF(J16&gt;=4,"B+",IF(J16&gt;=3,"B",IF(J16&gt;=2,"B-",IF(J16&gt;=1, "C","-")))))</f>
        <v>A</v>
      </c>
      <c r="L16" s="143" t="e">
        <f>'(ref.) Cal'!D40</f>
        <v>#N/A</v>
      </c>
      <c r="M16" s="144" t="e">
        <f>IF(L16=5,"A",IF(L16&gt;=4,"B+",IF(L16&gt;=3,"B",IF(L16&gt;=2,"B-",IF(L16&gt;=1, "C","-")))))</f>
        <v>#N/A</v>
      </c>
      <c r="O16" s="488"/>
      <c r="P16" s="397"/>
      <c r="Q16" s="397"/>
      <c r="R16" s="397"/>
      <c r="S16" s="489"/>
      <c r="T16" s="137"/>
      <c r="U16" s="137"/>
      <c r="V16" s="137"/>
      <c r="W16" s="137"/>
      <c r="X16" s="137"/>
      <c r="Y16" s="135"/>
    </row>
    <row r="17" spans="2:25" ht="18" customHeight="1">
      <c r="B17" s="134"/>
      <c r="C17" s="146"/>
      <c r="D17" s="459"/>
      <c r="E17" s="460"/>
      <c r="F17" s="461"/>
      <c r="G17" s="461"/>
      <c r="H17" s="464" t="s">
        <v>14</v>
      </c>
      <c r="I17" s="279" t="s">
        <v>15</v>
      </c>
      <c r="J17" s="456">
        <f>'(ref.) Cal'!F63</f>
        <v>5</v>
      </c>
      <c r="K17" s="456"/>
      <c r="L17" s="456">
        <f>'(ref.) Cal'!E63</f>
        <v>0</v>
      </c>
      <c r="M17" s="456"/>
      <c r="O17" s="490"/>
      <c r="P17" s="491"/>
      <c r="Q17" s="491"/>
      <c r="R17" s="491"/>
      <c r="S17" s="492"/>
      <c r="T17" s="137"/>
      <c r="U17" s="137"/>
      <c r="V17" s="137"/>
      <c r="W17" s="137"/>
      <c r="X17" s="137"/>
      <c r="Y17" s="135"/>
    </row>
    <row r="18" spans="2:25">
      <c r="B18" s="134"/>
      <c r="C18" s="146"/>
      <c r="D18" s="459"/>
      <c r="E18" s="460"/>
      <c r="F18" s="461"/>
      <c r="G18" s="461"/>
      <c r="H18" s="465"/>
      <c r="I18" s="279" t="s">
        <v>16</v>
      </c>
      <c r="J18" s="456">
        <f>'(ref.) Cal'!F64</f>
        <v>0</v>
      </c>
      <c r="K18" s="456"/>
      <c r="L18" s="456">
        <f>'(ref.) Cal'!E64</f>
        <v>0</v>
      </c>
      <c r="M18" s="456"/>
      <c r="O18" s="474" t="s">
        <v>14</v>
      </c>
      <c r="P18" s="475"/>
      <c r="Q18" s="475"/>
      <c r="R18" s="475"/>
      <c r="S18" s="475"/>
      <c r="T18" s="475"/>
      <c r="U18" s="475"/>
      <c r="V18" s="475"/>
      <c r="W18" s="475"/>
      <c r="X18" s="476"/>
      <c r="Y18" s="135"/>
    </row>
    <row r="19" spans="2:25">
      <c r="B19" s="134"/>
      <c r="C19" s="146"/>
      <c r="D19" s="459"/>
      <c r="E19" s="460"/>
      <c r="F19" s="461"/>
      <c r="G19" s="461"/>
      <c r="H19" s="465"/>
      <c r="I19" s="279" t="s">
        <v>17</v>
      </c>
      <c r="J19" s="456">
        <f>'(ref.) Cal'!F65</f>
        <v>0</v>
      </c>
      <c r="K19" s="456"/>
      <c r="L19" s="456">
        <f>'(ref.) Cal'!E65</f>
        <v>0</v>
      </c>
      <c r="M19" s="456"/>
      <c r="O19" s="147" t="s">
        <v>20</v>
      </c>
      <c r="P19" s="148"/>
      <c r="Q19" s="149">
        <v>2025</v>
      </c>
      <c r="R19" s="486"/>
      <c r="S19" s="486"/>
      <c r="T19" s="486"/>
      <c r="U19" s="486"/>
      <c r="V19" s="486"/>
      <c r="W19" s="486"/>
      <c r="X19" s="487"/>
      <c r="Y19" s="135"/>
    </row>
    <row r="20" spans="2:25">
      <c r="B20" s="134"/>
      <c r="C20" s="146"/>
      <c r="D20" s="459"/>
      <c r="E20" s="460"/>
      <c r="F20" s="461"/>
      <c r="G20" s="461"/>
      <c r="H20" s="466"/>
      <c r="I20" s="279" t="s">
        <v>18</v>
      </c>
      <c r="J20" s="456">
        <f>'(ref.) Cal'!F66</f>
        <v>0</v>
      </c>
      <c r="K20" s="456"/>
      <c r="L20" s="456">
        <f>'(ref.) Cal'!E66</f>
        <v>0</v>
      </c>
      <c r="M20" s="456"/>
      <c r="O20" s="150"/>
      <c r="P20" s="151"/>
      <c r="Q20" s="152">
        <v>2024</v>
      </c>
      <c r="R20" s="397"/>
      <c r="S20" s="397"/>
      <c r="T20" s="397"/>
      <c r="U20" s="397"/>
      <c r="V20" s="397"/>
      <c r="W20" s="397"/>
      <c r="X20" s="489"/>
      <c r="Y20" s="135"/>
    </row>
    <row r="21" spans="2:25">
      <c r="B21" s="134"/>
      <c r="C21" s="146"/>
      <c r="D21" s="459"/>
      <c r="E21" s="460" t="s">
        <v>21</v>
      </c>
      <c r="F21" s="461"/>
      <c r="G21" s="461"/>
      <c r="H21" s="462" t="s">
        <v>41</v>
      </c>
      <c r="I21" s="463"/>
      <c r="J21" s="143">
        <f>'(ref.) Cal'!E41</f>
        <v>5</v>
      </c>
      <c r="K21" s="144" t="str">
        <f>IF(J21=5,"A",IF(J21&gt;=4,"B+",IF(J21&gt;=3,"B",IF(J21&gt;=2,"B-",IF(J21&gt;=1, "C","-")))))</f>
        <v>A</v>
      </c>
      <c r="L21" s="143" t="e">
        <f>'(ref.) Cal'!D41</f>
        <v>#N/A</v>
      </c>
      <c r="M21" s="144" t="e">
        <f>IF(L21=5,"A",IF(L21&gt;=4,"B+",IF(L21&gt;=3,"B",IF(L21&gt;=2,"B-",IF(L21&gt;=1, "C","-")))))</f>
        <v>#N/A</v>
      </c>
      <c r="O21" s="147" t="s">
        <v>22</v>
      </c>
      <c r="Q21" s="149">
        <v>2025</v>
      </c>
      <c r="R21" s="397"/>
      <c r="S21" s="397"/>
      <c r="T21" s="397"/>
      <c r="U21" s="397"/>
      <c r="V21" s="397"/>
      <c r="W21" s="397"/>
      <c r="X21" s="489"/>
      <c r="Y21" s="135"/>
    </row>
    <row r="22" spans="2:25" ht="18" customHeight="1">
      <c r="B22" s="134"/>
      <c r="C22" s="146"/>
      <c r="D22" s="459"/>
      <c r="E22" s="460"/>
      <c r="F22" s="461"/>
      <c r="G22" s="461"/>
      <c r="H22" s="464" t="s">
        <v>14</v>
      </c>
      <c r="I22" s="279" t="s">
        <v>15</v>
      </c>
      <c r="J22" s="456">
        <f>'(ref.) Cal'!F69</f>
        <v>12</v>
      </c>
      <c r="K22" s="456"/>
      <c r="L22" s="456">
        <f>'(ref.) Cal'!E69</f>
        <v>0</v>
      </c>
      <c r="M22" s="456"/>
      <c r="O22" s="150"/>
      <c r="P22" s="153"/>
      <c r="Q22" s="152">
        <v>2024</v>
      </c>
      <c r="R22" s="397"/>
      <c r="S22" s="397"/>
      <c r="T22" s="397"/>
      <c r="U22" s="397"/>
      <c r="V22" s="397"/>
      <c r="W22" s="397"/>
      <c r="X22" s="489"/>
      <c r="Y22" s="135"/>
    </row>
    <row r="23" spans="2:25">
      <c r="B23" s="134"/>
      <c r="C23" s="146"/>
      <c r="D23" s="459"/>
      <c r="E23" s="460"/>
      <c r="F23" s="461"/>
      <c r="G23" s="461"/>
      <c r="H23" s="465"/>
      <c r="I23" s="279" t="s">
        <v>16</v>
      </c>
      <c r="J23" s="456">
        <f>'(ref.) Cal'!F70</f>
        <v>0</v>
      </c>
      <c r="K23" s="456"/>
      <c r="L23" s="456">
        <f>'(ref.) Cal'!E70</f>
        <v>0</v>
      </c>
      <c r="M23" s="456"/>
      <c r="O23" s="147" t="s">
        <v>23</v>
      </c>
      <c r="Q23" s="149">
        <v>2025</v>
      </c>
      <c r="R23" s="397"/>
      <c r="S23" s="397"/>
      <c r="T23" s="397"/>
      <c r="U23" s="397"/>
      <c r="V23" s="397"/>
      <c r="W23" s="397"/>
      <c r="X23" s="489"/>
      <c r="Y23" s="135"/>
    </row>
    <row r="24" spans="2:25">
      <c r="B24" s="134"/>
      <c r="C24" s="146"/>
      <c r="D24" s="459"/>
      <c r="E24" s="460"/>
      <c r="F24" s="461"/>
      <c r="G24" s="461"/>
      <c r="H24" s="465"/>
      <c r="I24" s="279" t="s">
        <v>17</v>
      </c>
      <c r="J24" s="456">
        <f>'(ref.) Cal'!F71</f>
        <v>0</v>
      </c>
      <c r="K24" s="456"/>
      <c r="L24" s="456">
        <f>'(ref.) Cal'!E71</f>
        <v>0</v>
      </c>
      <c r="M24" s="456"/>
      <c r="O24" s="150"/>
      <c r="P24" s="153"/>
      <c r="Q24" s="152">
        <v>2024</v>
      </c>
      <c r="R24" s="493"/>
      <c r="S24" s="493"/>
      <c r="T24" s="493"/>
      <c r="U24" s="493"/>
      <c r="V24" s="493"/>
      <c r="W24" s="493"/>
      <c r="X24" s="494"/>
      <c r="Y24" s="135"/>
    </row>
    <row r="25" spans="2:25">
      <c r="B25" s="134"/>
      <c r="C25" s="154"/>
      <c r="D25" s="459"/>
      <c r="E25" s="460"/>
      <c r="F25" s="461"/>
      <c r="G25" s="461"/>
      <c r="H25" s="466"/>
      <c r="I25" s="281" t="s">
        <v>18</v>
      </c>
      <c r="J25" s="456">
        <f>'(ref.) Cal'!F72</f>
        <v>0</v>
      </c>
      <c r="K25" s="456"/>
      <c r="L25" s="456">
        <f>'(ref.) Cal'!E72</f>
        <v>0</v>
      </c>
      <c r="M25" s="456"/>
      <c r="O25" s="155"/>
      <c r="P25" s="156"/>
      <c r="Q25" s="156"/>
      <c r="R25" s="156"/>
      <c r="S25" s="156"/>
      <c r="T25" s="156"/>
      <c r="U25" s="156"/>
      <c r="V25" s="156"/>
      <c r="W25" s="156"/>
      <c r="X25" s="157"/>
      <c r="Y25" s="135"/>
    </row>
    <row r="26" spans="2:25" ht="15" thickBot="1">
      <c r="B26" s="134"/>
      <c r="Y26" s="135"/>
    </row>
    <row r="27" spans="2:25">
      <c r="B27" s="131" t="s">
        <v>24</v>
      </c>
      <c r="C27" s="132"/>
      <c r="D27" s="132"/>
      <c r="E27" s="132"/>
      <c r="F27" s="132"/>
      <c r="G27" s="132"/>
      <c r="H27" s="132"/>
      <c r="I27" s="132"/>
      <c r="J27" s="132"/>
      <c r="K27" s="132"/>
      <c r="L27" s="132"/>
      <c r="M27" s="132"/>
      <c r="N27" s="132"/>
      <c r="O27" s="132"/>
      <c r="P27" s="132"/>
      <c r="Q27" s="132"/>
      <c r="R27" s="132"/>
      <c r="S27" s="132"/>
      <c r="T27" s="132"/>
      <c r="U27" s="132"/>
      <c r="V27" s="132"/>
      <c r="W27" s="132"/>
      <c r="X27" s="132"/>
      <c r="Y27" s="133"/>
    </row>
    <row r="28" spans="2:25">
      <c r="B28" s="134"/>
      <c r="Y28" s="135"/>
    </row>
    <row r="29" spans="2:25">
      <c r="B29" s="134"/>
      <c r="C29" s="495" t="s">
        <v>25</v>
      </c>
      <c r="D29" s="496"/>
      <c r="E29" s="497"/>
      <c r="F29" s="474">
        <v>2025</v>
      </c>
      <c r="G29" s="475"/>
      <c r="H29" s="475"/>
      <c r="I29" s="475"/>
      <c r="J29" s="481">
        <v>2024</v>
      </c>
      <c r="K29" s="482"/>
      <c r="L29" s="482"/>
      <c r="M29" s="483"/>
      <c r="N29" s="158"/>
      <c r="O29" s="474" t="s">
        <v>26</v>
      </c>
      <c r="P29" s="475"/>
      <c r="Q29" s="475"/>
      <c r="R29" s="475"/>
      <c r="S29" s="476"/>
      <c r="T29" s="474" t="s">
        <v>27</v>
      </c>
      <c r="U29" s="475"/>
      <c r="V29" s="475"/>
      <c r="W29" s="475"/>
      <c r="X29" s="476"/>
      <c r="Y29" s="135"/>
    </row>
    <row r="30" spans="2:25">
      <c r="B30" s="134"/>
      <c r="C30" s="498"/>
      <c r="D30" s="499"/>
      <c r="E30" s="500"/>
      <c r="F30" s="474" t="s">
        <v>41</v>
      </c>
      <c r="G30" s="476"/>
      <c r="H30" s="474" t="s">
        <v>28</v>
      </c>
      <c r="I30" s="483"/>
      <c r="J30" s="474" t="s">
        <v>41</v>
      </c>
      <c r="K30" s="476"/>
      <c r="L30" s="474" t="s">
        <v>28</v>
      </c>
      <c r="M30" s="483"/>
      <c r="O30" s="655"/>
      <c r="P30" s="656"/>
      <c r="Q30" s="656"/>
      <c r="R30" s="656"/>
      <c r="S30" s="657"/>
      <c r="T30" s="485"/>
      <c r="U30" s="486"/>
      <c r="V30" s="486"/>
      <c r="W30" s="486"/>
      <c r="X30" s="487"/>
      <c r="Y30" s="135"/>
    </row>
    <row r="31" spans="2:25">
      <c r="B31" s="134"/>
      <c r="C31" s="501"/>
      <c r="D31" s="502"/>
      <c r="E31" s="503"/>
      <c r="F31" s="159" t="s">
        <v>8</v>
      </c>
      <c r="G31" s="159"/>
      <c r="H31" s="159" t="s">
        <v>8</v>
      </c>
      <c r="I31" s="160"/>
      <c r="J31" s="159" t="s">
        <v>8</v>
      </c>
      <c r="K31" s="159"/>
      <c r="L31" s="159" t="s">
        <v>8</v>
      </c>
      <c r="M31" s="160"/>
      <c r="O31" s="658"/>
      <c r="P31" s="659"/>
      <c r="Q31" s="659"/>
      <c r="R31" s="659"/>
      <c r="S31" s="660"/>
      <c r="T31" s="488"/>
      <c r="U31" s="397"/>
      <c r="V31" s="397"/>
      <c r="W31" s="397"/>
      <c r="X31" s="489"/>
      <c r="Y31" s="135"/>
    </row>
    <row r="32" spans="2:25">
      <c r="B32" s="134"/>
      <c r="C32" s="480" t="s">
        <v>29</v>
      </c>
      <c r="D32" s="480"/>
      <c r="E32" s="480"/>
      <c r="F32" s="161">
        <f>'(ref.) Cal'!G48</f>
        <v>4</v>
      </c>
      <c r="G32" s="162" t="str">
        <f>IF(F32&lt;2,"C",IF(F32&lt;3,"B-",IF(F32&lt;4,"B",IF(F32&lt;5,"B+",IF(F32=5,"A","")))))</f>
        <v>B+</v>
      </c>
      <c r="H32" s="161">
        <f>'(ref.) Cal'!F48</f>
        <v>1</v>
      </c>
      <c r="I32" s="162" t="str">
        <f>IF(H32&lt;2,"C",IF(H32&lt;3,"B-",IF(H32&lt;4,"B",IF(H32&lt;5,"B+",IF(H32=5,"A","")))))</f>
        <v>C</v>
      </c>
      <c r="J32" s="161" t="e">
        <f>'(ref.) Cal'!E48</f>
        <v>#N/A</v>
      </c>
      <c r="K32" s="162" t="e">
        <f>IF(J32&lt;2,"C",IF(J32&lt;3,"B-",IF(J32&lt;4,"B",IF(J32&lt;5,"B+",IF(J32=5,"A","")))))</f>
        <v>#N/A</v>
      </c>
      <c r="L32" s="161" t="e">
        <f>'(ref.) Cal'!D48</f>
        <v>#N/A</v>
      </c>
      <c r="M32" s="162" t="e">
        <f>IF(L32&lt;2,"C",IF(L32&lt;3,"B-",IF(L32&lt;4,"B",IF(L32&lt;5,"B+",IF(L32=5,"A","")))))</f>
        <v>#N/A</v>
      </c>
      <c r="O32" s="658"/>
      <c r="P32" s="659"/>
      <c r="Q32" s="659"/>
      <c r="R32" s="659"/>
      <c r="S32" s="660"/>
      <c r="T32" s="488"/>
      <c r="U32" s="397"/>
      <c r="V32" s="397"/>
      <c r="W32" s="397"/>
      <c r="X32" s="489"/>
      <c r="Y32" s="135"/>
    </row>
    <row r="33" spans="2:25">
      <c r="B33" s="134"/>
      <c r="C33" s="480" t="s">
        <v>30</v>
      </c>
      <c r="D33" s="480"/>
      <c r="E33" s="480"/>
      <c r="F33" s="161">
        <f>'(ref.) Cal'!G49</f>
        <v>5</v>
      </c>
      <c r="G33" s="162" t="str">
        <f t="shared" ref="G33:I38" si="0">IF(F33&lt;2,"C",IF(F33&lt;3,"B-",IF(F33&lt;4,"B",IF(F33&lt;5,"B+",IF(F33=5,"A","")))))</f>
        <v>A</v>
      </c>
      <c r="H33" s="161">
        <f>'(ref.) Cal'!F49</f>
        <v>5</v>
      </c>
      <c r="I33" s="162" t="str">
        <f t="shared" si="0"/>
        <v>A</v>
      </c>
      <c r="J33" s="161" t="e">
        <f>'(ref.) Cal'!E49</f>
        <v>#N/A</v>
      </c>
      <c r="K33" s="162" t="e">
        <f t="shared" ref="K33" si="1">IF(J33&lt;2,"C",IF(J33&lt;3,"B-",IF(J33&lt;4,"B",IF(J33&lt;5,"B+",IF(J33=5,"A","")))))</f>
        <v>#N/A</v>
      </c>
      <c r="L33" s="161" t="e">
        <f>'(ref.) Cal'!D49</f>
        <v>#N/A</v>
      </c>
      <c r="M33" s="162" t="e">
        <f t="shared" ref="M33" si="2">IF(L33&lt;2,"C",IF(L33&lt;3,"B-",IF(L33&lt;4,"B",IF(L33&lt;5,"B+",IF(L33=5,"A","")))))</f>
        <v>#N/A</v>
      </c>
      <c r="O33" s="658"/>
      <c r="P33" s="659"/>
      <c r="Q33" s="659"/>
      <c r="R33" s="659"/>
      <c r="S33" s="660"/>
      <c r="T33" s="488"/>
      <c r="U33" s="397"/>
      <c r="V33" s="397"/>
      <c r="W33" s="397"/>
      <c r="X33" s="489"/>
      <c r="Y33" s="135"/>
    </row>
    <row r="34" spans="2:25">
      <c r="B34" s="134"/>
      <c r="C34" s="480" t="s">
        <v>31</v>
      </c>
      <c r="D34" s="480"/>
      <c r="E34" s="480"/>
      <c r="F34" s="161">
        <f>'(ref.) Cal'!G50</f>
        <v>5</v>
      </c>
      <c r="G34" s="162" t="str">
        <f t="shared" si="0"/>
        <v>A</v>
      </c>
      <c r="H34" s="161">
        <f>'(ref.) Cal'!F50</f>
        <v>5</v>
      </c>
      <c r="I34" s="162" t="str">
        <f t="shared" si="0"/>
        <v>A</v>
      </c>
      <c r="J34" s="161" t="e">
        <f>'(ref.) Cal'!E50</f>
        <v>#N/A</v>
      </c>
      <c r="K34" s="162" t="e">
        <f t="shared" ref="K34" si="3">IF(J34&lt;2,"C",IF(J34&lt;3,"B-",IF(J34&lt;4,"B",IF(J34&lt;5,"B+",IF(J34=5,"A","")))))</f>
        <v>#N/A</v>
      </c>
      <c r="L34" s="161" t="e">
        <f>'(ref.) Cal'!D50</f>
        <v>#N/A</v>
      </c>
      <c r="M34" s="162" t="e">
        <f t="shared" ref="M34" si="4">IF(L34&lt;2,"C",IF(L34&lt;3,"B-",IF(L34&lt;4,"B",IF(L34&lt;5,"B+",IF(L34=5,"A","")))))</f>
        <v>#N/A</v>
      </c>
      <c r="O34" s="658"/>
      <c r="P34" s="659"/>
      <c r="Q34" s="659"/>
      <c r="R34" s="659"/>
      <c r="S34" s="660"/>
      <c r="T34" s="488"/>
      <c r="U34" s="397"/>
      <c r="V34" s="397"/>
      <c r="W34" s="397"/>
      <c r="X34" s="489"/>
      <c r="Y34" s="135"/>
    </row>
    <row r="35" spans="2:25">
      <c r="B35" s="134"/>
      <c r="C35" s="480" t="s">
        <v>32</v>
      </c>
      <c r="D35" s="480"/>
      <c r="E35" s="480"/>
      <c r="F35" s="161" t="e">
        <f>'(ref.) Cal'!G51</f>
        <v>#REF!</v>
      </c>
      <c r="G35" s="162" t="e">
        <f t="shared" si="0"/>
        <v>#REF!</v>
      </c>
      <c r="H35" s="161" t="e">
        <f>'(ref.) Cal'!F51</f>
        <v>#REF!</v>
      </c>
      <c r="I35" s="162" t="e">
        <f t="shared" si="0"/>
        <v>#REF!</v>
      </c>
      <c r="J35" s="161" t="e">
        <f>'(ref.) Cal'!E51</f>
        <v>#N/A</v>
      </c>
      <c r="K35" s="162" t="e">
        <f t="shared" ref="K35" si="5">IF(J35&lt;2,"C",IF(J35&lt;3,"B-",IF(J35&lt;4,"B",IF(J35&lt;5,"B+",IF(J35=5,"A","")))))</f>
        <v>#N/A</v>
      </c>
      <c r="L35" s="161" t="e">
        <f>'(ref.) Cal'!D51</f>
        <v>#N/A</v>
      </c>
      <c r="M35" s="162" t="e">
        <f t="shared" ref="M35" si="6">IF(L35&lt;2,"C",IF(L35&lt;3,"B-",IF(L35&lt;4,"B",IF(L35&lt;5,"B+",IF(L35=5,"A","")))))</f>
        <v>#N/A</v>
      </c>
      <c r="O35" s="658"/>
      <c r="P35" s="659"/>
      <c r="Q35" s="659"/>
      <c r="R35" s="659"/>
      <c r="S35" s="660"/>
      <c r="T35" s="488"/>
      <c r="U35" s="397"/>
      <c r="V35" s="397"/>
      <c r="W35" s="397"/>
      <c r="X35" s="489"/>
      <c r="Y35" s="135"/>
    </row>
    <row r="36" spans="2:25">
      <c r="B36" s="134"/>
      <c r="C36" s="480" t="s">
        <v>33</v>
      </c>
      <c r="D36" s="480"/>
      <c r="E36" s="480"/>
      <c r="F36" s="161">
        <f>'(ref.) Cal'!G52</f>
        <v>5</v>
      </c>
      <c r="G36" s="162" t="str">
        <f t="shared" si="0"/>
        <v>A</v>
      </c>
      <c r="H36" s="161">
        <f>'(ref.) Cal'!F52</f>
        <v>5</v>
      </c>
      <c r="I36" s="162" t="str">
        <f t="shared" si="0"/>
        <v>A</v>
      </c>
      <c r="J36" s="161" t="e">
        <f>'(ref.) Cal'!E52</f>
        <v>#N/A</v>
      </c>
      <c r="K36" s="162" t="e">
        <f t="shared" ref="K36" si="7">IF(J36&lt;2,"C",IF(J36&lt;3,"B-",IF(J36&lt;4,"B",IF(J36&lt;5,"B+",IF(J36=5,"A","")))))</f>
        <v>#N/A</v>
      </c>
      <c r="L36" s="161" t="e">
        <f>'(ref.) Cal'!D52</f>
        <v>#N/A</v>
      </c>
      <c r="M36" s="162" t="e">
        <f t="shared" ref="M36" si="8">IF(L36&lt;2,"C",IF(L36&lt;3,"B-",IF(L36&lt;4,"B",IF(L36&lt;5,"B+",IF(L36=5,"A","")))))</f>
        <v>#N/A</v>
      </c>
      <c r="O36" s="658"/>
      <c r="P36" s="659"/>
      <c r="Q36" s="659"/>
      <c r="R36" s="659"/>
      <c r="S36" s="660"/>
      <c r="T36" s="488"/>
      <c r="U36" s="397"/>
      <c r="V36" s="397"/>
      <c r="W36" s="397"/>
      <c r="X36" s="489"/>
      <c r="Y36" s="135"/>
    </row>
    <row r="37" spans="2:25">
      <c r="B37" s="134"/>
      <c r="F37" s="163"/>
      <c r="H37" s="163"/>
      <c r="J37" s="163"/>
      <c r="L37" s="163"/>
      <c r="O37" s="658"/>
      <c r="P37" s="659"/>
      <c r="Q37" s="659"/>
      <c r="R37" s="659"/>
      <c r="S37" s="660"/>
      <c r="T37" s="488"/>
      <c r="U37" s="397"/>
      <c r="V37" s="397"/>
      <c r="W37" s="397"/>
      <c r="X37" s="489"/>
      <c r="Y37" s="135"/>
    </row>
    <row r="38" spans="2:25">
      <c r="B38" s="134"/>
      <c r="C38" s="477" t="s">
        <v>40</v>
      </c>
      <c r="D38" s="478"/>
      <c r="E38" s="479"/>
      <c r="F38" s="161" t="e">
        <f>AVERAGE(F32:F36)</f>
        <v>#REF!</v>
      </c>
      <c r="G38" s="162" t="e">
        <f t="shared" si="0"/>
        <v>#REF!</v>
      </c>
      <c r="H38" s="161" t="e">
        <f>AVERAGE(H32:H36)</f>
        <v>#REF!</v>
      </c>
      <c r="I38" s="162" t="e">
        <f t="shared" si="0"/>
        <v>#REF!</v>
      </c>
      <c r="J38" s="161" t="e">
        <f>AVERAGE(J32:J36)</f>
        <v>#N/A</v>
      </c>
      <c r="K38" s="162" t="e">
        <f t="shared" ref="K38" si="9">IF(J38&lt;2,"C",IF(J38&lt;3,"B-",IF(J38&lt;4,"B",IF(J38&lt;5,"B+",IF(J38=5,"A","")))))</f>
        <v>#N/A</v>
      </c>
      <c r="L38" s="161" t="e">
        <f>AVERAGE(L32:L36)</f>
        <v>#N/A</v>
      </c>
      <c r="M38" s="162" t="e">
        <f t="shared" ref="M38" si="10">IF(L38&lt;2,"C",IF(L38&lt;3,"B-",IF(L38&lt;4,"B",IF(L38&lt;5,"B+",IF(L38=5,"A","")))))</f>
        <v>#N/A</v>
      </c>
      <c r="O38" s="661"/>
      <c r="P38" s="662"/>
      <c r="Q38" s="662"/>
      <c r="R38" s="662"/>
      <c r="S38" s="663"/>
      <c r="T38" s="490"/>
      <c r="U38" s="491"/>
      <c r="V38" s="491"/>
      <c r="W38" s="491"/>
      <c r="X38" s="492"/>
      <c r="Y38" s="135"/>
    </row>
    <row r="39" spans="2:25" ht="15" thickBot="1">
      <c r="B39" s="164"/>
      <c r="C39" s="165"/>
      <c r="D39" s="165"/>
      <c r="E39" s="165"/>
      <c r="F39" s="165"/>
      <c r="G39" s="165"/>
      <c r="H39" s="165"/>
      <c r="I39" s="165"/>
      <c r="J39" s="165"/>
      <c r="K39" s="165"/>
      <c r="L39" s="165"/>
      <c r="M39" s="165"/>
      <c r="N39" s="165"/>
      <c r="O39" s="165"/>
      <c r="P39" s="165"/>
      <c r="Q39" s="165"/>
      <c r="R39" s="165"/>
      <c r="S39" s="165"/>
      <c r="T39" s="165"/>
      <c r="U39" s="165"/>
      <c r="V39" s="165"/>
      <c r="W39" s="165"/>
      <c r="X39" s="165"/>
      <c r="Y39" s="166"/>
    </row>
    <row r="40" spans="2:25">
      <c r="B40" s="131" t="s">
        <v>35</v>
      </c>
      <c r="C40" s="167"/>
      <c r="D40" s="132"/>
      <c r="E40" s="132"/>
      <c r="F40" s="132"/>
      <c r="G40" s="132"/>
      <c r="H40" s="132"/>
      <c r="I40" s="132"/>
      <c r="J40" s="132"/>
      <c r="K40" s="132"/>
      <c r="L40" s="132"/>
      <c r="M40" s="132"/>
      <c r="N40" s="132"/>
      <c r="O40" s="132"/>
      <c r="P40" s="132"/>
      <c r="Q40" s="132"/>
      <c r="R40" s="132"/>
      <c r="S40" s="132"/>
      <c r="T40" s="132"/>
      <c r="U40" s="132"/>
      <c r="V40" s="132"/>
      <c r="W40" s="132"/>
      <c r="X40" s="132"/>
      <c r="Y40" s="133"/>
    </row>
    <row r="41" spans="2:25">
      <c r="B41" s="168"/>
      <c r="C41" s="169"/>
      <c r="D41" s="169"/>
      <c r="E41" s="169"/>
      <c r="F41" s="169"/>
      <c r="G41" s="169"/>
      <c r="H41" s="169"/>
      <c r="I41" s="169"/>
      <c r="J41" s="169"/>
      <c r="K41" s="169"/>
      <c r="L41" s="169"/>
      <c r="M41" s="169"/>
      <c r="N41" s="169"/>
      <c r="O41" s="169"/>
      <c r="P41" s="169"/>
      <c r="Q41" s="169"/>
      <c r="R41" s="169"/>
      <c r="S41" s="169"/>
      <c r="T41" s="169"/>
      <c r="U41" s="169"/>
      <c r="V41" s="169"/>
      <c r="W41" s="169"/>
      <c r="X41" s="169"/>
      <c r="Y41" s="170"/>
    </row>
    <row r="42" spans="2:25">
      <c r="B42" s="168"/>
      <c r="C42" s="484" t="s">
        <v>42</v>
      </c>
      <c r="D42" s="484"/>
      <c r="E42" s="484"/>
      <c r="F42" s="484"/>
      <c r="G42" s="484"/>
      <c r="H42" s="484"/>
      <c r="I42" s="484"/>
      <c r="J42" s="484"/>
      <c r="K42" s="484"/>
      <c r="L42" s="484"/>
      <c r="M42" s="484"/>
      <c r="N42" s="484"/>
      <c r="O42" s="484"/>
      <c r="P42" s="484"/>
      <c r="Q42" s="484"/>
      <c r="R42" s="484"/>
      <c r="S42" s="484"/>
      <c r="T42" s="484"/>
      <c r="U42" s="484"/>
      <c r="V42" s="484"/>
      <c r="W42" s="484"/>
      <c r="X42" s="484"/>
      <c r="Y42" s="170"/>
    </row>
    <row r="43" spans="2:25">
      <c r="B43" s="168"/>
      <c r="C43" s="484"/>
      <c r="D43" s="484"/>
      <c r="E43" s="484"/>
      <c r="F43" s="484"/>
      <c r="G43" s="484"/>
      <c r="H43" s="484"/>
      <c r="I43" s="484"/>
      <c r="J43" s="484"/>
      <c r="K43" s="484"/>
      <c r="L43" s="484"/>
      <c r="M43" s="484"/>
      <c r="N43" s="484"/>
      <c r="O43" s="484"/>
      <c r="P43" s="484"/>
      <c r="Q43" s="484"/>
      <c r="R43" s="484"/>
      <c r="S43" s="484"/>
      <c r="T43" s="484"/>
      <c r="U43" s="484"/>
      <c r="V43" s="484"/>
      <c r="W43" s="484"/>
      <c r="X43" s="484"/>
      <c r="Y43" s="170"/>
    </row>
    <row r="44" spans="2:25">
      <c r="B44" s="168"/>
      <c r="C44" s="484"/>
      <c r="D44" s="484"/>
      <c r="E44" s="484"/>
      <c r="F44" s="484"/>
      <c r="G44" s="484"/>
      <c r="H44" s="484"/>
      <c r="I44" s="484"/>
      <c r="J44" s="484"/>
      <c r="K44" s="484"/>
      <c r="L44" s="484"/>
      <c r="M44" s="484"/>
      <c r="N44" s="484"/>
      <c r="O44" s="484"/>
      <c r="P44" s="484"/>
      <c r="Q44" s="484"/>
      <c r="R44" s="484"/>
      <c r="S44" s="484"/>
      <c r="T44" s="484"/>
      <c r="U44" s="484"/>
      <c r="V44" s="484"/>
      <c r="W44" s="484"/>
      <c r="X44" s="484"/>
      <c r="Y44" s="170"/>
    </row>
    <row r="45" spans="2:25">
      <c r="B45" s="168"/>
      <c r="C45" s="484"/>
      <c r="D45" s="484"/>
      <c r="E45" s="484"/>
      <c r="F45" s="484"/>
      <c r="G45" s="484"/>
      <c r="H45" s="484"/>
      <c r="I45" s="484"/>
      <c r="J45" s="484"/>
      <c r="K45" s="484"/>
      <c r="L45" s="484"/>
      <c r="M45" s="484"/>
      <c r="N45" s="484"/>
      <c r="O45" s="484"/>
      <c r="P45" s="484"/>
      <c r="Q45" s="484"/>
      <c r="R45" s="484"/>
      <c r="S45" s="484"/>
      <c r="T45" s="484"/>
      <c r="U45" s="484"/>
      <c r="V45" s="484"/>
      <c r="W45" s="484"/>
      <c r="X45" s="484"/>
      <c r="Y45" s="170"/>
    </row>
    <row r="46" spans="2:25">
      <c r="B46" s="168"/>
      <c r="C46" s="484"/>
      <c r="D46" s="484"/>
      <c r="E46" s="484"/>
      <c r="F46" s="484"/>
      <c r="G46" s="484"/>
      <c r="H46" s="484"/>
      <c r="I46" s="484"/>
      <c r="J46" s="484"/>
      <c r="K46" s="484"/>
      <c r="L46" s="484"/>
      <c r="M46" s="484"/>
      <c r="N46" s="484"/>
      <c r="O46" s="484"/>
      <c r="P46" s="484"/>
      <c r="Q46" s="484"/>
      <c r="R46" s="484"/>
      <c r="S46" s="484"/>
      <c r="T46" s="484"/>
      <c r="U46" s="484"/>
      <c r="V46" s="484"/>
      <c r="W46" s="484"/>
      <c r="X46" s="484"/>
      <c r="Y46" s="170"/>
    </row>
    <row r="47" spans="2:25">
      <c r="B47" s="168"/>
      <c r="C47" s="484"/>
      <c r="D47" s="484"/>
      <c r="E47" s="484"/>
      <c r="F47" s="484"/>
      <c r="G47" s="484"/>
      <c r="H47" s="484"/>
      <c r="I47" s="484"/>
      <c r="J47" s="484"/>
      <c r="K47" s="484"/>
      <c r="L47" s="484"/>
      <c r="M47" s="484"/>
      <c r="N47" s="484"/>
      <c r="O47" s="484"/>
      <c r="P47" s="484"/>
      <c r="Q47" s="484"/>
      <c r="R47" s="484"/>
      <c r="S47" s="484"/>
      <c r="T47" s="484"/>
      <c r="U47" s="484"/>
      <c r="V47" s="484"/>
      <c r="W47" s="484"/>
      <c r="X47" s="484"/>
      <c r="Y47" s="170"/>
    </row>
    <row r="48" spans="2:25">
      <c r="B48" s="168"/>
      <c r="C48" s="484"/>
      <c r="D48" s="484"/>
      <c r="E48" s="484"/>
      <c r="F48" s="484"/>
      <c r="G48" s="484"/>
      <c r="H48" s="484"/>
      <c r="I48" s="484"/>
      <c r="J48" s="484"/>
      <c r="K48" s="484"/>
      <c r="L48" s="484"/>
      <c r="M48" s="484"/>
      <c r="N48" s="484"/>
      <c r="O48" s="484"/>
      <c r="P48" s="484"/>
      <c r="Q48" s="484"/>
      <c r="R48" s="484"/>
      <c r="S48" s="484"/>
      <c r="T48" s="484"/>
      <c r="U48" s="484"/>
      <c r="V48" s="484"/>
      <c r="W48" s="484"/>
      <c r="X48" s="484"/>
      <c r="Y48" s="170"/>
    </row>
    <row r="49" spans="2:25">
      <c r="B49" s="168"/>
      <c r="C49" s="484"/>
      <c r="D49" s="484"/>
      <c r="E49" s="484"/>
      <c r="F49" s="484"/>
      <c r="G49" s="484"/>
      <c r="H49" s="484"/>
      <c r="I49" s="484"/>
      <c r="J49" s="484"/>
      <c r="K49" s="484"/>
      <c r="L49" s="484"/>
      <c r="M49" s="484"/>
      <c r="N49" s="484"/>
      <c r="O49" s="484"/>
      <c r="P49" s="484"/>
      <c r="Q49" s="484"/>
      <c r="R49" s="484"/>
      <c r="S49" s="484"/>
      <c r="T49" s="484"/>
      <c r="U49" s="484"/>
      <c r="V49" s="484"/>
      <c r="W49" s="484"/>
      <c r="X49" s="484"/>
      <c r="Y49" s="170"/>
    </row>
    <row r="50" spans="2:25">
      <c r="B50" s="168"/>
      <c r="C50" s="484"/>
      <c r="D50" s="484"/>
      <c r="E50" s="484"/>
      <c r="F50" s="484"/>
      <c r="G50" s="484"/>
      <c r="H50" s="484"/>
      <c r="I50" s="484"/>
      <c r="J50" s="484"/>
      <c r="K50" s="484"/>
      <c r="L50" s="484"/>
      <c r="M50" s="484"/>
      <c r="N50" s="484"/>
      <c r="O50" s="484"/>
      <c r="P50" s="484"/>
      <c r="Q50" s="484"/>
      <c r="R50" s="484"/>
      <c r="S50" s="484"/>
      <c r="T50" s="484"/>
      <c r="U50" s="484"/>
      <c r="V50" s="484"/>
      <c r="W50" s="484"/>
      <c r="X50" s="484"/>
      <c r="Y50" s="170"/>
    </row>
    <row r="51" spans="2:25">
      <c r="B51" s="168"/>
      <c r="C51" s="484"/>
      <c r="D51" s="484"/>
      <c r="E51" s="484"/>
      <c r="F51" s="484"/>
      <c r="G51" s="484"/>
      <c r="H51" s="484"/>
      <c r="I51" s="484"/>
      <c r="J51" s="484"/>
      <c r="K51" s="484"/>
      <c r="L51" s="484"/>
      <c r="M51" s="484"/>
      <c r="N51" s="484"/>
      <c r="O51" s="484"/>
      <c r="P51" s="484"/>
      <c r="Q51" s="484"/>
      <c r="R51" s="484"/>
      <c r="S51" s="484"/>
      <c r="T51" s="484"/>
      <c r="U51" s="484"/>
      <c r="V51" s="484"/>
      <c r="W51" s="484"/>
      <c r="X51" s="484"/>
      <c r="Y51" s="170"/>
    </row>
    <row r="52" spans="2:25">
      <c r="B52" s="168"/>
      <c r="C52" s="484"/>
      <c r="D52" s="484"/>
      <c r="E52" s="484"/>
      <c r="F52" s="484"/>
      <c r="G52" s="484"/>
      <c r="H52" s="484"/>
      <c r="I52" s="484"/>
      <c r="J52" s="484"/>
      <c r="K52" s="484"/>
      <c r="L52" s="484"/>
      <c r="M52" s="484"/>
      <c r="N52" s="484"/>
      <c r="O52" s="484"/>
      <c r="P52" s="484"/>
      <c r="Q52" s="484"/>
      <c r="R52" s="484"/>
      <c r="S52" s="484"/>
      <c r="T52" s="484"/>
      <c r="U52" s="484"/>
      <c r="V52" s="484"/>
      <c r="W52" s="484"/>
      <c r="X52" s="484"/>
      <c r="Y52" s="170"/>
    </row>
    <row r="53" spans="2:25">
      <c r="B53" s="168"/>
      <c r="C53" s="484"/>
      <c r="D53" s="484"/>
      <c r="E53" s="484"/>
      <c r="F53" s="484"/>
      <c r="G53" s="484"/>
      <c r="H53" s="484"/>
      <c r="I53" s="484"/>
      <c r="J53" s="484"/>
      <c r="K53" s="484"/>
      <c r="L53" s="484"/>
      <c r="M53" s="484"/>
      <c r="N53" s="484"/>
      <c r="O53" s="484"/>
      <c r="P53" s="484"/>
      <c r="Q53" s="484"/>
      <c r="R53" s="484"/>
      <c r="S53" s="484"/>
      <c r="T53" s="484"/>
      <c r="U53" s="484"/>
      <c r="V53" s="484"/>
      <c r="W53" s="484"/>
      <c r="X53" s="484"/>
      <c r="Y53" s="170"/>
    </row>
    <row r="54" spans="2:25">
      <c r="B54" s="168"/>
      <c r="C54" s="484"/>
      <c r="D54" s="484"/>
      <c r="E54" s="484"/>
      <c r="F54" s="484"/>
      <c r="G54" s="484"/>
      <c r="H54" s="484"/>
      <c r="I54" s="484"/>
      <c r="J54" s="484"/>
      <c r="K54" s="484"/>
      <c r="L54" s="484"/>
      <c r="M54" s="484"/>
      <c r="N54" s="484"/>
      <c r="O54" s="484"/>
      <c r="P54" s="484"/>
      <c r="Q54" s="484"/>
      <c r="R54" s="484"/>
      <c r="S54" s="484"/>
      <c r="T54" s="484"/>
      <c r="U54" s="484"/>
      <c r="V54" s="484"/>
      <c r="W54" s="484"/>
      <c r="X54" s="484"/>
      <c r="Y54" s="170"/>
    </row>
    <row r="55" spans="2:25">
      <c r="B55" s="168"/>
      <c r="C55" s="484"/>
      <c r="D55" s="484"/>
      <c r="E55" s="484"/>
      <c r="F55" s="484"/>
      <c r="G55" s="484"/>
      <c r="H55" s="484"/>
      <c r="I55" s="484"/>
      <c r="J55" s="484"/>
      <c r="K55" s="484"/>
      <c r="L55" s="484"/>
      <c r="M55" s="484"/>
      <c r="N55" s="484"/>
      <c r="O55" s="484"/>
      <c r="P55" s="484"/>
      <c r="Q55" s="484"/>
      <c r="R55" s="484"/>
      <c r="S55" s="484"/>
      <c r="T55" s="484"/>
      <c r="U55" s="484"/>
      <c r="V55" s="484"/>
      <c r="W55" s="484"/>
      <c r="X55" s="484"/>
      <c r="Y55" s="170"/>
    </row>
    <row r="56" spans="2:25">
      <c r="B56" s="168"/>
      <c r="C56" s="484"/>
      <c r="D56" s="484"/>
      <c r="E56" s="484"/>
      <c r="F56" s="484"/>
      <c r="G56" s="484"/>
      <c r="H56" s="484"/>
      <c r="I56" s="484"/>
      <c r="J56" s="484"/>
      <c r="K56" s="484"/>
      <c r="L56" s="484"/>
      <c r="M56" s="484"/>
      <c r="N56" s="484"/>
      <c r="O56" s="484"/>
      <c r="P56" s="484"/>
      <c r="Q56" s="484"/>
      <c r="R56" s="484"/>
      <c r="S56" s="484"/>
      <c r="T56" s="484"/>
      <c r="U56" s="484"/>
      <c r="V56" s="484"/>
      <c r="W56" s="484"/>
      <c r="X56" s="484"/>
      <c r="Y56" s="170"/>
    </row>
    <row r="57" spans="2:25">
      <c r="B57" s="168"/>
      <c r="C57" s="484"/>
      <c r="D57" s="484"/>
      <c r="E57" s="484"/>
      <c r="F57" s="484"/>
      <c r="G57" s="484"/>
      <c r="H57" s="484"/>
      <c r="I57" s="484"/>
      <c r="J57" s="484"/>
      <c r="K57" s="484"/>
      <c r="L57" s="484"/>
      <c r="M57" s="484"/>
      <c r="N57" s="484"/>
      <c r="O57" s="484"/>
      <c r="P57" s="484"/>
      <c r="Q57" s="484"/>
      <c r="R57" s="484"/>
      <c r="S57" s="484"/>
      <c r="T57" s="484"/>
      <c r="U57" s="484"/>
      <c r="V57" s="484"/>
      <c r="W57" s="484"/>
      <c r="X57" s="484"/>
      <c r="Y57" s="170"/>
    </row>
    <row r="58" spans="2:25" ht="15" thickBot="1">
      <c r="B58" s="171"/>
      <c r="C58" s="172"/>
      <c r="D58" s="172"/>
      <c r="E58" s="172"/>
      <c r="F58" s="172"/>
      <c r="G58" s="172"/>
      <c r="H58" s="172"/>
      <c r="I58" s="172"/>
      <c r="J58" s="172"/>
      <c r="K58" s="172"/>
      <c r="L58" s="172"/>
      <c r="M58" s="172"/>
      <c r="N58" s="172"/>
      <c r="O58" s="172"/>
      <c r="P58" s="172"/>
      <c r="Q58" s="172"/>
      <c r="R58" s="172"/>
      <c r="S58" s="172"/>
      <c r="T58" s="172"/>
      <c r="U58" s="172"/>
      <c r="V58" s="172"/>
      <c r="W58" s="172"/>
      <c r="X58" s="172"/>
      <c r="Y58" s="173"/>
    </row>
  </sheetData>
  <mergeCells count="70">
    <mergeCell ref="C42:X57"/>
    <mergeCell ref="T30:X38"/>
    <mergeCell ref="O9:S17"/>
    <mergeCell ref="R19:X24"/>
    <mergeCell ref="E21:G25"/>
    <mergeCell ref="H21:I21"/>
    <mergeCell ref="H22:H25"/>
    <mergeCell ref="J22:K22"/>
    <mergeCell ref="L22:M22"/>
    <mergeCell ref="J23:K23"/>
    <mergeCell ref="L23:M23"/>
    <mergeCell ref="J24:K24"/>
    <mergeCell ref="L24:M24"/>
    <mergeCell ref="J25:K25"/>
    <mergeCell ref="O18:X18"/>
    <mergeCell ref="C29:E31"/>
    <mergeCell ref="J29:M29"/>
    <mergeCell ref="O29:S29"/>
    <mergeCell ref="T29:X29"/>
    <mergeCell ref="F30:G30"/>
    <mergeCell ref="H30:I30"/>
    <mergeCell ref="J30:K30"/>
    <mergeCell ref="L30:M30"/>
    <mergeCell ref="O30:S38"/>
    <mergeCell ref="C38:E38"/>
    <mergeCell ref="H17:H20"/>
    <mergeCell ref="J17:K17"/>
    <mergeCell ref="L17:M17"/>
    <mergeCell ref="J18:K18"/>
    <mergeCell ref="L18:M18"/>
    <mergeCell ref="J19:K19"/>
    <mergeCell ref="L19:M19"/>
    <mergeCell ref="J20:K20"/>
    <mergeCell ref="L20:M20"/>
    <mergeCell ref="C32:E32"/>
    <mergeCell ref="C33:E33"/>
    <mergeCell ref="C34:E34"/>
    <mergeCell ref="C35:E35"/>
    <mergeCell ref="C36:E36"/>
    <mergeCell ref="F29:I29"/>
    <mergeCell ref="S2:T2"/>
    <mergeCell ref="U2:V2"/>
    <mergeCell ref="W2:X2"/>
    <mergeCell ref="S3:T3"/>
    <mergeCell ref="U3:V3"/>
    <mergeCell ref="W3:X3"/>
    <mergeCell ref="B4:C4"/>
    <mergeCell ref="D4:F4"/>
    <mergeCell ref="G4:I4"/>
    <mergeCell ref="J4:O4"/>
    <mergeCell ref="C8:I9"/>
    <mergeCell ref="J8:K8"/>
    <mergeCell ref="L8:M8"/>
    <mergeCell ref="O8:S8"/>
    <mergeCell ref="J12:K12"/>
    <mergeCell ref="L12:M12"/>
    <mergeCell ref="J13:K13"/>
    <mergeCell ref="C10:E10"/>
    <mergeCell ref="D11:D25"/>
    <mergeCell ref="E11:G15"/>
    <mergeCell ref="H11:I11"/>
    <mergeCell ref="H12:H15"/>
    <mergeCell ref="L13:M13"/>
    <mergeCell ref="J14:K14"/>
    <mergeCell ref="L14:M14"/>
    <mergeCell ref="J15:K15"/>
    <mergeCell ref="L15:M15"/>
    <mergeCell ref="L25:M25"/>
    <mergeCell ref="E16:G20"/>
    <mergeCell ref="H16:I16"/>
  </mergeCells>
  <phoneticPr fontId="6"/>
  <pageMargins left="0.25" right="0.25" top="0.75" bottom="0.75" header="0.3" footer="0.3"/>
  <pageSetup paperSize="9" scale="59" fitToHeight="0" orientation="portrait"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B86B1-AE6A-498D-884B-B7290EBB2769}">
  <sheetPr codeName="Sheet2">
    <tabColor rgb="FFFF0000"/>
    <pageSetUpPr fitToPage="1"/>
  </sheetPr>
  <dimension ref="B1:Y57"/>
  <sheetViews>
    <sheetView view="pageBreakPreview" zoomScale="96" zoomScaleNormal="100" zoomScaleSheetLayoutView="130" workbookViewId="0">
      <selection activeCell="N32" sqref="N32"/>
    </sheetView>
  </sheetViews>
  <sheetFormatPr defaultColWidth="8.5703125" defaultRowHeight="14.45"/>
  <cols>
    <col min="1" max="2" width="3.42578125" style="57" customWidth="1"/>
    <col min="3" max="24" width="7.140625" style="57" customWidth="1"/>
    <col min="25" max="25" width="1.42578125" style="57" customWidth="1"/>
    <col min="26" max="16384" width="8.5703125" style="57"/>
  </cols>
  <sheetData>
    <row r="1" spans="2:25">
      <c r="X1" s="94"/>
    </row>
    <row r="2" spans="2:25" ht="18" customHeight="1">
      <c r="B2" s="46"/>
      <c r="C2" s="46"/>
      <c r="D2" s="46"/>
      <c r="E2" s="46"/>
      <c r="F2" s="46"/>
      <c r="G2" s="46"/>
      <c r="H2" s="46"/>
      <c r="I2" s="46"/>
      <c r="J2" s="46"/>
      <c r="K2" s="46"/>
      <c r="L2" s="46"/>
      <c r="M2" s="46"/>
      <c r="N2" s="46"/>
      <c r="O2" s="46"/>
      <c r="P2" s="46"/>
      <c r="Q2" s="46"/>
      <c r="S2" s="506"/>
      <c r="T2" s="506"/>
      <c r="U2" s="506"/>
      <c r="V2" s="506"/>
      <c r="W2" s="400"/>
      <c r="X2" s="400"/>
    </row>
    <row r="3" spans="2:25" ht="60.95" customHeight="1">
      <c r="B3" s="47" t="s">
        <v>43</v>
      </c>
      <c r="C3" s="46"/>
      <c r="D3" s="46"/>
      <c r="E3" s="46"/>
      <c r="F3" s="46"/>
      <c r="G3" s="46"/>
      <c r="H3" s="46"/>
      <c r="I3" s="46"/>
      <c r="J3" s="46"/>
      <c r="K3" s="46"/>
      <c r="L3" s="46"/>
      <c r="M3" s="46"/>
      <c r="N3" s="46"/>
      <c r="O3" s="46"/>
      <c r="P3" s="46"/>
      <c r="Q3" s="46"/>
      <c r="S3" s="506"/>
      <c r="T3" s="506"/>
      <c r="U3" s="506"/>
      <c r="V3" s="506"/>
      <c r="W3" s="400"/>
      <c r="X3" s="400"/>
    </row>
    <row r="4" spans="2:25" s="65" customFormat="1" ht="33.950000000000003" customHeight="1">
      <c r="B4" s="507" t="s">
        <v>3</v>
      </c>
      <c r="C4" s="507"/>
      <c r="D4" s="507"/>
      <c r="E4" s="507"/>
      <c r="F4" s="507"/>
      <c r="G4" s="507" t="s">
        <v>4</v>
      </c>
      <c r="H4" s="507"/>
      <c r="I4" s="507"/>
      <c r="J4" s="508"/>
      <c r="K4" s="508"/>
      <c r="L4" s="508"/>
      <c r="M4" s="508"/>
      <c r="N4" s="508"/>
      <c r="O4" s="508"/>
    </row>
    <row r="5" spans="2:25" ht="18" customHeight="1" thickBot="1">
      <c r="B5" s="46"/>
      <c r="C5" s="46"/>
      <c r="D5" s="46"/>
      <c r="E5" s="46"/>
      <c r="F5" s="46"/>
      <c r="G5" s="46"/>
      <c r="H5" s="46"/>
      <c r="I5" s="46"/>
      <c r="J5" s="46"/>
      <c r="K5" s="46"/>
      <c r="L5" s="46"/>
      <c r="M5" s="46"/>
      <c r="N5" s="46"/>
      <c r="O5" s="46"/>
      <c r="P5" s="46"/>
      <c r="Q5" s="46"/>
      <c r="R5" s="46"/>
      <c r="S5" s="46"/>
      <c r="T5" s="46"/>
      <c r="U5" s="46"/>
      <c r="V5" s="46"/>
      <c r="W5" s="46"/>
      <c r="X5" s="46"/>
      <c r="Y5" s="46"/>
    </row>
    <row r="6" spans="2:25">
      <c r="B6" s="61" t="s">
        <v>5</v>
      </c>
      <c r="C6" s="119"/>
      <c r="D6" s="119"/>
      <c r="E6" s="119"/>
      <c r="F6" s="119"/>
      <c r="G6" s="119"/>
      <c r="H6" s="119"/>
      <c r="I6" s="119"/>
      <c r="J6" s="119"/>
      <c r="K6" s="119"/>
      <c r="L6" s="119"/>
      <c r="M6" s="119"/>
      <c r="N6" s="119"/>
      <c r="O6" s="119"/>
      <c r="P6" s="119"/>
      <c r="Q6" s="119"/>
      <c r="R6" s="119"/>
      <c r="S6" s="119"/>
      <c r="T6" s="119"/>
      <c r="U6" s="119"/>
      <c r="V6" s="119"/>
      <c r="W6" s="119"/>
      <c r="X6" s="119"/>
      <c r="Y6" s="120"/>
    </row>
    <row r="7" spans="2:25">
      <c r="B7" s="66"/>
      <c r="Y7" s="67"/>
    </row>
    <row r="8" spans="2:25">
      <c r="B8" s="66"/>
      <c r="C8" s="509" t="s">
        <v>6</v>
      </c>
      <c r="D8" s="510"/>
      <c r="E8" s="510"/>
      <c r="F8" s="510"/>
      <c r="G8" s="510"/>
      <c r="H8" s="510"/>
      <c r="I8" s="511"/>
      <c r="J8" s="515">
        <v>2025</v>
      </c>
      <c r="K8" s="515"/>
      <c r="L8" s="515">
        <v>2024</v>
      </c>
      <c r="M8" s="515"/>
      <c r="O8" s="474" t="s">
        <v>7</v>
      </c>
      <c r="P8" s="475"/>
      <c r="Q8" s="475"/>
      <c r="R8" s="475"/>
      <c r="S8" s="476"/>
      <c r="T8" s="124"/>
      <c r="U8" s="124"/>
      <c r="V8" s="124"/>
      <c r="W8" s="124"/>
      <c r="X8" s="124"/>
      <c r="Y8" s="67"/>
    </row>
    <row r="9" spans="2:25">
      <c r="B9" s="66"/>
      <c r="C9" s="512"/>
      <c r="D9" s="513"/>
      <c r="E9" s="513"/>
      <c r="F9" s="513"/>
      <c r="G9" s="513"/>
      <c r="H9" s="513"/>
      <c r="I9" s="514"/>
      <c r="J9" s="95" t="s">
        <v>8</v>
      </c>
      <c r="K9" s="95"/>
      <c r="L9" s="95" t="s">
        <v>8</v>
      </c>
      <c r="M9" s="95"/>
      <c r="O9" s="517"/>
      <c r="P9" s="518"/>
      <c r="Q9" s="518"/>
      <c r="R9" s="518"/>
      <c r="S9" s="519"/>
      <c r="T9" s="124"/>
      <c r="U9" s="124"/>
      <c r="V9" s="124"/>
      <c r="W9" s="124"/>
      <c r="X9" s="124"/>
      <c r="Y9" s="67"/>
    </row>
    <row r="10" spans="2:25">
      <c r="B10" s="66"/>
      <c r="C10" s="504"/>
      <c r="D10" s="505"/>
      <c r="E10" s="505"/>
      <c r="F10" s="96"/>
      <c r="G10" s="97"/>
      <c r="H10" s="140"/>
      <c r="I10" s="174" t="s">
        <v>40</v>
      </c>
      <c r="J10" s="98">
        <f>'(ref.) Cal'!E81</f>
        <v>4.166666666666667</v>
      </c>
      <c r="K10" s="99" t="str">
        <f>IF(J10&lt;2,"C",IF(J10&lt;3,"B-",IF(J10&lt;4,"B",IF(J10&lt;5,"B+",IF(J10=5,"A","")))))</f>
        <v>B+</v>
      </c>
      <c r="L10" s="100" t="e">
        <f>'(ref.) Cal'!D81</f>
        <v>#REF!</v>
      </c>
      <c r="M10" s="100" t="e">
        <f>IF(L10&lt;2,"C",IF(L10&lt;3,"B-",IF(L10&lt;4,"B",IF(L10&lt;5,"B+",IF(L10=5,"A","")))))</f>
        <v>#REF!</v>
      </c>
      <c r="O10" s="520"/>
      <c r="P10" s="521"/>
      <c r="Q10" s="521"/>
      <c r="R10" s="521"/>
      <c r="S10" s="522"/>
      <c r="T10" s="124"/>
      <c r="U10" s="124"/>
      <c r="V10" s="124"/>
      <c r="W10" s="124"/>
      <c r="X10" s="124"/>
      <c r="Y10" s="67"/>
    </row>
    <row r="11" spans="2:25" ht="18" customHeight="1">
      <c r="B11" s="66"/>
      <c r="C11" s="102"/>
      <c r="D11" s="459" t="s">
        <v>11</v>
      </c>
      <c r="E11" s="460" t="s">
        <v>12</v>
      </c>
      <c r="F11" s="461"/>
      <c r="G11" s="461"/>
      <c r="H11" s="462" t="s">
        <v>41</v>
      </c>
      <c r="I11" s="463"/>
      <c r="J11" s="100">
        <f>'(ref.) Cal'!E80</f>
        <v>4</v>
      </c>
      <c r="K11" s="101" t="str">
        <f>IF(J11=5,"A",IF(J11&gt;=4,"B+",IF(J11&gt;=3,"B",IF(J11&gt;=2,"B-",IF(J11&gt;=1, "C","-")))))</f>
        <v>B+</v>
      </c>
      <c r="L11" s="100" t="e">
        <f>'(ref.) Cal'!D80</f>
        <v>#REF!</v>
      </c>
      <c r="M11" s="101" t="e">
        <f>IF(L11=5,"A",IF(L11&gt;=4,"B+",IF(L11&gt;=3,"B",IF(L11&gt;=2,"B-",IF(L11&gt;=1, "C","-")))))</f>
        <v>#REF!</v>
      </c>
      <c r="O11" s="520"/>
      <c r="P11" s="521"/>
      <c r="Q11" s="521"/>
      <c r="R11" s="521"/>
      <c r="S11" s="522"/>
      <c r="T11" s="124"/>
      <c r="U11" s="124"/>
      <c r="V11" s="124"/>
      <c r="W11" s="124"/>
      <c r="X11" s="124"/>
      <c r="Y11" s="67"/>
    </row>
    <row r="12" spans="2:25" ht="18" customHeight="1">
      <c r="B12" s="66"/>
      <c r="C12" s="102"/>
      <c r="D12" s="459"/>
      <c r="E12" s="460"/>
      <c r="F12" s="461"/>
      <c r="G12" s="461"/>
      <c r="H12" s="464" t="s">
        <v>14</v>
      </c>
      <c r="I12" s="279" t="s">
        <v>15</v>
      </c>
      <c r="J12" s="516">
        <f>'(ref.) Cal'!F93</f>
        <v>6</v>
      </c>
      <c r="K12" s="516"/>
      <c r="L12" s="516">
        <f>'(ref.) Cal'!E93</f>
        <v>0</v>
      </c>
      <c r="M12" s="516"/>
      <c r="O12" s="520"/>
      <c r="P12" s="521"/>
      <c r="Q12" s="521"/>
      <c r="R12" s="521"/>
      <c r="S12" s="522"/>
      <c r="T12" s="124"/>
      <c r="U12" s="124"/>
      <c r="V12" s="124"/>
      <c r="W12" s="124"/>
      <c r="X12" s="124"/>
      <c r="Y12" s="67"/>
    </row>
    <row r="13" spans="2:25">
      <c r="B13" s="66"/>
      <c r="C13" s="102"/>
      <c r="D13" s="459"/>
      <c r="E13" s="460"/>
      <c r="F13" s="461"/>
      <c r="G13" s="461"/>
      <c r="H13" s="465"/>
      <c r="I13" s="279" t="s">
        <v>16</v>
      </c>
      <c r="J13" s="516">
        <f>'(ref.) Cal'!F94</f>
        <v>3</v>
      </c>
      <c r="K13" s="516"/>
      <c r="L13" s="516">
        <f>'(ref.) Cal'!E94</f>
        <v>0</v>
      </c>
      <c r="M13" s="516"/>
      <c r="O13" s="520"/>
      <c r="P13" s="521"/>
      <c r="Q13" s="521"/>
      <c r="R13" s="521"/>
      <c r="S13" s="522"/>
      <c r="T13" s="124"/>
      <c r="U13" s="124"/>
      <c r="V13" s="124"/>
      <c r="W13" s="124"/>
      <c r="X13" s="124"/>
      <c r="Y13" s="67"/>
    </row>
    <row r="14" spans="2:25">
      <c r="B14" s="66"/>
      <c r="C14" s="103"/>
      <c r="D14" s="459"/>
      <c r="E14" s="460"/>
      <c r="F14" s="461"/>
      <c r="G14" s="461"/>
      <c r="H14" s="465"/>
      <c r="I14" s="279" t="s">
        <v>17</v>
      </c>
      <c r="J14" s="516">
        <f>'(ref.) Cal'!F95</f>
        <v>0</v>
      </c>
      <c r="K14" s="516"/>
      <c r="L14" s="516">
        <f>'(ref.) Cal'!E95</f>
        <v>0</v>
      </c>
      <c r="M14" s="516"/>
      <c r="O14" s="520"/>
      <c r="P14" s="521"/>
      <c r="Q14" s="521"/>
      <c r="R14" s="521"/>
      <c r="S14" s="522"/>
      <c r="T14" s="124"/>
      <c r="U14" s="124"/>
      <c r="V14" s="124"/>
      <c r="W14" s="124"/>
      <c r="X14" s="124"/>
      <c r="Y14" s="67"/>
    </row>
    <row r="15" spans="2:25">
      <c r="B15" s="66"/>
      <c r="C15" s="103"/>
      <c r="D15" s="459"/>
      <c r="E15" s="460"/>
      <c r="F15" s="461"/>
      <c r="G15" s="461"/>
      <c r="H15" s="466"/>
      <c r="I15" s="279" t="s">
        <v>18</v>
      </c>
      <c r="J15" s="516">
        <f>'(ref.) Cal'!F96</f>
        <v>0</v>
      </c>
      <c r="K15" s="516"/>
      <c r="L15" s="516">
        <f>'(ref.) Cal'!E96</f>
        <v>0</v>
      </c>
      <c r="M15" s="516"/>
      <c r="O15" s="520"/>
      <c r="P15" s="521"/>
      <c r="Q15" s="521"/>
      <c r="R15" s="521"/>
      <c r="S15" s="522"/>
      <c r="T15" s="124"/>
      <c r="U15" s="124"/>
      <c r="V15" s="124"/>
      <c r="W15" s="124"/>
      <c r="X15" s="124"/>
      <c r="Y15" s="67"/>
    </row>
    <row r="16" spans="2:25" ht="18" customHeight="1">
      <c r="B16" s="66"/>
      <c r="C16" s="103"/>
      <c r="D16" s="459"/>
      <c r="E16" s="460" t="s">
        <v>19</v>
      </c>
      <c r="F16" s="461"/>
      <c r="G16" s="461"/>
      <c r="H16" s="462" t="s">
        <v>41</v>
      </c>
      <c r="I16" s="463"/>
      <c r="J16" s="100">
        <f>'(ref.) Cal'!E78</f>
        <v>4.5</v>
      </c>
      <c r="K16" s="101" t="str">
        <f>IF(J16=5,"A",IF(J16&gt;=4,"B+",IF(J16&gt;=3,"B",IF(J16&gt;=2,"B-",IF(J16&gt;=1, "C","-")))))</f>
        <v>B+</v>
      </c>
      <c r="L16" s="100" t="e">
        <f>'(ref.) Cal'!D78</f>
        <v>#REF!</v>
      </c>
      <c r="M16" s="101" t="e">
        <f>IF(L16=5,"A",IF(L16&gt;=4,"B+",IF(L16&gt;=3,"B",IF(L16&gt;=2,"B-",IF(L16&gt;=1, "C","-")))))</f>
        <v>#REF!</v>
      </c>
      <c r="O16" s="520"/>
      <c r="P16" s="521"/>
      <c r="Q16" s="521"/>
      <c r="R16" s="521"/>
      <c r="S16" s="522"/>
      <c r="T16" s="124"/>
      <c r="U16" s="124"/>
      <c r="V16" s="124"/>
      <c r="W16" s="124"/>
      <c r="X16" s="124"/>
      <c r="Y16" s="67"/>
    </row>
    <row r="17" spans="2:25" ht="18" customHeight="1">
      <c r="B17" s="66"/>
      <c r="C17" s="103"/>
      <c r="D17" s="459"/>
      <c r="E17" s="460"/>
      <c r="F17" s="461"/>
      <c r="G17" s="461"/>
      <c r="H17" s="464" t="s">
        <v>14</v>
      </c>
      <c r="I17" s="279" t="s">
        <v>15</v>
      </c>
      <c r="J17" s="516">
        <f>'(ref.) Cal'!F99</f>
        <v>7</v>
      </c>
      <c r="K17" s="516"/>
      <c r="L17" s="516">
        <f>'(ref.) Cal'!E99</f>
        <v>0</v>
      </c>
      <c r="M17" s="516"/>
      <c r="O17" s="523"/>
      <c r="P17" s="524"/>
      <c r="Q17" s="524"/>
      <c r="R17" s="524"/>
      <c r="S17" s="525"/>
      <c r="T17" s="124"/>
      <c r="U17" s="124"/>
      <c r="V17" s="124"/>
      <c r="W17" s="124"/>
      <c r="X17" s="124"/>
      <c r="Y17" s="67"/>
    </row>
    <row r="18" spans="2:25">
      <c r="B18" s="66"/>
      <c r="C18" s="103"/>
      <c r="D18" s="459"/>
      <c r="E18" s="460"/>
      <c r="F18" s="461"/>
      <c r="G18" s="461"/>
      <c r="H18" s="465"/>
      <c r="I18" s="279" t="s">
        <v>16</v>
      </c>
      <c r="J18" s="516">
        <f>'(ref.) Cal'!F100</f>
        <v>0</v>
      </c>
      <c r="K18" s="516"/>
      <c r="L18" s="516">
        <f>'(ref.) Cal'!E100</f>
        <v>0</v>
      </c>
      <c r="M18" s="516"/>
      <c r="O18" s="474" t="s">
        <v>14</v>
      </c>
      <c r="P18" s="475"/>
      <c r="Q18" s="475"/>
      <c r="R18" s="475"/>
      <c r="S18" s="475"/>
      <c r="T18" s="475"/>
      <c r="U18" s="475"/>
      <c r="V18" s="475"/>
      <c r="W18" s="475"/>
      <c r="X18" s="476"/>
      <c r="Y18" s="67"/>
    </row>
    <row r="19" spans="2:25">
      <c r="B19" s="66"/>
      <c r="C19" s="103"/>
      <c r="D19" s="459"/>
      <c r="E19" s="460"/>
      <c r="F19" s="461"/>
      <c r="G19" s="461"/>
      <c r="H19" s="465"/>
      <c r="I19" s="279" t="s">
        <v>17</v>
      </c>
      <c r="J19" s="516">
        <f>'(ref.) Cal'!F101</f>
        <v>0</v>
      </c>
      <c r="K19" s="516"/>
      <c r="L19" s="516">
        <f>'(ref.) Cal'!E101</f>
        <v>0</v>
      </c>
      <c r="M19" s="516"/>
      <c r="O19" s="89" t="s">
        <v>20</v>
      </c>
      <c r="P19" s="106"/>
      <c r="Q19">
        <v>2025</v>
      </c>
      <c r="R19" s="518"/>
      <c r="S19" s="518"/>
      <c r="T19" s="518"/>
      <c r="U19" s="518"/>
      <c r="V19" s="518"/>
      <c r="W19" s="518"/>
      <c r="X19" s="519"/>
      <c r="Y19" s="67"/>
    </row>
    <row r="20" spans="2:25">
      <c r="B20" s="66"/>
      <c r="C20" s="103"/>
      <c r="D20" s="459"/>
      <c r="E20" s="460"/>
      <c r="F20" s="461"/>
      <c r="G20" s="461"/>
      <c r="H20" s="466"/>
      <c r="I20" s="280" t="s">
        <v>18</v>
      </c>
      <c r="J20" s="516">
        <f>'(ref.) Cal'!F102</f>
        <v>1</v>
      </c>
      <c r="K20" s="516"/>
      <c r="L20" s="516">
        <f>'(ref.) Cal'!E102</f>
        <v>0</v>
      </c>
      <c r="M20" s="516"/>
      <c r="O20" s="107"/>
      <c r="P20" s="108"/>
      <c r="Q20" s="109">
        <v>2024</v>
      </c>
      <c r="R20" s="521"/>
      <c r="S20" s="521"/>
      <c r="T20" s="521"/>
      <c r="U20" s="521"/>
      <c r="V20" s="521"/>
      <c r="W20" s="521"/>
      <c r="X20" s="522"/>
      <c r="Y20" s="67"/>
    </row>
    <row r="21" spans="2:25" ht="18" customHeight="1">
      <c r="B21" s="66"/>
      <c r="C21" s="103"/>
      <c r="D21" s="459"/>
      <c r="E21" s="460" t="s">
        <v>21</v>
      </c>
      <c r="F21" s="461"/>
      <c r="G21" s="461"/>
      <c r="H21" s="462" t="s">
        <v>41</v>
      </c>
      <c r="I21" s="463"/>
      <c r="J21" s="100">
        <f>'(ref.) Cal'!E79</f>
        <v>4</v>
      </c>
      <c r="K21" s="101" t="str">
        <f>IF(J21=5,"A",IF(J21&gt;=4,"B+",IF(J21&gt;=3,"B",IF(J21&gt;=2,"B-",IF(J21&gt;=1, "C","-")))))</f>
        <v>B+</v>
      </c>
      <c r="L21" s="100" t="e">
        <f>'(ref.) Cal'!D79</f>
        <v>#REF!</v>
      </c>
      <c r="M21" s="101" t="e">
        <f>IF(L21=5,"A",IF(L21&gt;=4,"B+",IF(L21&gt;=3,"B",IF(L21&gt;=2,"B-",IF(L21&gt;=1, "C","-")))))</f>
        <v>#REF!</v>
      </c>
      <c r="O21" s="89" t="s">
        <v>22</v>
      </c>
      <c r="P21"/>
      <c r="Q21">
        <v>2025</v>
      </c>
      <c r="R21" s="521"/>
      <c r="S21" s="521"/>
      <c r="T21" s="521"/>
      <c r="U21" s="521"/>
      <c r="V21" s="521"/>
      <c r="W21" s="521"/>
      <c r="X21" s="522"/>
      <c r="Y21" s="67"/>
    </row>
    <row r="22" spans="2:25" ht="18" customHeight="1">
      <c r="B22" s="66"/>
      <c r="C22" s="103"/>
      <c r="D22" s="459"/>
      <c r="E22" s="460"/>
      <c r="F22" s="461"/>
      <c r="G22" s="461"/>
      <c r="H22" s="464" t="s">
        <v>14</v>
      </c>
      <c r="I22" s="279" t="s">
        <v>15</v>
      </c>
      <c r="J22" s="516">
        <f>'(ref.) Cal'!F105</f>
        <v>5</v>
      </c>
      <c r="K22" s="516"/>
      <c r="L22" s="516">
        <f>'(ref.) Cal'!E105</f>
        <v>0</v>
      </c>
      <c r="M22" s="516"/>
      <c r="O22" s="107"/>
      <c r="P22" s="109"/>
      <c r="Q22" s="109">
        <v>2024</v>
      </c>
      <c r="R22" s="521"/>
      <c r="S22" s="521"/>
      <c r="T22" s="521"/>
      <c r="U22" s="521"/>
      <c r="V22" s="521"/>
      <c r="W22" s="521"/>
      <c r="X22" s="522"/>
      <c r="Y22" s="67"/>
    </row>
    <row r="23" spans="2:25">
      <c r="B23" s="66"/>
      <c r="C23" s="103"/>
      <c r="D23" s="459"/>
      <c r="E23" s="460"/>
      <c r="F23" s="461"/>
      <c r="G23" s="461"/>
      <c r="H23" s="465"/>
      <c r="I23" s="279" t="s">
        <v>16</v>
      </c>
      <c r="J23" s="516">
        <f>'(ref.) Cal'!F106</f>
        <v>1</v>
      </c>
      <c r="K23" s="516"/>
      <c r="L23" s="516">
        <f>'(ref.) Cal'!E106</f>
        <v>0</v>
      </c>
      <c r="M23" s="516"/>
      <c r="O23" s="89" t="s">
        <v>23</v>
      </c>
      <c r="P23"/>
      <c r="Q23">
        <v>2025</v>
      </c>
      <c r="R23" s="521"/>
      <c r="S23" s="521"/>
      <c r="T23" s="521"/>
      <c r="U23" s="521"/>
      <c r="V23" s="521"/>
      <c r="W23" s="521"/>
      <c r="X23" s="522"/>
      <c r="Y23" s="67"/>
    </row>
    <row r="24" spans="2:25">
      <c r="B24" s="66"/>
      <c r="C24" s="103"/>
      <c r="D24" s="459"/>
      <c r="E24" s="460"/>
      <c r="F24" s="461"/>
      <c r="G24" s="461"/>
      <c r="H24" s="465"/>
      <c r="I24" s="279" t="s">
        <v>17</v>
      </c>
      <c r="J24" s="516">
        <f>'(ref.) Cal'!F107</f>
        <v>0</v>
      </c>
      <c r="K24" s="516"/>
      <c r="L24" s="516">
        <f>'(ref.) Cal'!E107</f>
        <v>0</v>
      </c>
      <c r="M24" s="516"/>
      <c r="O24" s="107"/>
      <c r="P24" s="109"/>
      <c r="Q24" s="109">
        <v>2024</v>
      </c>
      <c r="R24" s="526"/>
      <c r="S24" s="526"/>
      <c r="T24" s="526"/>
      <c r="U24" s="526"/>
      <c r="V24" s="526"/>
      <c r="W24" s="526"/>
      <c r="X24" s="527"/>
      <c r="Y24" s="67"/>
    </row>
    <row r="25" spans="2:25">
      <c r="B25" s="66"/>
      <c r="C25" s="104"/>
      <c r="D25" s="459"/>
      <c r="E25" s="460"/>
      <c r="F25" s="461"/>
      <c r="G25" s="461"/>
      <c r="H25" s="466"/>
      <c r="I25" s="281" t="s">
        <v>18</v>
      </c>
      <c r="J25" s="516">
        <f>'(ref.) Cal'!F108</f>
        <v>1</v>
      </c>
      <c r="K25" s="516"/>
      <c r="L25" s="516">
        <f>'(ref.) Cal'!E108</f>
        <v>0</v>
      </c>
      <c r="M25" s="516"/>
      <c r="O25" s="90"/>
      <c r="P25" s="91"/>
      <c r="Q25" s="91"/>
      <c r="R25" s="91"/>
      <c r="S25" s="91"/>
      <c r="T25" s="91"/>
      <c r="U25" s="91"/>
      <c r="V25" s="91"/>
      <c r="W25" s="91"/>
      <c r="X25" s="105"/>
      <c r="Y25" s="67"/>
    </row>
    <row r="26" spans="2:25" ht="15" thickBot="1">
      <c r="B26" s="66"/>
      <c r="Y26" s="67"/>
    </row>
    <row r="27" spans="2:25">
      <c r="B27" s="61" t="s">
        <v>24</v>
      </c>
      <c r="C27" s="119"/>
      <c r="D27" s="119"/>
      <c r="E27" s="119"/>
      <c r="F27" s="119"/>
      <c r="G27" s="119"/>
      <c r="H27" s="119"/>
      <c r="I27" s="119"/>
      <c r="J27" s="119"/>
      <c r="K27" s="119"/>
      <c r="L27" s="119"/>
      <c r="M27" s="119"/>
      <c r="N27" s="119"/>
      <c r="O27" s="119"/>
      <c r="P27" s="119"/>
      <c r="Q27" s="119"/>
      <c r="R27" s="119"/>
      <c r="S27" s="119"/>
      <c r="T27" s="119"/>
      <c r="U27" s="119"/>
      <c r="V27" s="119"/>
      <c r="W27" s="119"/>
      <c r="X27" s="119"/>
      <c r="Y27" s="120"/>
    </row>
    <row r="28" spans="2:25">
      <c r="B28" s="66"/>
      <c r="Y28" s="67"/>
    </row>
    <row r="29" spans="2:25">
      <c r="B29" s="66"/>
      <c r="C29" s="495" t="s">
        <v>25</v>
      </c>
      <c r="D29" s="496"/>
      <c r="E29" s="497"/>
      <c r="F29" s="474">
        <v>2025</v>
      </c>
      <c r="G29" s="475"/>
      <c r="H29" s="475"/>
      <c r="I29" s="475"/>
      <c r="J29" s="481">
        <v>2024</v>
      </c>
      <c r="K29" s="482"/>
      <c r="L29" s="482"/>
      <c r="M29" s="483"/>
      <c r="N29" s="22"/>
      <c r="O29" s="474" t="s">
        <v>26</v>
      </c>
      <c r="P29" s="475"/>
      <c r="Q29" s="475"/>
      <c r="R29" s="475"/>
      <c r="S29" s="476"/>
      <c r="T29" s="474" t="s">
        <v>27</v>
      </c>
      <c r="U29" s="475"/>
      <c r="V29" s="475"/>
      <c r="W29" s="475"/>
      <c r="X29" s="476"/>
      <c r="Y29" s="67"/>
    </row>
    <row r="30" spans="2:25">
      <c r="B30" s="66"/>
      <c r="C30" s="498"/>
      <c r="D30" s="499"/>
      <c r="E30" s="500"/>
      <c r="F30" s="474" t="s">
        <v>41</v>
      </c>
      <c r="G30" s="476"/>
      <c r="H30" s="474" t="s">
        <v>28</v>
      </c>
      <c r="I30" s="483"/>
      <c r="J30" s="474" t="s">
        <v>41</v>
      </c>
      <c r="K30" s="476"/>
      <c r="L30" s="474" t="s">
        <v>28</v>
      </c>
      <c r="M30" s="483"/>
      <c r="N30"/>
      <c r="O30" s="664"/>
      <c r="P30" s="665"/>
      <c r="Q30" s="665"/>
      <c r="R30" s="665"/>
      <c r="S30" s="666"/>
      <c r="T30" s="517"/>
      <c r="U30" s="518"/>
      <c r="V30" s="518"/>
      <c r="W30" s="518"/>
      <c r="X30" s="519"/>
      <c r="Y30" s="67"/>
    </row>
    <row r="31" spans="2:25">
      <c r="B31" s="66"/>
      <c r="C31" s="501"/>
      <c r="D31" s="502"/>
      <c r="E31" s="503"/>
      <c r="F31" s="159" t="s">
        <v>8</v>
      </c>
      <c r="G31" s="159"/>
      <c r="H31" s="159" t="s">
        <v>8</v>
      </c>
      <c r="I31" s="160"/>
      <c r="J31" s="159" t="s">
        <v>8</v>
      </c>
      <c r="K31" s="159"/>
      <c r="L31" s="159" t="s">
        <v>8</v>
      </c>
      <c r="M31" s="160"/>
      <c r="N31"/>
      <c r="O31" s="667"/>
      <c r="P31" s="668"/>
      <c r="Q31" s="668"/>
      <c r="R31" s="668"/>
      <c r="S31" s="669"/>
      <c r="T31" s="520"/>
      <c r="U31" s="521"/>
      <c r="V31" s="521"/>
      <c r="W31" s="521"/>
      <c r="X31" s="522"/>
      <c r="Y31" s="67"/>
    </row>
    <row r="32" spans="2:25">
      <c r="B32" s="66"/>
      <c r="C32" s="477" t="s">
        <v>29</v>
      </c>
      <c r="D32" s="478"/>
      <c r="E32" s="479"/>
      <c r="F32" s="122">
        <f>'(ref.) Cal'!G85</f>
        <v>4.666666666666667</v>
      </c>
      <c r="G32" s="60" t="str">
        <f>IF(F32&lt;2,"C",IF(F32&lt;3,"B-",IF(F32&lt;4,"B",IF(F32&lt;5,"B+",IF(F32=5,"A","")))))</f>
        <v>B+</v>
      </c>
      <c r="H32" s="122">
        <f>'(ref.) Cal'!F85</f>
        <v>4</v>
      </c>
      <c r="I32" s="60" t="str">
        <f t="shared" ref="I32" si="0">IF(H32&lt;2,"C",IF(H32&lt;3,"B-",IF(H32&lt;4,"B",IF(H32&lt;5,"B+",IF(H32=5,"A","")))))</f>
        <v>B+</v>
      </c>
      <c r="J32" s="122" t="e">
        <f>'(ref.) Cal'!E85</f>
        <v>#REF!</v>
      </c>
      <c r="K32" s="60" t="e">
        <f t="shared" ref="K32:M36" si="1">IF(J32&lt;2,"C",IF(J32&lt;3,"B-",IF(J32&lt;4,"B",IF(J32&lt;5,"B+",IF(J32=5,"A","")))))</f>
        <v>#REF!</v>
      </c>
      <c r="L32" s="122" t="e">
        <f>'(ref.) Cal'!D85</f>
        <v>#REF!</v>
      </c>
      <c r="M32" s="60" t="e">
        <f t="shared" si="1"/>
        <v>#REF!</v>
      </c>
      <c r="N32"/>
      <c r="O32" s="667"/>
      <c r="P32" s="668"/>
      <c r="Q32" s="668"/>
      <c r="R32" s="668"/>
      <c r="S32" s="669"/>
      <c r="T32" s="520"/>
      <c r="U32" s="521"/>
      <c r="V32" s="521"/>
      <c r="W32" s="521"/>
      <c r="X32" s="522"/>
      <c r="Y32" s="67"/>
    </row>
    <row r="33" spans="2:25">
      <c r="B33" s="66"/>
      <c r="C33" s="477" t="s">
        <v>30</v>
      </c>
      <c r="D33" s="478"/>
      <c r="E33" s="479"/>
      <c r="F33" s="122">
        <f>'(ref.) Cal'!G86</f>
        <v>4</v>
      </c>
      <c r="G33" s="60" t="str">
        <f t="shared" ref="G33:G36" si="2">IF(F33&lt;2,"C",IF(F33&lt;3,"B-",IF(F33&lt;4,"B",IF(F33&lt;5,"B+",IF(F33=5,"A","")))))</f>
        <v>B+</v>
      </c>
      <c r="H33" s="122">
        <f>'(ref.) Cal'!F86</f>
        <v>3</v>
      </c>
      <c r="I33" s="60" t="str">
        <f t="shared" ref="I33" si="3">IF(H33&lt;2,"C",IF(H33&lt;3,"B-",IF(H33&lt;4,"B",IF(H33&lt;5,"B+",IF(H33=5,"A","")))))</f>
        <v>B</v>
      </c>
      <c r="J33" s="122" t="e">
        <f>'(ref.) Cal'!E86</f>
        <v>#REF!</v>
      </c>
      <c r="K33" s="60" t="e">
        <f t="shared" si="1"/>
        <v>#REF!</v>
      </c>
      <c r="L33" s="122" t="e">
        <f>'(ref.) Cal'!D86</f>
        <v>#REF!</v>
      </c>
      <c r="M33" s="60" t="e">
        <f t="shared" si="1"/>
        <v>#REF!</v>
      </c>
      <c r="N33"/>
      <c r="O33" s="667"/>
      <c r="P33" s="668"/>
      <c r="Q33" s="668"/>
      <c r="R33" s="668"/>
      <c r="S33" s="669"/>
      <c r="T33" s="520"/>
      <c r="U33" s="521"/>
      <c r="V33" s="521"/>
      <c r="W33" s="521"/>
      <c r="X33" s="522"/>
      <c r="Y33" s="67"/>
    </row>
    <row r="34" spans="2:25">
      <c r="B34" s="66"/>
      <c r="C34" s="528" t="s">
        <v>31</v>
      </c>
      <c r="D34" s="529"/>
      <c r="E34" s="530"/>
      <c r="F34" s="122">
        <f>'(ref.) Cal'!G87</f>
        <v>4</v>
      </c>
      <c r="G34" s="60" t="str">
        <f t="shared" si="2"/>
        <v>B+</v>
      </c>
      <c r="H34" s="122">
        <f>'(ref.) Cal'!F87</f>
        <v>3</v>
      </c>
      <c r="I34" s="60" t="str">
        <f t="shared" ref="I34" si="4">IF(H34&lt;2,"C",IF(H34&lt;3,"B-",IF(H34&lt;4,"B",IF(H34&lt;5,"B+",IF(H34=5,"A","")))))</f>
        <v>B</v>
      </c>
      <c r="J34" s="122" t="e">
        <f>'(ref.) Cal'!E87</f>
        <v>#REF!</v>
      </c>
      <c r="K34" s="60" t="e">
        <f t="shared" si="1"/>
        <v>#REF!</v>
      </c>
      <c r="L34" s="122" t="e">
        <f>'(ref.) Cal'!D87</f>
        <v>#REF!</v>
      </c>
      <c r="M34" s="60" t="e">
        <f t="shared" si="1"/>
        <v>#REF!</v>
      </c>
      <c r="N34"/>
      <c r="O34" s="667"/>
      <c r="P34" s="668"/>
      <c r="Q34" s="668"/>
      <c r="R34" s="668"/>
      <c r="S34" s="669"/>
      <c r="T34" s="520"/>
      <c r="U34" s="521"/>
      <c r="V34" s="521"/>
      <c r="W34" s="521"/>
      <c r="X34" s="522"/>
      <c r="Y34" s="67"/>
    </row>
    <row r="35" spans="2:25">
      <c r="B35" s="66"/>
      <c r="C35" s="528" t="s">
        <v>32</v>
      </c>
      <c r="D35" s="529"/>
      <c r="E35" s="530"/>
      <c r="F35" s="122">
        <f>'(ref.) Cal'!G88</f>
        <v>4.4000000000000004</v>
      </c>
      <c r="G35" s="60" t="str">
        <f t="shared" si="2"/>
        <v>B+</v>
      </c>
      <c r="H35" s="122">
        <f>'(ref.) Cal'!F88</f>
        <v>1</v>
      </c>
      <c r="I35" s="60" t="str">
        <f t="shared" ref="I35" si="5">IF(H35&lt;2,"C",IF(H35&lt;3,"B-",IF(H35&lt;4,"B",IF(H35&lt;5,"B+",IF(H35=5,"A","")))))</f>
        <v>C</v>
      </c>
      <c r="J35" s="122" t="e">
        <f>'(ref.) Cal'!E88</f>
        <v>#REF!</v>
      </c>
      <c r="K35" s="60" t="e">
        <f t="shared" si="1"/>
        <v>#REF!</v>
      </c>
      <c r="L35" s="122" t="e">
        <f>'(ref.) Cal'!D88</f>
        <v>#REF!</v>
      </c>
      <c r="M35" s="60" t="e">
        <f t="shared" si="1"/>
        <v>#REF!</v>
      </c>
      <c r="N35"/>
      <c r="O35" s="667"/>
      <c r="P35" s="668"/>
      <c r="Q35" s="668"/>
      <c r="R35" s="668"/>
      <c r="S35" s="669"/>
      <c r="T35" s="520"/>
      <c r="U35" s="521"/>
      <c r="V35" s="521"/>
      <c r="W35" s="521"/>
      <c r="X35" s="522"/>
      <c r="Y35" s="67"/>
    </row>
    <row r="36" spans="2:25">
      <c r="B36" s="66"/>
      <c r="C36" s="528" t="s">
        <v>33</v>
      </c>
      <c r="D36" s="529"/>
      <c r="E36" s="530"/>
      <c r="F36" s="122">
        <f>'(ref.) Cal'!G89</f>
        <v>3</v>
      </c>
      <c r="G36" s="60" t="str">
        <f t="shared" si="2"/>
        <v>B</v>
      </c>
      <c r="H36" s="122">
        <f>'(ref.) Cal'!F89</f>
        <v>1</v>
      </c>
      <c r="I36" s="60" t="str">
        <f t="shared" ref="I36" si="6">IF(H36&lt;2,"C",IF(H36&lt;3,"B-",IF(H36&lt;4,"B",IF(H36&lt;5,"B+",IF(H36=5,"A","")))))</f>
        <v>C</v>
      </c>
      <c r="J36" s="122" t="e">
        <f>'(ref.) Cal'!E89</f>
        <v>#REF!</v>
      </c>
      <c r="K36" s="60" t="e">
        <f t="shared" si="1"/>
        <v>#REF!</v>
      </c>
      <c r="L36" s="122" t="e">
        <f>'(ref.) Cal'!D89</f>
        <v>#REF!</v>
      </c>
      <c r="M36" s="60" t="e">
        <f t="shared" si="1"/>
        <v>#REF!</v>
      </c>
      <c r="N36"/>
      <c r="O36" s="667"/>
      <c r="P36" s="668"/>
      <c r="Q36" s="668"/>
      <c r="R36" s="668"/>
      <c r="S36" s="669"/>
      <c r="T36" s="520"/>
      <c r="U36" s="521"/>
      <c r="V36" s="521"/>
      <c r="W36" s="521"/>
      <c r="X36" s="522"/>
      <c r="Y36" s="67"/>
    </row>
    <row r="37" spans="2:25">
      <c r="B37" s="66"/>
      <c r="C37" s="126"/>
      <c r="D37" s="126"/>
      <c r="E37" s="126"/>
      <c r="F37" s="123"/>
      <c r="G37"/>
      <c r="H37" s="123"/>
      <c r="I37"/>
      <c r="J37" s="123"/>
      <c r="K37"/>
      <c r="L37" s="123"/>
      <c r="M37"/>
      <c r="N37"/>
      <c r="O37" s="667"/>
      <c r="P37" s="668"/>
      <c r="Q37" s="668"/>
      <c r="R37" s="668"/>
      <c r="S37" s="669"/>
      <c r="T37" s="520"/>
      <c r="U37" s="521"/>
      <c r="V37" s="521"/>
      <c r="W37" s="521"/>
      <c r="X37" s="522"/>
      <c r="Y37" s="67"/>
    </row>
    <row r="38" spans="2:25">
      <c r="B38" s="66"/>
      <c r="C38" s="477" t="s">
        <v>40</v>
      </c>
      <c r="D38" s="478"/>
      <c r="E38" s="479"/>
      <c r="F38" s="122">
        <f>AVERAGE(F32:F36)</f>
        <v>4.0133333333333336</v>
      </c>
      <c r="G38" s="60" t="str">
        <f>IF(F38&lt;2,"C",IF(F38&lt;3,"B-",IF(F38&lt;4,"B",IF(F38&lt;5,"B+",IF(F38=5,"A","")))))</f>
        <v>B+</v>
      </c>
      <c r="H38" s="122">
        <f>AVERAGE(H32:H36)</f>
        <v>2.4</v>
      </c>
      <c r="I38" s="60" t="str">
        <f>IF(H38&lt;2,"C",IF(H38&lt;3,"B-",IF(H38&lt;4,"B",IF(H38&lt;5,"B+",IF(H38=5,"A","")))))</f>
        <v>B-</v>
      </c>
      <c r="J38" s="122" t="e">
        <f>AVERAGE(J32:J36)</f>
        <v>#REF!</v>
      </c>
      <c r="K38" s="60" t="e">
        <f>IF(J38&lt;2,"C",IF(J38&lt;3,"B-",IF(J38&lt;4,"B",IF(J38&lt;5,"B+",IF(J38=5,"A","")))))</f>
        <v>#REF!</v>
      </c>
      <c r="L38" s="122" t="e">
        <f>AVERAGE(L32:L36)</f>
        <v>#REF!</v>
      </c>
      <c r="M38" s="60" t="e">
        <f>IF(L38&lt;2,"C",IF(L38&lt;3,"B-",IF(L38&lt;4,"B",IF(L38&lt;5,"B+",IF(L38=5,"A","")))))</f>
        <v>#REF!</v>
      </c>
      <c r="N38"/>
      <c r="O38" s="670"/>
      <c r="P38" s="671"/>
      <c r="Q38" s="671"/>
      <c r="R38" s="671"/>
      <c r="S38" s="672"/>
      <c r="T38" s="523"/>
      <c r="U38" s="524"/>
      <c r="V38" s="524"/>
      <c r="W38" s="524"/>
      <c r="X38" s="525"/>
      <c r="Y38" s="67"/>
    </row>
    <row r="39" spans="2:25" ht="15" thickBot="1">
      <c r="B39" s="68"/>
      <c r="C39" s="69"/>
      <c r="D39" s="69"/>
      <c r="E39" s="69"/>
      <c r="F39" s="69"/>
      <c r="G39" s="69"/>
      <c r="H39" s="69"/>
      <c r="I39" s="69"/>
      <c r="J39" s="69"/>
      <c r="K39" s="69"/>
      <c r="L39" s="69"/>
      <c r="M39" s="69"/>
      <c r="N39" s="69"/>
      <c r="O39" s="69"/>
      <c r="P39" s="69"/>
      <c r="Q39" s="69"/>
      <c r="R39" s="69"/>
      <c r="S39" s="69"/>
      <c r="T39" s="69"/>
      <c r="U39" s="69"/>
      <c r="V39" s="69"/>
      <c r="W39" s="69"/>
      <c r="X39" s="69"/>
      <c r="Y39" s="70"/>
    </row>
    <row r="40" spans="2:25">
      <c r="B40" s="61" t="s">
        <v>35</v>
      </c>
      <c r="C40" s="82"/>
      <c r="D40" s="119"/>
      <c r="E40" s="119"/>
      <c r="F40" s="119"/>
      <c r="G40" s="119"/>
      <c r="H40" s="119"/>
      <c r="I40" s="119"/>
      <c r="J40" s="119"/>
      <c r="K40" s="119"/>
      <c r="L40" s="119"/>
      <c r="M40" s="119"/>
      <c r="N40" s="119"/>
      <c r="O40" s="119"/>
      <c r="P40" s="119"/>
      <c r="Q40" s="119"/>
      <c r="R40" s="119"/>
      <c r="S40" s="119"/>
      <c r="T40" s="119"/>
      <c r="U40" s="119"/>
      <c r="V40" s="119"/>
      <c r="W40" s="119"/>
      <c r="X40" s="119"/>
      <c r="Y40" s="120"/>
    </row>
    <row r="41" spans="2:25">
      <c r="B41" s="110"/>
      <c r="C41" s="111"/>
      <c r="D41" s="111"/>
      <c r="E41" s="111"/>
      <c r="F41" s="111"/>
      <c r="G41" s="111"/>
      <c r="H41" s="111"/>
      <c r="I41" s="111"/>
      <c r="J41" s="111"/>
      <c r="K41" s="111"/>
      <c r="L41" s="111"/>
      <c r="M41" s="111"/>
      <c r="N41" s="111"/>
      <c r="O41" s="111"/>
      <c r="P41" s="111"/>
      <c r="Q41" s="111"/>
      <c r="R41" s="111"/>
      <c r="S41" s="111"/>
      <c r="T41" s="111"/>
      <c r="U41" s="111"/>
      <c r="V41" s="111"/>
      <c r="W41" s="111"/>
      <c r="X41" s="111"/>
      <c r="Y41" s="112"/>
    </row>
    <row r="42" spans="2:25" ht="18.75" customHeight="1">
      <c r="B42" s="110"/>
      <c r="C42" s="484" t="s">
        <v>44</v>
      </c>
      <c r="D42" s="484"/>
      <c r="E42" s="484"/>
      <c r="F42" s="484"/>
      <c r="G42" s="484"/>
      <c r="H42" s="484"/>
      <c r="I42" s="484"/>
      <c r="J42" s="484"/>
      <c r="K42" s="484"/>
      <c r="L42" s="484"/>
      <c r="M42" s="484"/>
      <c r="N42" s="484"/>
      <c r="O42" s="484"/>
      <c r="P42" s="484"/>
      <c r="Q42" s="484"/>
      <c r="R42" s="484"/>
      <c r="S42" s="484"/>
      <c r="T42" s="484"/>
      <c r="U42" s="484"/>
      <c r="V42" s="484"/>
      <c r="W42" s="484"/>
      <c r="X42" s="484"/>
      <c r="Y42" s="112"/>
    </row>
    <row r="43" spans="2:25">
      <c r="B43" s="110"/>
      <c r="C43" s="484"/>
      <c r="D43" s="484"/>
      <c r="E43" s="484"/>
      <c r="F43" s="484"/>
      <c r="G43" s="484"/>
      <c r="H43" s="484"/>
      <c r="I43" s="484"/>
      <c r="J43" s="484"/>
      <c r="K43" s="484"/>
      <c r="L43" s="484"/>
      <c r="M43" s="484"/>
      <c r="N43" s="484"/>
      <c r="O43" s="484"/>
      <c r="P43" s="484"/>
      <c r="Q43" s="484"/>
      <c r="R43" s="484"/>
      <c r="S43" s="484"/>
      <c r="T43" s="484"/>
      <c r="U43" s="484"/>
      <c r="V43" s="484"/>
      <c r="W43" s="484"/>
      <c r="X43" s="484"/>
      <c r="Y43" s="112"/>
    </row>
    <row r="44" spans="2:25">
      <c r="B44" s="110"/>
      <c r="C44" s="484"/>
      <c r="D44" s="484"/>
      <c r="E44" s="484"/>
      <c r="F44" s="484"/>
      <c r="G44" s="484"/>
      <c r="H44" s="484"/>
      <c r="I44" s="484"/>
      <c r="J44" s="484"/>
      <c r="K44" s="484"/>
      <c r="L44" s="484"/>
      <c r="M44" s="484"/>
      <c r="N44" s="484"/>
      <c r="O44" s="484"/>
      <c r="P44" s="484"/>
      <c r="Q44" s="484"/>
      <c r="R44" s="484"/>
      <c r="S44" s="484"/>
      <c r="T44" s="484"/>
      <c r="U44" s="484"/>
      <c r="V44" s="484"/>
      <c r="W44" s="484"/>
      <c r="X44" s="484"/>
      <c r="Y44" s="112"/>
    </row>
    <row r="45" spans="2:25">
      <c r="B45" s="110"/>
      <c r="C45" s="484"/>
      <c r="D45" s="484"/>
      <c r="E45" s="484"/>
      <c r="F45" s="484"/>
      <c r="G45" s="484"/>
      <c r="H45" s="484"/>
      <c r="I45" s="484"/>
      <c r="J45" s="484"/>
      <c r="K45" s="484"/>
      <c r="L45" s="484"/>
      <c r="M45" s="484"/>
      <c r="N45" s="484"/>
      <c r="O45" s="484"/>
      <c r="P45" s="484"/>
      <c r="Q45" s="484"/>
      <c r="R45" s="484"/>
      <c r="S45" s="484"/>
      <c r="T45" s="484"/>
      <c r="U45" s="484"/>
      <c r="V45" s="484"/>
      <c r="W45" s="484"/>
      <c r="X45" s="484"/>
      <c r="Y45" s="112"/>
    </row>
    <row r="46" spans="2:25">
      <c r="B46" s="110"/>
      <c r="C46" s="484"/>
      <c r="D46" s="484"/>
      <c r="E46" s="484"/>
      <c r="F46" s="484"/>
      <c r="G46" s="484"/>
      <c r="H46" s="484"/>
      <c r="I46" s="484"/>
      <c r="J46" s="484"/>
      <c r="K46" s="484"/>
      <c r="L46" s="484"/>
      <c r="M46" s="484"/>
      <c r="N46" s="484"/>
      <c r="O46" s="484"/>
      <c r="P46" s="484"/>
      <c r="Q46" s="484"/>
      <c r="R46" s="484"/>
      <c r="S46" s="484"/>
      <c r="T46" s="484"/>
      <c r="U46" s="484"/>
      <c r="V46" s="484"/>
      <c r="W46" s="484"/>
      <c r="X46" s="484"/>
      <c r="Y46" s="112"/>
    </row>
    <row r="47" spans="2:25">
      <c r="B47" s="110"/>
      <c r="C47" s="484"/>
      <c r="D47" s="484"/>
      <c r="E47" s="484"/>
      <c r="F47" s="484"/>
      <c r="G47" s="484"/>
      <c r="H47" s="484"/>
      <c r="I47" s="484"/>
      <c r="J47" s="484"/>
      <c r="K47" s="484"/>
      <c r="L47" s="484"/>
      <c r="M47" s="484"/>
      <c r="N47" s="484"/>
      <c r="O47" s="484"/>
      <c r="P47" s="484"/>
      <c r="Q47" s="484"/>
      <c r="R47" s="484"/>
      <c r="S47" s="484"/>
      <c r="T47" s="484"/>
      <c r="U47" s="484"/>
      <c r="V47" s="484"/>
      <c r="W47" s="484"/>
      <c r="X47" s="484"/>
      <c r="Y47" s="112"/>
    </row>
    <row r="48" spans="2:25">
      <c r="B48" s="110"/>
      <c r="C48" s="484"/>
      <c r="D48" s="484"/>
      <c r="E48" s="484"/>
      <c r="F48" s="484"/>
      <c r="G48" s="484"/>
      <c r="H48" s="484"/>
      <c r="I48" s="484"/>
      <c r="J48" s="484"/>
      <c r="K48" s="484"/>
      <c r="L48" s="484"/>
      <c r="M48" s="484"/>
      <c r="N48" s="484"/>
      <c r="O48" s="484"/>
      <c r="P48" s="484"/>
      <c r="Q48" s="484"/>
      <c r="R48" s="484"/>
      <c r="S48" s="484"/>
      <c r="T48" s="484"/>
      <c r="U48" s="484"/>
      <c r="V48" s="484"/>
      <c r="W48" s="484"/>
      <c r="X48" s="484"/>
      <c r="Y48" s="112"/>
    </row>
    <row r="49" spans="2:25">
      <c r="B49" s="110"/>
      <c r="C49" s="484"/>
      <c r="D49" s="484"/>
      <c r="E49" s="484"/>
      <c r="F49" s="484"/>
      <c r="G49" s="484"/>
      <c r="H49" s="484"/>
      <c r="I49" s="484"/>
      <c r="J49" s="484"/>
      <c r="K49" s="484"/>
      <c r="L49" s="484"/>
      <c r="M49" s="484"/>
      <c r="N49" s="484"/>
      <c r="O49" s="484"/>
      <c r="P49" s="484"/>
      <c r="Q49" s="484"/>
      <c r="R49" s="484"/>
      <c r="S49" s="484"/>
      <c r="T49" s="484"/>
      <c r="U49" s="484"/>
      <c r="V49" s="484"/>
      <c r="W49" s="484"/>
      <c r="X49" s="484"/>
      <c r="Y49" s="112"/>
    </row>
    <row r="50" spans="2:25">
      <c r="B50" s="110"/>
      <c r="C50" s="484"/>
      <c r="D50" s="484"/>
      <c r="E50" s="484"/>
      <c r="F50" s="484"/>
      <c r="G50" s="484"/>
      <c r="H50" s="484"/>
      <c r="I50" s="484"/>
      <c r="J50" s="484"/>
      <c r="K50" s="484"/>
      <c r="L50" s="484"/>
      <c r="M50" s="484"/>
      <c r="N50" s="484"/>
      <c r="O50" s="484"/>
      <c r="P50" s="484"/>
      <c r="Q50" s="484"/>
      <c r="R50" s="484"/>
      <c r="S50" s="484"/>
      <c r="T50" s="484"/>
      <c r="U50" s="484"/>
      <c r="V50" s="484"/>
      <c r="W50" s="484"/>
      <c r="X50" s="484"/>
      <c r="Y50" s="112"/>
    </row>
    <row r="51" spans="2:25">
      <c r="B51" s="110"/>
      <c r="C51" s="484"/>
      <c r="D51" s="484"/>
      <c r="E51" s="484"/>
      <c r="F51" s="484"/>
      <c r="G51" s="484"/>
      <c r="H51" s="484"/>
      <c r="I51" s="484"/>
      <c r="J51" s="484"/>
      <c r="K51" s="484"/>
      <c r="L51" s="484"/>
      <c r="M51" s="484"/>
      <c r="N51" s="484"/>
      <c r="O51" s="484"/>
      <c r="P51" s="484"/>
      <c r="Q51" s="484"/>
      <c r="R51" s="484"/>
      <c r="S51" s="484"/>
      <c r="T51" s="484"/>
      <c r="U51" s="484"/>
      <c r="V51" s="484"/>
      <c r="W51" s="484"/>
      <c r="X51" s="484"/>
      <c r="Y51" s="112"/>
    </row>
    <row r="52" spans="2:25">
      <c r="B52" s="110"/>
      <c r="C52" s="484"/>
      <c r="D52" s="484"/>
      <c r="E52" s="484"/>
      <c r="F52" s="484"/>
      <c r="G52" s="484"/>
      <c r="H52" s="484"/>
      <c r="I52" s="484"/>
      <c r="J52" s="484"/>
      <c r="K52" s="484"/>
      <c r="L52" s="484"/>
      <c r="M52" s="484"/>
      <c r="N52" s="484"/>
      <c r="O52" s="484"/>
      <c r="P52" s="484"/>
      <c r="Q52" s="484"/>
      <c r="R52" s="484"/>
      <c r="S52" s="484"/>
      <c r="T52" s="484"/>
      <c r="U52" s="484"/>
      <c r="V52" s="484"/>
      <c r="W52" s="484"/>
      <c r="X52" s="484"/>
      <c r="Y52" s="112"/>
    </row>
    <row r="53" spans="2:25">
      <c r="B53" s="110"/>
      <c r="C53" s="484"/>
      <c r="D53" s="484"/>
      <c r="E53" s="484"/>
      <c r="F53" s="484"/>
      <c r="G53" s="484"/>
      <c r="H53" s="484"/>
      <c r="I53" s="484"/>
      <c r="J53" s="484"/>
      <c r="K53" s="484"/>
      <c r="L53" s="484"/>
      <c r="M53" s="484"/>
      <c r="N53" s="484"/>
      <c r="O53" s="484"/>
      <c r="P53" s="484"/>
      <c r="Q53" s="484"/>
      <c r="R53" s="484"/>
      <c r="S53" s="484"/>
      <c r="T53" s="484"/>
      <c r="U53" s="484"/>
      <c r="V53" s="484"/>
      <c r="W53" s="484"/>
      <c r="X53" s="484"/>
      <c r="Y53" s="112"/>
    </row>
    <row r="54" spans="2:25">
      <c r="B54" s="110"/>
      <c r="C54" s="484"/>
      <c r="D54" s="484"/>
      <c r="E54" s="484"/>
      <c r="F54" s="484"/>
      <c r="G54" s="484"/>
      <c r="H54" s="484"/>
      <c r="I54" s="484"/>
      <c r="J54" s="484"/>
      <c r="K54" s="484"/>
      <c r="L54" s="484"/>
      <c r="M54" s="484"/>
      <c r="N54" s="484"/>
      <c r="O54" s="484"/>
      <c r="P54" s="484"/>
      <c r="Q54" s="484"/>
      <c r="R54" s="484"/>
      <c r="S54" s="484"/>
      <c r="T54" s="484"/>
      <c r="U54" s="484"/>
      <c r="V54" s="484"/>
      <c r="W54" s="484"/>
      <c r="X54" s="484"/>
      <c r="Y54" s="112"/>
    </row>
    <row r="55" spans="2:25">
      <c r="B55" s="110"/>
      <c r="C55" s="484"/>
      <c r="D55" s="484"/>
      <c r="E55" s="484"/>
      <c r="F55" s="484"/>
      <c r="G55" s="484"/>
      <c r="H55" s="484"/>
      <c r="I55" s="484"/>
      <c r="J55" s="484"/>
      <c r="K55" s="484"/>
      <c r="L55" s="484"/>
      <c r="M55" s="484"/>
      <c r="N55" s="484"/>
      <c r="O55" s="484"/>
      <c r="P55" s="484"/>
      <c r="Q55" s="484"/>
      <c r="R55" s="484"/>
      <c r="S55" s="484"/>
      <c r="T55" s="484"/>
      <c r="U55" s="484"/>
      <c r="V55" s="484"/>
      <c r="W55" s="484"/>
      <c r="X55" s="484"/>
      <c r="Y55" s="112"/>
    </row>
    <row r="56" spans="2:25">
      <c r="B56" s="110"/>
      <c r="C56" s="484"/>
      <c r="D56" s="484"/>
      <c r="E56" s="484"/>
      <c r="F56" s="484"/>
      <c r="G56" s="484"/>
      <c r="H56" s="484"/>
      <c r="I56" s="484"/>
      <c r="J56" s="484"/>
      <c r="K56" s="484"/>
      <c r="L56" s="484"/>
      <c r="M56" s="484"/>
      <c r="N56" s="484"/>
      <c r="O56" s="484"/>
      <c r="P56" s="484"/>
      <c r="Q56" s="484"/>
      <c r="R56" s="484"/>
      <c r="S56" s="484"/>
      <c r="T56" s="484"/>
      <c r="U56" s="484"/>
      <c r="V56" s="484"/>
      <c r="W56" s="484"/>
      <c r="X56" s="484"/>
      <c r="Y56" s="112"/>
    </row>
    <row r="57" spans="2:25" ht="15" thickBot="1">
      <c r="B57" s="113"/>
      <c r="C57" s="114"/>
      <c r="D57" s="114"/>
      <c r="E57" s="114"/>
      <c r="F57" s="114"/>
      <c r="G57" s="114"/>
      <c r="H57" s="114"/>
      <c r="I57" s="114"/>
      <c r="J57" s="114"/>
      <c r="K57" s="114"/>
      <c r="L57" s="114"/>
      <c r="M57" s="114"/>
      <c r="N57" s="114"/>
      <c r="O57" s="114"/>
      <c r="P57" s="114"/>
      <c r="Q57" s="114"/>
      <c r="R57" s="114"/>
      <c r="S57" s="114"/>
      <c r="T57" s="114"/>
      <c r="U57" s="114"/>
      <c r="V57" s="114"/>
      <c r="W57" s="114"/>
      <c r="X57" s="114"/>
      <c r="Y57" s="115"/>
    </row>
  </sheetData>
  <mergeCells count="70">
    <mergeCell ref="C42:X56"/>
    <mergeCell ref="O9:S17"/>
    <mergeCell ref="R19:X24"/>
    <mergeCell ref="T30:X38"/>
    <mergeCell ref="C32:E32"/>
    <mergeCell ref="C33:E33"/>
    <mergeCell ref="C34:E34"/>
    <mergeCell ref="C35:E35"/>
    <mergeCell ref="C36:E36"/>
    <mergeCell ref="C38:E38"/>
    <mergeCell ref="O29:S29"/>
    <mergeCell ref="T29:X29"/>
    <mergeCell ref="F30:G30"/>
    <mergeCell ref="H30:I30"/>
    <mergeCell ref="J30:K30"/>
    <mergeCell ref="L30:M30"/>
    <mergeCell ref="O30:S38"/>
    <mergeCell ref="L24:M24"/>
    <mergeCell ref="J25:K25"/>
    <mergeCell ref="L25:M25"/>
    <mergeCell ref="C29:E31"/>
    <mergeCell ref="F29:I29"/>
    <mergeCell ref="J29:M29"/>
    <mergeCell ref="J20:K20"/>
    <mergeCell ref="L20:M20"/>
    <mergeCell ref="E21:G25"/>
    <mergeCell ref="H21:I21"/>
    <mergeCell ref="H22:H25"/>
    <mergeCell ref="J22:K22"/>
    <mergeCell ref="L22:M22"/>
    <mergeCell ref="J23:K23"/>
    <mergeCell ref="L23:M23"/>
    <mergeCell ref="J24:K24"/>
    <mergeCell ref="E16:G20"/>
    <mergeCell ref="H16:I16"/>
    <mergeCell ref="H17:H20"/>
    <mergeCell ref="J19:K19"/>
    <mergeCell ref="O18:X18"/>
    <mergeCell ref="J15:K15"/>
    <mergeCell ref="L15:M15"/>
    <mergeCell ref="J17:K17"/>
    <mergeCell ref="L19:M19"/>
    <mergeCell ref="E11:G15"/>
    <mergeCell ref="H11:I11"/>
    <mergeCell ref="H12:H15"/>
    <mergeCell ref="L17:M17"/>
    <mergeCell ref="J18:K18"/>
    <mergeCell ref="L18:M18"/>
    <mergeCell ref="L12:M12"/>
    <mergeCell ref="J13:K13"/>
    <mergeCell ref="L13:M13"/>
    <mergeCell ref="J14:K14"/>
    <mergeCell ref="J12:K12"/>
    <mergeCell ref="L14:M14"/>
    <mergeCell ref="C10:E10"/>
    <mergeCell ref="D11:D25"/>
    <mergeCell ref="S2:T2"/>
    <mergeCell ref="U2:V2"/>
    <mergeCell ref="W2:X2"/>
    <mergeCell ref="S3:T3"/>
    <mergeCell ref="U3:V3"/>
    <mergeCell ref="W3:X3"/>
    <mergeCell ref="B4:C4"/>
    <mergeCell ref="D4:F4"/>
    <mergeCell ref="G4:I4"/>
    <mergeCell ref="J4:O4"/>
    <mergeCell ref="C8:I9"/>
    <mergeCell ref="J8:K8"/>
    <mergeCell ref="L8:M8"/>
    <mergeCell ref="O8:S8"/>
  </mergeCells>
  <phoneticPr fontId="6"/>
  <pageMargins left="0.7" right="0.7" top="0.75" bottom="0.75" header="0.3" footer="0.3"/>
  <pageSetup paperSize="9" scale="52" fitToHeight="0" orientation="portrait"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EFB61-9375-429F-B5B8-1D1D0C7D581E}">
  <sheetPr codeName="Sheet20">
    <tabColor rgb="FF00B050"/>
    <pageSetUpPr fitToPage="1"/>
  </sheetPr>
  <dimension ref="B1:S60"/>
  <sheetViews>
    <sheetView showGridLines="0" view="pageBreakPreview" zoomScale="25" zoomScaleNormal="62" zoomScaleSheetLayoutView="25" workbookViewId="0">
      <pane xSplit="9" ySplit="8" topLeftCell="J9" activePane="bottomRight" state="frozen"/>
      <selection pane="bottomRight" activeCell="AF15" sqref="AF15"/>
      <selection pane="bottomLeft" activeCell="N32" sqref="N32"/>
      <selection pane="topRight" activeCell="N32" sqref="N32"/>
    </sheetView>
  </sheetViews>
  <sheetFormatPr defaultColWidth="8.85546875" defaultRowHeight="14.45"/>
  <cols>
    <col min="1" max="1" width="1.7109375" customWidth="1"/>
    <col min="2" max="2" width="2.28515625" customWidth="1"/>
    <col min="3" max="3" width="20.5703125" customWidth="1"/>
    <col min="4" max="4" width="28.85546875" customWidth="1"/>
    <col min="5" max="5" width="19.140625" customWidth="1"/>
    <col min="6" max="7" width="20" customWidth="1"/>
    <col min="8" max="9" width="9.140625" customWidth="1"/>
    <col min="10" max="12" width="81.85546875" customWidth="1"/>
    <col min="13" max="15" width="10.5703125" customWidth="1"/>
    <col min="19" max="19" width="18.85546875" customWidth="1"/>
  </cols>
  <sheetData>
    <row r="1" spans="2:19" ht="26.1">
      <c r="B1" s="35"/>
      <c r="F1" s="36"/>
      <c r="G1" s="36"/>
      <c r="H1" s="37"/>
      <c r="I1" s="37"/>
      <c r="J1" s="37"/>
      <c r="K1" s="37"/>
      <c r="L1" s="38" t="s">
        <v>45</v>
      </c>
      <c r="M1" s="531">
        <v>45128</v>
      </c>
      <c r="N1" s="532"/>
      <c r="O1" s="532"/>
    </row>
    <row r="2" spans="2:19" ht="39.6">
      <c r="B2" s="35"/>
      <c r="C2" s="40" t="s">
        <v>46</v>
      </c>
      <c r="D2" s="35"/>
      <c r="E2" s="35"/>
      <c r="F2" s="37"/>
      <c r="G2" s="37"/>
      <c r="H2" s="37"/>
      <c r="I2" s="37"/>
      <c r="J2" s="37"/>
      <c r="K2" s="37"/>
      <c r="L2" s="37"/>
      <c r="M2" s="37"/>
      <c r="N2" s="37"/>
      <c r="O2" s="37"/>
    </row>
    <row r="3" spans="2:19" ht="16.5">
      <c r="B3" s="35"/>
      <c r="C3" s="35"/>
      <c r="D3" s="35"/>
    </row>
    <row r="4" spans="2:19" ht="57" customHeight="1">
      <c r="B4" s="35"/>
      <c r="C4" s="41" t="s">
        <v>47</v>
      </c>
      <c r="D4" s="297" cm="1">
        <f t="array" ref="D4:F4">'Safety Report'!D4:F4</f>
        <v>0</v>
      </c>
      <c r="E4">
        <v>0</v>
      </c>
      <c r="F4">
        <v>0</v>
      </c>
      <c r="M4" s="533" t="s">
        <v>48</v>
      </c>
      <c r="N4" s="534"/>
      <c r="O4" s="534"/>
    </row>
    <row r="5" spans="2:19" ht="16.5">
      <c r="B5" s="35"/>
      <c r="C5" s="35"/>
      <c r="D5" s="35"/>
      <c r="E5" s="38"/>
      <c r="F5" s="39"/>
      <c r="G5" s="39"/>
      <c r="H5" s="39"/>
      <c r="I5" s="39"/>
      <c r="J5" s="39"/>
      <c r="K5" s="39"/>
      <c r="L5" s="39"/>
      <c r="M5" s="39"/>
      <c r="N5" s="39"/>
      <c r="O5" s="39"/>
    </row>
    <row r="6" spans="2:19" ht="16.5">
      <c r="B6" s="35"/>
      <c r="C6" s="535" t="s">
        <v>49</v>
      </c>
      <c r="D6" s="536" t="s">
        <v>50</v>
      </c>
      <c r="E6" s="536" t="s">
        <v>51</v>
      </c>
      <c r="F6" s="536" t="s">
        <v>52</v>
      </c>
      <c r="G6" s="536" t="s">
        <v>53</v>
      </c>
      <c r="H6" s="295" t="s">
        <v>54</v>
      </c>
      <c r="I6" s="537" t="s">
        <v>55</v>
      </c>
      <c r="J6" s="536" t="s">
        <v>56</v>
      </c>
      <c r="K6" s="535" t="s">
        <v>57</v>
      </c>
      <c r="L6" s="536" t="s">
        <v>58</v>
      </c>
      <c r="M6" s="536" t="s">
        <v>59</v>
      </c>
      <c r="N6" s="536"/>
      <c r="O6" s="536"/>
    </row>
    <row r="7" spans="2:19" ht="18" customHeight="1">
      <c r="B7" s="35"/>
      <c r="C7" s="536"/>
      <c r="D7" s="536"/>
      <c r="E7" s="536"/>
      <c r="F7" s="536"/>
      <c r="G7" s="536"/>
      <c r="H7" s="536">
        <v>2025</v>
      </c>
      <c r="I7" s="538"/>
      <c r="J7" s="536"/>
      <c r="K7" s="536"/>
      <c r="L7" s="536"/>
      <c r="M7" s="536" t="s">
        <v>60</v>
      </c>
      <c r="N7" s="535" t="s">
        <v>61</v>
      </c>
      <c r="O7" s="536" t="s">
        <v>62</v>
      </c>
    </row>
    <row r="8" spans="2:19" ht="16.5">
      <c r="B8" s="35"/>
      <c r="C8" s="536"/>
      <c r="D8" s="536"/>
      <c r="E8" s="536"/>
      <c r="F8" s="536"/>
      <c r="G8" s="536"/>
      <c r="H8" s="536"/>
      <c r="I8" s="539"/>
      <c r="J8" s="536"/>
      <c r="K8" s="536"/>
      <c r="L8" s="536"/>
      <c r="M8" s="536"/>
      <c r="N8" s="536"/>
      <c r="O8" s="536"/>
    </row>
    <row r="9" spans="2:19" ht="51.75" customHeight="1">
      <c r="B9" s="35"/>
      <c r="C9" s="535" t="s">
        <v>63</v>
      </c>
      <c r="D9" s="540" t="s">
        <v>64</v>
      </c>
      <c r="E9" s="535" t="s">
        <v>65</v>
      </c>
      <c r="F9" s="74" t="s">
        <v>66</v>
      </c>
      <c r="G9" s="24" t="s">
        <v>23</v>
      </c>
      <c r="H9" s="42" t="str">
        <f>'Safety overall result'!Z10</f>
        <v>A</v>
      </c>
      <c r="I9" s="92"/>
      <c r="J9" s="269"/>
      <c r="K9" s="269"/>
      <c r="L9" s="269"/>
      <c r="M9" s="92"/>
      <c r="N9" s="92" t="s">
        <v>67</v>
      </c>
      <c r="O9" s="92"/>
      <c r="R9" s="72" t="s">
        <v>68</v>
      </c>
      <c r="S9" s="74" t="s">
        <v>66</v>
      </c>
    </row>
    <row r="10" spans="2:19" ht="51.75" customHeight="1">
      <c r="B10" s="35"/>
      <c r="C10" s="535"/>
      <c r="D10" s="541"/>
      <c r="E10" s="535"/>
      <c r="F10" s="74" t="s">
        <v>69</v>
      </c>
      <c r="G10" s="24" t="s">
        <v>20</v>
      </c>
      <c r="H10" s="42" t="str">
        <f>'Safety overall result'!Z11</f>
        <v>A</v>
      </c>
      <c r="I10" s="92"/>
      <c r="J10" s="269"/>
      <c r="K10" s="269"/>
      <c r="L10" s="269"/>
      <c r="M10" s="92"/>
      <c r="N10" s="92" t="s">
        <v>67</v>
      </c>
      <c r="O10" s="92"/>
      <c r="R10" s="72" t="s">
        <v>70</v>
      </c>
      <c r="S10" s="74" t="s">
        <v>69</v>
      </c>
    </row>
    <row r="11" spans="2:19" ht="51.75" customHeight="1">
      <c r="C11" s="535"/>
      <c r="D11" s="541"/>
      <c r="E11" s="535"/>
      <c r="F11" s="74" t="s">
        <v>71</v>
      </c>
      <c r="G11" s="24" t="s">
        <v>23</v>
      </c>
      <c r="H11" s="42" t="str">
        <f>'Safety overall result'!Z12</f>
        <v>A</v>
      </c>
      <c r="I11" s="268"/>
      <c r="J11" s="269"/>
      <c r="K11" s="92"/>
      <c r="L11" s="269"/>
      <c r="M11" s="92" t="s">
        <v>67</v>
      </c>
      <c r="N11" s="92"/>
      <c r="O11" s="92"/>
      <c r="R11" s="72" t="s">
        <v>72</v>
      </c>
      <c r="S11" s="74" t="s">
        <v>71</v>
      </c>
    </row>
    <row r="12" spans="2:19" ht="51.75" customHeight="1">
      <c r="C12" s="535"/>
      <c r="D12" s="541"/>
      <c r="E12" s="535"/>
      <c r="F12" s="74" t="s">
        <v>73</v>
      </c>
      <c r="G12" s="24" t="s">
        <v>20</v>
      </c>
      <c r="H12" s="42" t="str">
        <f>'Safety overall result'!Z13</f>
        <v>C</v>
      </c>
      <c r="I12" s="92"/>
      <c r="J12" s="269"/>
      <c r="K12" s="92"/>
      <c r="L12" s="269"/>
      <c r="M12" s="92" t="s">
        <v>67</v>
      </c>
      <c r="N12" s="92"/>
      <c r="O12" s="92"/>
      <c r="R12" s="72" t="s">
        <v>74</v>
      </c>
      <c r="S12" s="74" t="s">
        <v>73</v>
      </c>
    </row>
    <row r="13" spans="2:19" ht="51.75" customHeight="1">
      <c r="C13" s="535" t="s">
        <v>75</v>
      </c>
      <c r="D13" s="535" t="s">
        <v>76</v>
      </c>
      <c r="E13" s="535" t="s">
        <v>77</v>
      </c>
      <c r="F13" s="74" t="s">
        <v>78</v>
      </c>
      <c r="G13" s="24" t="s">
        <v>20</v>
      </c>
      <c r="H13" s="42" t="str">
        <f>'Safety overall result'!Z14</f>
        <v>A</v>
      </c>
      <c r="I13" s="92"/>
      <c r="J13" s="269"/>
      <c r="K13" s="92"/>
      <c r="L13" s="269"/>
      <c r="M13" s="92" t="s">
        <v>67</v>
      </c>
      <c r="N13" s="92"/>
      <c r="O13" s="92"/>
      <c r="R13" s="72" t="s">
        <v>79</v>
      </c>
      <c r="S13" s="74" t="s">
        <v>78</v>
      </c>
    </row>
    <row r="14" spans="2:19" ht="51.75" customHeight="1">
      <c r="C14" s="535"/>
      <c r="D14" s="535"/>
      <c r="E14" s="535"/>
      <c r="F14" s="74" t="s">
        <v>80</v>
      </c>
      <c r="G14" s="24" t="s">
        <v>20</v>
      </c>
      <c r="H14" s="42" t="str">
        <f>'Safety overall result'!Z15</f>
        <v>A</v>
      </c>
      <c r="I14" s="92"/>
      <c r="J14" s="269"/>
      <c r="K14" s="269"/>
      <c r="L14" s="269"/>
      <c r="M14" s="92"/>
      <c r="N14" s="92" t="s">
        <v>67</v>
      </c>
      <c r="O14" s="92"/>
      <c r="R14" s="72" t="s">
        <v>81</v>
      </c>
      <c r="S14" s="74" t="s">
        <v>80</v>
      </c>
    </row>
    <row r="15" spans="2:19" ht="51.75" customHeight="1">
      <c r="C15" s="535"/>
      <c r="D15" s="535"/>
      <c r="E15" s="535"/>
      <c r="F15" s="74" t="s">
        <v>82</v>
      </c>
      <c r="G15" s="24" t="s">
        <v>20</v>
      </c>
      <c r="H15" s="42" t="str">
        <f>'Safety overall result'!Z16</f>
        <v>A</v>
      </c>
      <c r="I15" s="92"/>
      <c r="J15" s="269"/>
      <c r="K15" s="269"/>
      <c r="L15" s="269"/>
      <c r="M15" s="92"/>
      <c r="N15" s="92" t="s">
        <v>67</v>
      </c>
      <c r="O15" s="92"/>
      <c r="R15" s="72" t="s">
        <v>83</v>
      </c>
      <c r="S15" s="74" t="s">
        <v>82</v>
      </c>
    </row>
    <row r="16" spans="2:19" ht="51.75" customHeight="1">
      <c r="C16" s="535"/>
      <c r="D16" s="535"/>
      <c r="E16" s="535"/>
      <c r="F16" s="288" t="s">
        <v>84</v>
      </c>
      <c r="G16" s="319" t="s">
        <v>22</v>
      </c>
      <c r="H16" s="296" t="str">
        <f>'Safety overall result'!Z17</f>
        <v>A</v>
      </c>
      <c r="I16" s="92"/>
      <c r="J16" s="269"/>
      <c r="K16" s="269"/>
      <c r="L16" s="269"/>
      <c r="M16" s="92"/>
      <c r="N16" s="92" t="s">
        <v>67</v>
      </c>
      <c r="O16" s="92"/>
      <c r="R16" s="72" t="s">
        <v>85</v>
      </c>
      <c r="S16" s="74" t="s">
        <v>86</v>
      </c>
    </row>
    <row r="17" spans="3:19" ht="51.75" customHeight="1">
      <c r="C17" s="535"/>
      <c r="D17" s="535"/>
      <c r="E17" s="535"/>
      <c r="F17" s="290" t="s">
        <v>87</v>
      </c>
      <c r="G17" s="319" t="s">
        <v>22</v>
      </c>
      <c r="H17" s="296" t="str">
        <f>'Safety overall result'!Z18</f>
        <v>A</v>
      </c>
      <c r="I17" s="92"/>
      <c r="J17" s="269"/>
      <c r="K17" s="269"/>
      <c r="L17" s="269"/>
      <c r="M17" s="92"/>
      <c r="N17" s="92"/>
      <c r="O17" s="92"/>
      <c r="R17" s="72"/>
      <c r="S17" s="29"/>
    </row>
    <row r="18" spans="3:19" ht="51.75" customHeight="1">
      <c r="C18" s="535"/>
      <c r="D18" s="535"/>
      <c r="E18" s="535"/>
      <c r="F18" s="290" t="s">
        <v>88</v>
      </c>
      <c r="G18" s="319" t="s">
        <v>22</v>
      </c>
      <c r="H18" s="296" t="str">
        <f>'Safety overall result'!Z19</f>
        <v>A</v>
      </c>
      <c r="I18" s="92"/>
      <c r="J18" s="269"/>
      <c r="K18" s="269"/>
      <c r="L18" s="269"/>
      <c r="M18" s="92"/>
      <c r="N18" s="92"/>
      <c r="O18" s="92"/>
      <c r="R18" s="72"/>
      <c r="S18" s="29"/>
    </row>
    <row r="19" spans="3:19" ht="51.75" customHeight="1">
      <c r="C19" s="535"/>
      <c r="D19" s="535"/>
      <c r="E19" s="535"/>
      <c r="F19" s="74" t="s">
        <v>89</v>
      </c>
      <c r="G19" s="24" t="s">
        <v>22</v>
      </c>
      <c r="H19" s="42" t="str">
        <f>'Safety overall result'!Z20</f>
        <v>A</v>
      </c>
      <c r="I19" s="92"/>
      <c r="J19" s="269"/>
      <c r="K19" s="92"/>
      <c r="L19" s="269"/>
      <c r="M19" s="92" t="s">
        <v>67</v>
      </c>
      <c r="N19" s="92"/>
      <c r="O19" s="92"/>
      <c r="R19" s="72" t="s">
        <v>90</v>
      </c>
    </row>
    <row r="20" spans="3:19" ht="51.75" customHeight="1">
      <c r="C20" s="537" t="s">
        <v>91</v>
      </c>
      <c r="D20" s="537" t="s">
        <v>92</v>
      </c>
      <c r="E20" s="542" t="s">
        <v>93</v>
      </c>
      <c r="F20" s="74" t="s">
        <v>94</v>
      </c>
      <c r="G20" s="24" t="s">
        <v>23</v>
      </c>
      <c r="H20" s="42" t="str">
        <f>'Safety overall result'!Z21</f>
        <v>A</v>
      </c>
      <c r="I20" s="92"/>
      <c r="J20" s="271"/>
      <c r="K20" s="269"/>
      <c r="L20" s="269"/>
      <c r="M20" s="92"/>
      <c r="N20" s="92" t="s">
        <v>67</v>
      </c>
      <c r="O20" s="92"/>
      <c r="R20" s="72" t="s">
        <v>95</v>
      </c>
      <c r="S20" s="74" t="s">
        <v>89</v>
      </c>
    </row>
    <row r="21" spans="3:19" ht="51.75" customHeight="1">
      <c r="C21" s="538"/>
      <c r="D21" s="538"/>
      <c r="E21" s="543"/>
      <c r="F21" s="74" t="s">
        <v>96</v>
      </c>
      <c r="G21" s="24" t="s">
        <v>23</v>
      </c>
      <c r="H21" s="42" t="str">
        <f>'Safety overall result'!Z22</f>
        <v>A</v>
      </c>
      <c r="I21" s="92"/>
      <c r="J21" s="271"/>
      <c r="K21" s="269"/>
      <c r="L21" s="269"/>
      <c r="M21" s="92"/>
      <c r="N21" s="92" t="s">
        <v>67</v>
      </c>
      <c r="O21" s="92"/>
      <c r="R21" s="72" t="s">
        <v>97</v>
      </c>
      <c r="S21" s="74" t="s">
        <v>94</v>
      </c>
    </row>
    <row r="22" spans="3:19" ht="51.75" customHeight="1">
      <c r="C22" s="538"/>
      <c r="D22" s="538"/>
      <c r="E22" s="543"/>
      <c r="F22" s="74" t="s">
        <v>98</v>
      </c>
      <c r="G22" s="24" t="s">
        <v>23</v>
      </c>
      <c r="H22" s="42" t="str">
        <f>'Safety overall result'!Z23</f>
        <v>A</v>
      </c>
      <c r="I22" s="278"/>
      <c r="J22" s="269"/>
      <c r="K22" s="92"/>
      <c r="L22" s="269"/>
      <c r="M22" s="92" t="s">
        <v>67</v>
      </c>
      <c r="N22" s="92"/>
      <c r="O22" s="92"/>
      <c r="R22" s="72" t="s">
        <v>99</v>
      </c>
      <c r="S22" s="74" t="s">
        <v>96</v>
      </c>
    </row>
    <row r="23" spans="3:19" ht="51.75" customHeight="1">
      <c r="C23" s="538"/>
      <c r="D23" s="538"/>
      <c r="E23" s="543"/>
      <c r="F23" s="290" t="s">
        <v>100</v>
      </c>
      <c r="G23" s="319" t="s">
        <v>101</v>
      </c>
      <c r="H23" s="42" t="str">
        <f>'Safety overall result'!Z24</f>
        <v>A</v>
      </c>
      <c r="I23" s="278"/>
      <c r="J23" s="269"/>
      <c r="K23" s="92"/>
      <c r="L23" s="269"/>
      <c r="M23" s="92"/>
      <c r="N23" s="92"/>
      <c r="O23" s="92"/>
      <c r="R23" s="72"/>
      <c r="S23" s="74"/>
    </row>
    <row r="24" spans="3:19" ht="51.75" customHeight="1">
      <c r="C24" s="538"/>
      <c r="D24" s="538"/>
      <c r="E24" s="543"/>
      <c r="F24" s="290" t="s">
        <v>102</v>
      </c>
      <c r="G24" s="319" t="s">
        <v>101</v>
      </c>
      <c r="H24" s="42" t="str">
        <f>'Safety overall result'!Z25</f>
        <v>A</v>
      </c>
      <c r="I24" s="278"/>
      <c r="J24" s="269"/>
      <c r="K24" s="92"/>
      <c r="L24" s="269"/>
      <c r="M24" s="92"/>
      <c r="N24" s="92"/>
      <c r="O24" s="92"/>
      <c r="R24" s="72"/>
      <c r="S24" s="74"/>
    </row>
    <row r="25" spans="3:19" ht="51.75" customHeight="1">
      <c r="C25" s="539"/>
      <c r="D25" s="539"/>
      <c r="E25" s="544"/>
      <c r="F25" s="291" t="s">
        <v>103</v>
      </c>
      <c r="G25" s="319" t="s">
        <v>101</v>
      </c>
      <c r="H25" s="42" t="str">
        <f>'Safety overall result'!Z26</f>
        <v>A</v>
      </c>
      <c r="I25" s="278"/>
      <c r="J25" s="269"/>
      <c r="K25" s="92"/>
      <c r="L25" s="269"/>
      <c r="M25" s="92"/>
      <c r="N25" s="92"/>
      <c r="O25" s="92"/>
      <c r="R25" s="72"/>
      <c r="S25" s="74"/>
    </row>
    <row r="26" spans="3:19" ht="51.75" customHeight="1">
      <c r="C26" s="535" t="s">
        <v>104</v>
      </c>
      <c r="D26" s="535" t="s">
        <v>105</v>
      </c>
      <c r="E26" s="537" t="s">
        <v>106</v>
      </c>
      <c r="F26" s="74" t="s">
        <v>107</v>
      </c>
      <c r="G26" s="24" t="s">
        <v>22</v>
      </c>
      <c r="H26" s="296" t="str">
        <f>'Safety overall result'!Z27</f>
        <v>A</v>
      </c>
      <c r="I26" s="92"/>
      <c r="J26" s="269"/>
      <c r="K26" s="269"/>
      <c r="L26" s="269"/>
      <c r="M26" s="92"/>
      <c r="N26" s="92" t="s">
        <v>67</v>
      </c>
      <c r="O26" s="92"/>
      <c r="R26" s="72" t="s">
        <v>108</v>
      </c>
      <c r="S26" s="74" t="s">
        <v>98</v>
      </c>
    </row>
    <row r="27" spans="3:19" ht="51.75" customHeight="1">
      <c r="C27" s="535"/>
      <c r="D27" s="535"/>
      <c r="E27" s="538"/>
      <c r="F27" s="74" t="s">
        <v>109</v>
      </c>
      <c r="G27" s="24" t="s">
        <v>20</v>
      </c>
      <c r="H27" s="42" t="str">
        <f>'Safety overall result'!Z28</f>
        <v>A</v>
      </c>
      <c r="I27" s="92"/>
      <c r="J27" s="269"/>
      <c r="K27" s="269"/>
      <c r="L27" s="269"/>
      <c r="M27" s="92"/>
      <c r="N27" s="92" t="s">
        <v>67</v>
      </c>
      <c r="O27" s="92"/>
      <c r="R27" s="72" t="s">
        <v>110</v>
      </c>
      <c r="S27" s="74" t="s">
        <v>111</v>
      </c>
    </row>
    <row r="28" spans="3:19" ht="51.75" customHeight="1">
      <c r="C28" s="535"/>
      <c r="D28" s="535"/>
      <c r="E28" s="538"/>
      <c r="F28" s="74" t="s">
        <v>112</v>
      </c>
      <c r="G28" s="24" t="s">
        <v>22</v>
      </c>
      <c r="H28" s="42" t="str">
        <f>'Safety overall result'!Z29</f>
        <v>A</v>
      </c>
      <c r="I28" s="92"/>
      <c r="J28" s="269"/>
      <c r="K28" s="92"/>
      <c r="L28" s="269"/>
      <c r="M28" s="92" t="s">
        <v>67</v>
      </c>
      <c r="N28" s="92"/>
      <c r="O28" s="92"/>
      <c r="R28" s="72" t="s">
        <v>113</v>
      </c>
      <c r="S28" s="74" t="s">
        <v>109</v>
      </c>
    </row>
    <row r="29" spans="3:19" ht="51.75" customHeight="1">
      <c r="C29" s="535"/>
      <c r="D29" s="535"/>
      <c r="E29" s="538"/>
      <c r="F29" s="74" t="s">
        <v>114</v>
      </c>
      <c r="G29" s="24" t="s">
        <v>20</v>
      </c>
      <c r="H29" s="42" t="e">
        <f>'Safety overall result'!#REF!</f>
        <v>#REF!</v>
      </c>
      <c r="I29" s="92"/>
      <c r="J29" s="269"/>
      <c r="K29" s="269"/>
      <c r="L29" s="269"/>
      <c r="M29" s="92" t="s">
        <v>67</v>
      </c>
      <c r="N29" s="92"/>
      <c r="O29" s="92"/>
      <c r="R29" s="72" t="s">
        <v>115</v>
      </c>
      <c r="S29" s="74" t="s">
        <v>112</v>
      </c>
    </row>
    <row r="30" spans="3:19" ht="51.75" customHeight="1">
      <c r="C30" s="535"/>
      <c r="D30" s="535"/>
      <c r="E30" s="538"/>
      <c r="F30" s="74" t="s">
        <v>116</v>
      </c>
      <c r="G30" s="24" t="s">
        <v>20</v>
      </c>
      <c r="H30" s="42" t="str">
        <f>'Safety overall result'!Z30</f>
        <v>A</v>
      </c>
      <c r="I30" s="92"/>
      <c r="J30" s="269"/>
      <c r="K30" s="269"/>
      <c r="L30" s="269"/>
      <c r="M30" s="92"/>
      <c r="N30" s="92" t="s">
        <v>67</v>
      </c>
      <c r="O30" s="92"/>
      <c r="R30" s="72" t="s">
        <v>117</v>
      </c>
      <c r="S30" s="74" t="s">
        <v>114</v>
      </c>
    </row>
    <row r="31" spans="3:19" ht="51.75" customHeight="1">
      <c r="C31" s="535"/>
      <c r="D31" s="535"/>
      <c r="E31" s="538"/>
      <c r="F31" s="74" t="s">
        <v>118</v>
      </c>
      <c r="G31" s="24" t="s">
        <v>22</v>
      </c>
      <c r="H31" s="296" t="str">
        <f>'Safety overall result'!Z31</f>
        <v>A</v>
      </c>
      <c r="I31" s="92"/>
      <c r="J31" s="269"/>
      <c r="K31" s="269"/>
      <c r="L31" s="269"/>
      <c r="M31" s="92"/>
      <c r="N31" s="92" t="s">
        <v>67</v>
      </c>
      <c r="O31" s="92"/>
      <c r="R31" s="72" t="s">
        <v>119</v>
      </c>
      <c r="S31" s="74" t="s">
        <v>116</v>
      </c>
    </row>
    <row r="32" spans="3:19" ht="51.75" customHeight="1">
      <c r="C32" s="535"/>
      <c r="D32" s="535"/>
      <c r="E32" s="539"/>
      <c r="F32" s="74" t="s">
        <v>120</v>
      </c>
      <c r="G32" s="24" t="s">
        <v>20</v>
      </c>
      <c r="H32" s="42" t="str">
        <f>'Safety overall result'!Z32</f>
        <v>A</v>
      </c>
      <c r="I32" s="92"/>
      <c r="J32" s="269"/>
      <c r="K32" s="92"/>
      <c r="L32" s="269"/>
      <c r="M32" s="92" t="s">
        <v>67</v>
      </c>
      <c r="N32" s="92"/>
      <c r="O32" s="92"/>
      <c r="R32" s="72" t="s">
        <v>121</v>
      </c>
      <c r="S32" s="74" t="s">
        <v>118</v>
      </c>
    </row>
    <row r="33" spans="3:19" ht="51.75" customHeight="1">
      <c r="C33" s="535"/>
      <c r="D33" s="535"/>
      <c r="E33" s="538"/>
      <c r="F33" s="74" t="s">
        <v>122</v>
      </c>
      <c r="G33" s="24" t="s">
        <v>23</v>
      </c>
      <c r="H33" s="42" t="str">
        <f>'Safety overall result'!Z33</f>
        <v>A</v>
      </c>
      <c r="I33" s="92"/>
      <c r="J33" s="271"/>
      <c r="K33" s="269"/>
      <c r="L33" s="269"/>
      <c r="M33" s="92" t="s">
        <v>67</v>
      </c>
      <c r="N33" s="92"/>
      <c r="O33" s="92"/>
      <c r="R33" s="72" t="s">
        <v>123</v>
      </c>
      <c r="S33" s="74" t="s">
        <v>120</v>
      </c>
    </row>
    <row r="34" spans="3:19" ht="75.75" customHeight="1">
      <c r="C34" s="535"/>
      <c r="D34" s="535"/>
      <c r="E34" s="538"/>
      <c r="F34" s="74" t="s">
        <v>124</v>
      </c>
      <c r="G34" s="24" t="s">
        <v>23</v>
      </c>
      <c r="H34" s="42" t="str">
        <f>'Safety overall result'!Z34</f>
        <v>A</v>
      </c>
      <c r="I34" s="92"/>
      <c r="J34" s="269"/>
      <c r="K34" s="269"/>
      <c r="L34" s="269"/>
      <c r="M34" s="92" t="s">
        <v>67</v>
      </c>
      <c r="N34" s="92"/>
      <c r="O34" s="92"/>
      <c r="R34" s="72" t="s">
        <v>125</v>
      </c>
      <c r="S34" s="74" t="s">
        <v>122</v>
      </c>
    </row>
    <row r="35" spans="3:19" ht="67.5" customHeight="1">
      <c r="C35" s="535"/>
      <c r="D35" s="535"/>
      <c r="E35" s="538"/>
      <c r="F35" s="74" t="s">
        <v>126</v>
      </c>
      <c r="G35" s="24" t="s">
        <v>23</v>
      </c>
      <c r="H35" s="42" t="str">
        <f>'Safety overall result'!Z35</f>
        <v>A</v>
      </c>
      <c r="I35" s="92"/>
      <c r="J35" s="269"/>
      <c r="K35" s="269"/>
      <c r="L35" s="269"/>
      <c r="M35" s="92"/>
      <c r="N35" s="92" t="s">
        <v>67</v>
      </c>
      <c r="O35" s="92"/>
      <c r="R35" s="72" t="s">
        <v>127</v>
      </c>
      <c r="S35" s="74" t="s">
        <v>124</v>
      </c>
    </row>
    <row r="36" spans="3:19" ht="67.5" customHeight="1">
      <c r="C36" s="535"/>
      <c r="D36" s="535"/>
      <c r="E36" s="539"/>
      <c r="F36" s="74" t="s">
        <v>128</v>
      </c>
      <c r="G36" s="24" t="s">
        <v>23</v>
      </c>
      <c r="H36" s="42" t="str">
        <f>'Safety overall result'!Z36</f>
        <v>A</v>
      </c>
      <c r="I36" s="92"/>
      <c r="J36" s="269"/>
      <c r="K36" s="269"/>
      <c r="L36" s="269"/>
      <c r="M36" s="92"/>
      <c r="N36" s="92" t="s">
        <v>67</v>
      </c>
      <c r="O36" s="92"/>
      <c r="R36" s="72" t="s">
        <v>129</v>
      </c>
      <c r="S36" s="74" t="s">
        <v>126</v>
      </c>
    </row>
    <row r="37" spans="3:19" ht="67.5" customHeight="1">
      <c r="C37" s="535" t="s">
        <v>130</v>
      </c>
      <c r="D37" s="535" t="s">
        <v>131</v>
      </c>
      <c r="E37" s="536" t="s">
        <v>132</v>
      </c>
      <c r="F37" s="74" t="s">
        <v>133</v>
      </c>
      <c r="G37" s="24" t="s">
        <v>23</v>
      </c>
      <c r="H37" s="42" t="str">
        <f>'Safety overall result'!Z37</f>
        <v>A</v>
      </c>
      <c r="I37" s="92"/>
      <c r="J37" s="269"/>
      <c r="K37" s="92"/>
      <c r="L37" s="269"/>
      <c r="M37" s="92" t="s">
        <v>67</v>
      </c>
      <c r="N37" s="92"/>
      <c r="O37" s="92"/>
      <c r="R37" s="72" t="s">
        <v>134</v>
      </c>
      <c r="S37" s="74" t="s">
        <v>128</v>
      </c>
    </row>
    <row r="38" spans="3:19" ht="69.95" customHeight="1">
      <c r="C38" s="535"/>
      <c r="D38" s="535"/>
      <c r="E38" s="536"/>
      <c r="F38" s="74" t="s">
        <v>135</v>
      </c>
      <c r="G38" s="24" t="s">
        <v>23</v>
      </c>
      <c r="H38" s="296" t="str">
        <f>'Safety overall result'!Z38</f>
        <v>A</v>
      </c>
      <c r="I38" s="92"/>
      <c r="J38" s="269"/>
      <c r="K38" s="269"/>
      <c r="L38" s="269"/>
      <c r="M38" s="92"/>
      <c r="N38" s="92"/>
      <c r="O38" s="92"/>
      <c r="R38" s="72" t="s">
        <v>136</v>
      </c>
      <c r="S38" s="74" t="s">
        <v>133</v>
      </c>
    </row>
    <row r="39" spans="3:19" ht="69.95" customHeight="1">
      <c r="C39" s="535"/>
      <c r="D39" s="535"/>
      <c r="E39" s="536"/>
      <c r="F39" s="73" t="s">
        <v>137</v>
      </c>
      <c r="G39" s="24" t="s">
        <v>23</v>
      </c>
      <c r="H39" s="296" t="str">
        <f>'Safety overall result'!Z39</f>
        <v>A</v>
      </c>
      <c r="I39" s="92"/>
      <c r="J39" s="269"/>
      <c r="K39" s="269"/>
      <c r="L39" s="269"/>
      <c r="M39" s="92"/>
      <c r="N39" s="92" t="s">
        <v>67</v>
      </c>
      <c r="O39" s="92"/>
      <c r="R39" s="72" t="s">
        <v>138</v>
      </c>
    </row>
    <row r="40" spans="3:19" ht="16.5">
      <c r="C40" s="35"/>
      <c r="D40" s="35"/>
      <c r="E40" s="35"/>
      <c r="F40" s="37"/>
      <c r="G40" s="37"/>
      <c r="H40" s="37"/>
      <c r="I40" s="37"/>
      <c r="J40" s="37"/>
      <c r="K40" s="37"/>
      <c r="L40" s="37"/>
      <c r="M40" s="37"/>
      <c r="N40" s="37"/>
      <c r="O40" s="37"/>
      <c r="R40" s="72" t="s">
        <v>139</v>
      </c>
      <c r="S40" s="74" t="s">
        <v>135</v>
      </c>
    </row>
    <row r="41" spans="3:19" ht="16.5">
      <c r="C41" s="35"/>
      <c r="D41" s="35"/>
      <c r="E41" s="35"/>
      <c r="F41" s="37"/>
      <c r="G41" s="37"/>
      <c r="H41" s="37"/>
      <c r="I41" s="37"/>
      <c r="J41" s="37"/>
      <c r="K41" s="37"/>
      <c r="L41" s="37"/>
      <c r="M41" s="37"/>
      <c r="N41" s="37"/>
      <c r="O41" s="37"/>
      <c r="R41" s="72" t="s">
        <v>140</v>
      </c>
      <c r="S41" s="73"/>
    </row>
    <row r="42" spans="3:19" ht="16.5">
      <c r="C42" s="35"/>
      <c r="D42" s="35"/>
      <c r="E42" s="35"/>
      <c r="F42" s="37"/>
      <c r="G42" s="37"/>
      <c r="H42" s="37"/>
      <c r="I42" s="37"/>
      <c r="J42" s="37"/>
      <c r="K42" s="37"/>
      <c r="L42" s="37"/>
      <c r="M42" s="37"/>
      <c r="N42" s="37"/>
      <c r="O42" s="37"/>
      <c r="R42" s="72" t="s">
        <v>141</v>
      </c>
      <c r="S42" s="73" t="s">
        <v>137</v>
      </c>
    </row>
    <row r="43" spans="3:19" ht="16.5">
      <c r="C43" s="35"/>
      <c r="D43" s="35"/>
      <c r="E43" s="35"/>
      <c r="F43" s="37"/>
      <c r="G43" s="37"/>
      <c r="H43" s="37"/>
      <c r="I43" s="37"/>
      <c r="J43" s="37"/>
      <c r="K43" s="37"/>
      <c r="L43" s="37"/>
      <c r="M43" s="37"/>
      <c r="N43" s="37"/>
      <c r="O43" s="37"/>
    </row>
    <row r="44" spans="3:19" ht="16.5">
      <c r="C44" s="35"/>
      <c r="D44" s="35"/>
      <c r="E44" s="35"/>
      <c r="F44" s="37"/>
      <c r="G44" s="37"/>
      <c r="H44" s="37"/>
      <c r="I44" s="37"/>
      <c r="J44" s="37"/>
      <c r="K44" s="37"/>
      <c r="L44" s="37"/>
      <c r="M44" s="37"/>
      <c r="N44" s="37"/>
      <c r="O44" s="37"/>
    </row>
    <row r="45" spans="3:19" ht="16.5">
      <c r="C45" s="35"/>
      <c r="D45" s="35"/>
      <c r="E45" s="35"/>
      <c r="F45" s="37"/>
      <c r="G45" s="37"/>
      <c r="H45" s="37"/>
      <c r="I45" s="37"/>
      <c r="J45" s="37"/>
      <c r="K45" s="37"/>
      <c r="L45" s="37"/>
      <c r="M45" s="37"/>
      <c r="N45" s="37"/>
      <c r="O45" s="37"/>
    </row>
    <row r="46" spans="3:19" ht="16.5">
      <c r="C46" s="39"/>
      <c r="D46" s="35"/>
      <c r="E46" s="35"/>
      <c r="F46" s="37"/>
      <c r="G46" s="37"/>
      <c r="H46" s="37"/>
      <c r="I46" s="37"/>
      <c r="J46" s="37"/>
      <c r="K46" s="37"/>
      <c r="L46" s="37"/>
      <c r="M46" s="37"/>
      <c r="N46" s="37"/>
      <c r="O46" s="37"/>
    </row>
    <row r="47" spans="3:19" ht="16.5">
      <c r="C47" s="39"/>
      <c r="D47" s="35"/>
      <c r="E47" s="35"/>
      <c r="F47" s="37"/>
      <c r="G47" s="37"/>
      <c r="H47" s="37"/>
      <c r="I47" s="37"/>
      <c r="J47" s="37"/>
      <c r="K47" s="37"/>
      <c r="L47" s="37"/>
      <c r="M47" s="37"/>
      <c r="N47" s="37"/>
      <c r="O47" s="37"/>
    </row>
    <row r="48" spans="3:19" ht="16.5">
      <c r="C48" s="35"/>
      <c r="D48" s="35"/>
      <c r="E48" s="35"/>
      <c r="F48" s="37"/>
      <c r="G48" s="37"/>
      <c r="H48" s="37"/>
      <c r="I48" s="37"/>
      <c r="J48" s="37"/>
      <c r="K48" s="37"/>
      <c r="L48" s="37"/>
      <c r="M48" s="37"/>
      <c r="N48" s="37"/>
      <c r="O48" s="37"/>
    </row>
    <row r="49" spans="5:15" ht="16.5">
      <c r="F49" s="37"/>
      <c r="G49" s="37"/>
      <c r="H49" s="37"/>
      <c r="I49" s="37"/>
      <c r="J49" s="37"/>
      <c r="K49" s="37"/>
      <c r="L49" s="37"/>
      <c r="M49" s="37"/>
      <c r="N49" s="37"/>
      <c r="O49" s="37"/>
    </row>
    <row r="50" spans="5:15" ht="16.5" hidden="1">
      <c r="F50" s="37"/>
      <c r="G50" s="44"/>
      <c r="H50" s="44"/>
      <c r="I50" s="44"/>
      <c r="J50" s="44"/>
      <c r="K50" s="44"/>
      <c r="L50" s="44"/>
      <c r="M50" s="44"/>
      <c r="N50" s="44"/>
      <c r="O50" s="44"/>
    </row>
    <row r="51" spans="5:15" ht="16.5" hidden="1">
      <c r="F51" s="37"/>
      <c r="G51" s="44"/>
      <c r="H51" s="44"/>
      <c r="I51" s="44"/>
      <c r="J51" s="44"/>
      <c r="K51" s="44"/>
      <c r="L51" s="44"/>
      <c r="M51" s="44"/>
      <c r="N51" s="44"/>
      <c r="O51" s="44"/>
    </row>
    <row r="52" spans="5:15" ht="16.5" hidden="1">
      <c r="E52" s="48"/>
      <c r="F52" s="37"/>
      <c r="G52" s="44"/>
      <c r="H52" s="44"/>
      <c r="I52" s="44"/>
      <c r="J52" s="44"/>
      <c r="K52" s="44"/>
      <c r="L52" s="44"/>
      <c r="M52" s="44"/>
      <c r="N52" s="44"/>
      <c r="O52" s="44"/>
    </row>
    <row r="53" spans="5:15" ht="16.5" hidden="1">
      <c r="F53" s="37"/>
      <c r="G53" s="44"/>
      <c r="H53" s="44"/>
      <c r="I53" s="44"/>
      <c r="J53" s="44"/>
      <c r="K53" s="44"/>
      <c r="L53" s="44"/>
      <c r="M53" s="44"/>
      <c r="N53" s="44"/>
      <c r="O53" s="44"/>
    </row>
    <row r="54" spans="5:15" ht="16.5" hidden="1">
      <c r="F54" s="37"/>
      <c r="G54" s="44"/>
      <c r="H54" s="44"/>
      <c r="I54" s="44"/>
      <c r="J54" s="44"/>
      <c r="K54" s="44"/>
      <c r="L54" s="44"/>
      <c r="M54" s="44"/>
      <c r="N54" s="44"/>
      <c r="O54" s="44"/>
    </row>
    <row r="55" spans="5:15" ht="16.5" hidden="1">
      <c r="F55" s="37"/>
      <c r="G55" s="44"/>
      <c r="H55" s="44"/>
      <c r="I55" s="44"/>
      <c r="J55" s="44"/>
      <c r="K55" s="44"/>
      <c r="L55" s="44"/>
      <c r="M55" s="44"/>
      <c r="N55" s="44"/>
      <c r="O55" s="44"/>
    </row>
    <row r="56" spans="5:15" ht="16.5" hidden="1">
      <c r="F56" s="37"/>
      <c r="G56" s="44"/>
      <c r="H56" s="44"/>
      <c r="I56" s="44"/>
      <c r="J56" s="44"/>
      <c r="K56" s="44"/>
      <c r="L56" s="44"/>
      <c r="M56" s="44"/>
      <c r="N56" s="44"/>
      <c r="O56" s="44"/>
    </row>
    <row r="57" spans="5:15" ht="16.5" hidden="1">
      <c r="F57" s="37"/>
      <c r="G57" s="44"/>
      <c r="H57" s="44"/>
      <c r="I57" s="44"/>
      <c r="J57" s="44"/>
      <c r="K57" s="44"/>
      <c r="L57" s="44"/>
      <c r="M57" s="44"/>
      <c r="N57" s="44"/>
      <c r="O57" s="44"/>
    </row>
    <row r="58" spans="5:15" ht="16.5" hidden="1">
      <c r="F58" s="37"/>
      <c r="G58" s="45"/>
      <c r="H58" s="45"/>
      <c r="I58" s="45"/>
      <c r="J58" s="45"/>
      <c r="K58" s="45"/>
      <c r="L58" s="45"/>
      <c r="M58" s="45"/>
      <c r="N58" s="45"/>
      <c r="O58" s="45"/>
    </row>
    <row r="59" spans="5:15" ht="16.5" hidden="1">
      <c r="F59" s="37"/>
      <c r="G59" s="45"/>
      <c r="H59" s="45"/>
      <c r="I59" s="45"/>
      <c r="J59" s="45"/>
      <c r="K59" s="45"/>
      <c r="L59" s="45"/>
      <c r="M59" s="45"/>
      <c r="N59" s="45"/>
      <c r="O59" s="45"/>
    </row>
    <row r="60" spans="5:15" ht="16.5">
      <c r="F60" s="37"/>
      <c r="G60" s="37"/>
      <c r="H60" s="37"/>
      <c r="I60" s="37"/>
      <c r="J60" s="37"/>
      <c r="K60" s="37"/>
      <c r="L60" s="37"/>
      <c r="M60" s="37"/>
      <c r="N60" s="37"/>
      <c r="O60" s="37"/>
    </row>
  </sheetData>
  <autoFilter ref="B8:O39" xr:uid="{303C0BA3-8567-4718-922F-659EC1AFA872}"/>
  <mergeCells count="32">
    <mergeCell ref="C37:C39"/>
    <mergeCell ref="D37:D39"/>
    <mergeCell ref="E37:E39"/>
    <mergeCell ref="E20:E25"/>
    <mergeCell ref="D20:D25"/>
    <mergeCell ref="C20:C25"/>
    <mergeCell ref="C26:C36"/>
    <mergeCell ref="D26:D36"/>
    <mergeCell ref="E26:E32"/>
    <mergeCell ref="E33:E36"/>
    <mergeCell ref="C9:C12"/>
    <mergeCell ref="D9:D12"/>
    <mergeCell ref="E9:E12"/>
    <mergeCell ref="C13:C19"/>
    <mergeCell ref="D13:D19"/>
    <mergeCell ref="E13:E19"/>
    <mergeCell ref="M1:O1"/>
    <mergeCell ref="M4:O4"/>
    <mergeCell ref="C6:C8"/>
    <mergeCell ref="D6:D8"/>
    <mergeCell ref="E6:E8"/>
    <mergeCell ref="F6:F8"/>
    <mergeCell ref="G6:G8"/>
    <mergeCell ref="I6:I8"/>
    <mergeCell ref="J6:J8"/>
    <mergeCell ref="K6:K8"/>
    <mergeCell ref="L6:L8"/>
    <mergeCell ref="M6:O6"/>
    <mergeCell ref="H7:H8"/>
    <mergeCell ref="M7:M8"/>
    <mergeCell ref="N7:N8"/>
    <mergeCell ref="O7:O8"/>
  </mergeCells>
  <conditionalFormatting sqref="G9:G39">
    <cfRule type="containsText" dxfId="21" priority="2" operator="containsText" text="No">
      <formula>NOT(ISERROR(SEARCH("No",G9)))</formula>
    </cfRule>
  </conditionalFormatting>
  <pageMargins left="0.7" right="0.7" top="0.75" bottom="0.75" header="0.3" footer="0.3"/>
  <pageSetup paperSize="8" scale="38" orientation="landscape" r:id="rId1"/>
  <extLst>
    <ext xmlns:x14="http://schemas.microsoft.com/office/spreadsheetml/2009/9/main" uri="{78C0D931-6437-407d-A8EE-F0AAD7539E65}">
      <x14:conditionalFormattings>
        <x14:conditionalFormatting xmlns:xm="http://schemas.microsoft.com/office/excel/2006/main">
          <x14:cfRule type="containsText" priority="1" operator="containsText" id="{F93EE1C9-2422-4754-B1B2-B3FF085A7C8D}">
            <xm:f>NOT(ISERROR(SEARCH("-",G9)))</xm:f>
            <xm:f>"-"</xm:f>
            <x14:dxf>
              <fill>
                <patternFill>
                  <bgColor theme="0" tint="-0.24994659260841701"/>
                </patternFill>
              </fill>
            </x14:dxf>
          </x14:cfRule>
          <xm:sqref>G9:G39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5CF40-C7D7-4D37-B9B1-50270664B72F}">
  <sheetPr codeName="Sheet4">
    <tabColor rgb="FF00B050"/>
    <pageSetUpPr fitToPage="1"/>
  </sheetPr>
  <dimension ref="B1:P66"/>
  <sheetViews>
    <sheetView view="pageBreakPreview" topLeftCell="A9" zoomScale="60" zoomScaleNormal="72" workbookViewId="0">
      <selection activeCell="H27" sqref="H27"/>
    </sheetView>
  </sheetViews>
  <sheetFormatPr defaultColWidth="8.85546875" defaultRowHeight="14.45"/>
  <cols>
    <col min="1" max="1" width="1.5703125" customWidth="1"/>
    <col min="2" max="2" width="2.28515625" customWidth="1"/>
    <col min="3" max="3" width="20.5703125" customWidth="1"/>
    <col min="4" max="4" width="28.85546875" customWidth="1"/>
    <col min="5" max="5" width="18.42578125" customWidth="1"/>
    <col min="6" max="6" width="20" style="118" customWidth="1"/>
    <col min="7" max="7" width="12.85546875" style="118" customWidth="1"/>
    <col min="8" max="8" width="9" customWidth="1"/>
    <col min="9" max="9" width="9" style="34" customWidth="1"/>
    <col min="10" max="10" width="9" customWidth="1"/>
    <col min="11" max="13" width="77.42578125" customWidth="1"/>
    <col min="14" max="16" width="10.5703125" customWidth="1"/>
  </cols>
  <sheetData>
    <row r="1" spans="2:16" ht="26.1">
      <c r="B1" s="35"/>
      <c r="F1" s="36"/>
      <c r="G1" s="36"/>
      <c r="H1" s="36"/>
      <c r="I1" s="52"/>
      <c r="J1" s="37"/>
      <c r="K1" s="37"/>
      <c r="L1" s="37"/>
      <c r="M1" s="38" t="s">
        <v>45</v>
      </c>
      <c r="N1" s="531">
        <v>45128</v>
      </c>
      <c r="O1" s="532"/>
      <c r="P1" s="532"/>
    </row>
    <row r="2" spans="2:16" ht="39.6">
      <c r="B2" s="35"/>
      <c r="C2" s="40" t="s">
        <v>142</v>
      </c>
      <c r="D2" s="35"/>
      <c r="E2" s="35"/>
      <c r="F2" s="37"/>
      <c r="G2" s="37"/>
      <c r="H2" s="37"/>
      <c r="I2" s="52"/>
      <c r="J2" s="37"/>
      <c r="K2" s="37"/>
      <c r="L2" s="37"/>
      <c r="M2" s="37"/>
      <c r="N2" s="37"/>
      <c r="O2" s="37"/>
      <c r="P2" s="37"/>
    </row>
    <row r="3" spans="2:16" ht="16.5">
      <c r="B3" s="35"/>
      <c r="C3" s="35"/>
      <c r="D3" s="35"/>
    </row>
    <row r="4" spans="2:16" ht="59.25" customHeight="1">
      <c r="B4" s="35"/>
      <c r="C4" s="41" t="s">
        <v>3</v>
      </c>
      <c r="D4" s="550">
        <f>'Safety Instruction.'!D4</f>
        <v>0</v>
      </c>
      <c r="E4" s="551"/>
      <c r="N4" s="533" t="s">
        <v>143</v>
      </c>
      <c r="O4" s="534"/>
      <c r="P4" s="534"/>
    </row>
    <row r="5" spans="2:16" ht="16.5">
      <c r="B5" s="35"/>
      <c r="C5" s="35"/>
      <c r="D5" s="35"/>
      <c r="E5" s="38"/>
      <c r="F5" s="117"/>
      <c r="G5" s="117"/>
      <c r="H5" s="39"/>
      <c r="I5" s="285"/>
      <c r="J5" s="39"/>
      <c r="K5" s="39"/>
      <c r="L5" s="39"/>
      <c r="M5" s="39"/>
      <c r="N5" s="39"/>
      <c r="O5" s="39"/>
      <c r="P5" s="39"/>
    </row>
    <row r="6" spans="2:16" ht="18.75" customHeight="1">
      <c r="B6" s="35"/>
      <c r="C6" s="535" t="s">
        <v>144</v>
      </c>
      <c r="D6" s="536" t="s">
        <v>50</v>
      </c>
      <c r="E6" s="536" t="s">
        <v>51</v>
      </c>
      <c r="F6" s="536" t="s">
        <v>52</v>
      </c>
      <c r="G6" s="536" t="s">
        <v>145</v>
      </c>
      <c r="H6" s="545" t="s">
        <v>146</v>
      </c>
      <c r="I6" s="546"/>
      <c r="J6" s="537" t="s">
        <v>147</v>
      </c>
      <c r="K6" s="536" t="s">
        <v>56</v>
      </c>
      <c r="L6" s="535" t="s">
        <v>57</v>
      </c>
      <c r="M6" s="536" t="s">
        <v>58</v>
      </c>
      <c r="N6" s="536" t="s">
        <v>59</v>
      </c>
      <c r="O6" s="536"/>
      <c r="P6" s="536"/>
    </row>
    <row r="7" spans="2:16" ht="18.75" customHeight="1">
      <c r="B7" s="35"/>
      <c r="C7" s="536"/>
      <c r="D7" s="536"/>
      <c r="E7" s="536"/>
      <c r="F7" s="536"/>
      <c r="G7" s="536"/>
      <c r="H7" s="536">
        <v>2024</v>
      </c>
      <c r="I7" s="552">
        <v>2025</v>
      </c>
      <c r="J7" s="538"/>
      <c r="K7" s="536"/>
      <c r="L7" s="536"/>
      <c r="M7" s="536"/>
      <c r="N7" s="536" t="s">
        <v>60</v>
      </c>
      <c r="O7" s="535" t="s">
        <v>61</v>
      </c>
      <c r="P7" s="536" t="s">
        <v>62</v>
      </c>
    </row>
    <row r="8" spans="2:16" ht="16.5">
      <c r="B8" s="35"/>
      <c r="C8" s="536"/>
      <c r="D8" s="536"/>
      <c r="E8" s="536"/>
      <c r="F8" s="536"/>
      <c r="G8" s="536"/>
      <c r="H8" s="536"/>
      <c r="I8" s="552"/>
      <c r="J8" s="539"/>
      <c r="K8" s="536"/>
      <c r="L8" s="536"/>
      <c r="M8" s="536"/>
      <c r="N8" s="536"/>
      <c r="O8" s="536"/>
      <c r="P8" s="536"/>
    </row>
    <row r="9" spans="2:16" ht="45.95" customHeight="1">
      <c r="B9" s="35"/>
      <c r="C9" s="536" t="s">
        <v>148</v>
      </c>
      <c r="D9" s="540" t="s">
        <v>149</v>
      </c>
      <c r="E9" s="535" t="s">
        <v>150</v>
      </c>
      <c r="F9" s="74" t="s">
        <v>151</v>
      </c>
      <c r="G9" s="24" t="s">
        <v>101</v>
      </c>
      <c r="H9" s="92" t="e">
        <f>INDEX(Data!#REF!,MATCH('DP instruction'!F9,Data!#REF!,0),MATCH('DP instruction'!$D$4,Data!#REF!,0))</f>
        <v>#REF!</v>
      </c>
      <c r="I9" s="42" t="str">
        <f>'DP cal.'!X15</f>
        <v>A</v>
      </c>
      <c r="J9" s="92" t="s">
        <v>152</v>
      </c>
      <c r="K9" s="269" t="s">
        <v>153</v>
      </c>
      <c r="L9" s="92" t="s">
        <v>154</v>
      </c>
      <c r="M9" s="269" t="s">
        <v>155</v>
      </c>
      <c r="N9" s="92" t="s">
        <v>67</v>
      </c>
      <c r="O9" s="92"/>
      <c r="P9" s="42"/>
    </row>
    <row r="10" spans="2:16" ht="45.95" customHeight="1">
      <c r="B10" s="35"/>
      <c r="C10" s="536"/>
      <c r="D10" s="540"/>
      <c r="E10" s="535"/>
      <c r="F10" s="74" t="s">
        <v>156</v>
      </c>
      <c r="G10" s="24" t="s">
        <v>157</v>
      </c>
      <c r="H10" s="92" t="e">
        <f>INDEX(Data!#REF!,MATCH('DP instruction'!F10,Data!#REF!,0),MATCH('DP instruction'!$D$4,Data!#REF!,0))</f>
        <v>#REF!</v>
      </c>
      <c r="I10" s="283" t="str">
        <f>'DP cal.'!X16</f>
        <v>B+</v>
      </c>
      <c r="J10" s="92" t="s">
        <v>152</v>
      </c>
      <c r="K10" s="269" t="s">
        <v>158</v>
      </c>
      <c r="L10" s="269" t="s">
        <v>159</v>
      </c>
      <c r="M10" s="269" t="s">
        <v>160</v>
      </c>
      <c r="N10" s="92"/>
      <c r="O10" s="92" t="s">
        <v>67</v>
      </c>
      <c r="P10" s="42"/>
    </row>
    <row r="11" spans="2:16" ht="45.95" customHeight="1">
      <c r="C11" s="536"/>
      <c r="D11" s="540"/>
      <c r="E11" s="535"/>
      <c r="F11" s="73" t="s">
        <v>161</v>
      </c>
      <c r="G11" s="24" t="s">
        <v>101</v>
      </c>
      <c r="H11" s="92" t="e">
        <f>INDEX(Data!#REF!,MATCH('DP instruction'!F11,Data!#REF!,0),MATCH('DP instruction'!$D$4,Data!#REF!,0))</f>
        <v>#REF!</v>
      </c>
      <c r="I11" s="42" t="str">
        <f>'DP cal.'!X17</f>
        <v>A</v>
      </c>
      <c r="J11" s="92" t="s">
        <v>152</v>
      </c>
      <c r="K11" s="269" t="s">
        <v>153</v>
      </c>
      <c r="L11" s="92" t="s">
        <v>154</v>
      </c>
      <c r="M11" s="53" t="s">
        <v>162</v>
      </c>
      <c r="N11" s="92" t="s">
        <v>67</v>
      </c>
      <c r="O11" s="32"/>
      <c r="P11" s="276"/>
    </row>
    <row r="12" spans="2:16" ht="45.95" customHeight="1">
      <c r="C12" s="536"/>
      <c r="D12" s="540"/>
      <c r="E12" s="535"/>
      <c r="F12" s="74" t="s">
        <v>163</v>
      </c>
      <c r="G12" s="24" t="s">
        <v>157</v>
      </c>
      <c r="H12" s="92" t="e">
        <f>INDEX(Data!#REF!,MATCH('DP instruction'!F12,Data!#REF!,0),MATCH('DP instruction'!$D$4,Data!#REF!,0))</f>
        <v>#REF!</v>
      </c>
      <c r="I12" s="42" t="str">
        <f>'DP cal.'!X18</f>
        <v>B</v>
      </c>
      <c r="J12" s="92" t="s">
        <v>164</v>
      </c>
      <c r="K12" s="269" t="s">
        <v>165</v>
      </c>
      <c r="L12" s="269" t="s">
        <v>166</v>
      </c>
      <c r="M12" s="269" t="s">
        <v>167</v>
      </c>
      <c r="N12" s="92"/>
      <c r="O12" s="92" t="s">
        <v>67</v>
      </c>
      <c r="P12" s="92"/>
    </row>
    <row r="13" spans="2:16" ht="45.95" customHeight="1">
      <c r="C13" s="536" t="s">
        <v>77</v>
      </c>
      <c r="D13" s="540" t="s">
        <v>76</v>
      </c>
      <c r="E13" s="535" t="s">
        <v>116</v>
      </c>
      <c r="F13" s="74" t="s">
        <v>168</v>
      </c>
      <c r="G13" s="24" t="s">
        <v>157</v>
      </c>
      <c r="H13" s="92" t="e">
        <f>INDEX(Data!#REF!,MATCH('DP instruction'!F13,Data!#REF!,0),MATCH('DP instruction'!$D$4,Data!#REF!,0))</f>
        <v>#REF!</v>
      </c>
      <c r="I13" s="42" t="str">
        <f>'DP cal.'!X19</f>
        <v>B</v>
      </c>
      <c r="J13" s="92" t="s">
        <v>164</v>
      </c>
      <c r="K13" s="49" t="s">
        <v>169</v>
      </c>
      <c r="L13" s="274" t="s">
        <v>170</v>
      </c>
      <c r="M13" s="49" t="s">
        <v>171</v>
      </c>
      <c r="N13" s="42"/>
      <c r="O13" s="92" t="s">
        <v>67</v>
      </c>
      <c r="P13" s="42"/>
    </row>
    <row r="14" spans="2:16" ht="45.95" customHeight="1">
      <c r="C14" s="536"/>
      <c r="D14" s="540"/>
      <c r="E14" s="535"/>
      <c r="F14" s="74" t="s">
        <v>172</v>
      </c>
      <c r="G14" s="24" t="s">
        <v>157</v>
      </c>
      <c r="H14" s="92" t="e">
        <f>INDEX(Data!#REF!,MATCH('DP instruction'!F14,Data!#REF!,0),MATCH('DP instruction'!$D$4,Data!#REF!,0))</f>
        <v>#REF!</v>
      </c>
      <c r="I14" s="282" t="str">
        <f>'DP cal.'!X20</f>
        <v>B</v>
      </c>
      <c r="J14" s="92" t="s">
        <v>164</v>
      </c>
      <c r="K14" s="49" t="s">
        <v>173</v>
      </c>
      <c r="L14" s="49" t="s">
        <v>174</v>
      </c>
      <c r="M14" s="49" t="s">
        <v>175</v>
      </c>
      <c r="N14" s="42"/>
      <c r="O14" s="92" t="s">
        <v>67</v>
      </c>
      <c r="P14" s="42"/>
    </row>
    <row r="15" spans="2:16" ht="45.95" customHeight="1">
      <c r="C15" s="536"/>
      <c r="D15" s="540"/>
      <c r="E15" s="535"/>
      <c r="F15" s="74" t="s">
        <v>176</v>
      </c>
      <c r="G15" s="24" t="s">
        <v>157</v>
      </c>
      <c r="H15" s="92" t="e">
        <f>INDEX(Data!#REF!,MATCH('DP instruction'!F15,Data!#REF!,0),MATCH('DP instruction'!$D$4,Data!#REF!,0))</f>
        <v>#REF!</v>
      </c>
      <c r="I15" s="283" t="str">
        <f>'DP cal.'!X21</f>
        <v>A</v>
      </c>
      <c r="J15" s="92" t="s">
        <v>152</v>
      </c>
      <c r="K15" s="269" t="s">
        <v>153</v>
      </c>
      <c r="L15" s="92" t="s">
        <v>154</v>
      </c>
      <c r="M15" s="269" t="s">
        <v>177</v>
      </c>
      <c r="N15" s="92" t="s">
        <v>67</v>
      </c>
      <c r="O15" s="92"/>
      <c r="P15" s="42"/>
    </row>
    <row r="16" spans="2:16" ht="45.95" customHeight="1">
      <c r="C16" s="536"/>
      <c r="D16" s="540"/>
      <c r="E16" s="535"/>
      <c r="F16" s="74" t="s">
        <v>178</v>
      </c>
      <c r="G16" s="24" t="s">
        <v>157</v>
      </c>
      <c r="H16" s="92" t="e">
        <f>INDEX(Data!#REF!,MATCH('DP instruction'!F16,Data!#REF!,0),MATCH('DP instruction'!$D$4,Data!#REF!,0))</f>
        <v>#REF!</v>
      </c>
      <c r="I16" s="42" t="str">
        <f>'DP cal.'!X22</f>
        <v>A</v>
      </c>
      <c r="J16" s="92" t="s">
        <v>152</v>
      </c>
      <c r="K16" s="269" t="s">
        <v>153</v>
      </c>
      <c r="L16" s="92" t="s">
        <v>154</v>
      </c>
      <c r="M16" s="269" t="s">
        <v>179</v>
      </c>
      <c r="N16" s="92" t="s">
        <v>67</v>
      </c>
      <c r="O16" s="42"/>
      <c r="P16" s="42"/>
    </row>
    <row r="17" spans="3:16" ht="45.95" customHeight="1">
      <c r="C17" s="536"/>
      <c r="D17" s="540"/>
      <c r="E17" s="535"/>
      <c r="F17" s="74" t="s">
        <v>180</v>
      </c>
      <c r="G17" s="24" t="s">
        <v>157</v>
      </c>
      <c r="H17" s="92" t="e">
        <f>INDEX(Data!#REF!,MATCH('DP instruction'!F17,Data!#REF!,0),MATCH('DP instruction'!$D$4,Data!#REF!,0))</f>
        <v>#REF!</v>
      </c>
      <c r="I17" s="42" t="str">
        <f>'DP cal.'!X23</f>
        <v>A</v>
      </c>
      <c r="J17" s="92" t="s">
        <v>152</v>
      </c>
      <c r="K17" s="269" t="s">
        <v>153</v>
      </c>
      <c r="L17" s="92" t="s">
        <v>154</v>
      </c>
      <c r="M17" s="269" t="s">
        <v>181</v>
      </c>
      <c r="N17" s="92" t="s">
        <v>67</v>
      </c>
      <c r="O17" s="42"/>
      <c r="P17" s="42"/>
    </row>
    <row r="18" spans="3:16" ht="45.95" customHeight="1">
      <c r="C18" s="535" t="s">
        <v>91</v>
      </c>
      <c r="D18" s="540" t="s">
        <v>92</v>
      </c>
      <c r="E18" s="535" t="s">
        <v>93</v>
      </c>
      <c r="F18" s="74" t="s">
        <v>182</v>
      </c>
      <c r="G18" s="24" t="s">
        <v>101</v>
      </c>
      <c r="H18" s="92" t="e">
        <f>INDEX(Data!#REF!,MATCH('DP instruction'!F18,Data!#REF!,0),MATCH('DP instruction'!$D$4,Data!#REF!,0))</f>
        <v>#REF!</v>
      </c>
      <c r="I18" s="283" t="str">
        <f>'DP cal.'!X24</f>
        <v>A</v>
      </c>
      <c r="J18" s="92" t="s">
        <v>152</v>
      </c>
      <c r="K18" s="269" t="s">
        <v>153</v>
      </c>
      <c r="L18" s="92" t="s">
        <v>154</v>
      </c>
      <c r="M18" s="269" t="s">
        <v>183</v>
      </c>
      <c r="N18" s="92" t="s">
        <v>67</v>
      </c>
      <c r="O18" s="92"/>
      <c r="P18" s="92"/>
    </row>
    <row r="19" spans="3:16" ht="45.95" customHeight="1">
      <c r="C19" s="535"/>
      <c r="D19" s="541"/>
      <c r="E19" s="535"/>
      <c r="F19" s="74" t="s">
        <v>184</v>
      </c>
      <c r="G19" s="24" t="s">
        <v>101</v>
      </c>
      <c r="H19" s="92" t="e">
        <f>INDEX(Data!#REF!,MATCH('DP instruction'!F19,Data!#REF!,0),MATCH('DP instruction'!$D$4,Data!#REF!,0))</f>
        <v>#REF!</v>
      </c>
      <c r="I19" s="282" t="str">
        <f>'DP cal.'!X25</f>
        <v>B</v>
      </c>
      <c r="J19" s="92" t="s">
        <v>164</v>
      </c>
      <c r="K19" s="271" t="s">
        <v>185</v>
      </c>
      <c r="L19" s="269" t="s">
        <v>186</v>
      </c>
      <c r="M19" s="269" t="s">
        <v>187</v>
      </c>
      <c r="N19" s="92"/>
      <c r="O19" s="92" t="s">
        <v>67</v>
      </c>
      <c r="P19" s="92"/>
    </row>
    <row r="20" spans="3:16" ht="45.95" customHeight="1">
      <c r="C20" s="535"/>
      <c r="D20" s="541"/>
      <c r="E20" s="535"/>
      <c r="F20" s="74" t="s">
        <v>188</v>
      </c>
      <c r="G20" s="24" t="s">
        <v>101</v>
      </c>
      <c r="H20" s="92" t="e">
        <f>INDEX(Data!#REF!,MATCH('DP instruction'!F20,Data!#REF!,0),MATCH('DP instruction'!$D$4,Data!#REF!,0))</f>
        <v>#REF!</v>
      </c>
      <c r="I20" s="282" t="str">
        <f>'DP cal.'!X26</f>
        <v>B+</v>
      </c>
      <c r="J20" s="92" t="s">
        <v>152</v>
      </c>
      <c r="K20" s="49" t="s">
        <v>189</v>
      </c>
      <c r="L20" s="49" t="s">
        <v>190</v>
      </c>
      <c r="M20" s="49" t="s">
        <v>191</v>
      </c>
      <c r="N20" s="42"/>
      <c r="O20" s="92" t="s">
        <v>67</v>
      </c>
      <c r="P20" s="92"/>
    </row>
    <row r="21" spans="3:16" ht="45.95" customHeight="1">
      <c r="C21" s="535" t="s">
        <v>192</v>
      </c>
      <c r="D21" s="536" t="s">
        <v>193</v>
      </c>
      <c r="E21" s="535" t="s">
        <v>93</v>
      </c>
      <c r="F21" s="74" t="s">
        <v>194</v>
      </c>
      <c r="G21" s="24" t="s">
        <v>157</v>
      </c>
      <c r="H21" s="92" t="e">
        <f>INDEX(Data!#REF!,MATCH('DP instruction'!F21,Data!#REF!,0),MATCH('DP instruction'!$D$4,Data!#REF!,0))</f>
        <v>#REF!</v>
      </c>
      <c r="I21" s="42" t="str">
        <f>'DP cal.'!X27</f>
        <v>B+</v>
      </c>
      <c r="J21" s="92" t="s">
        <v>152</v>
      </c>
      <c r="K21" s="269" t="s">
        <v>195</v>
      </c>
      <c r="L21" s="269" t="s">
        <v>196</v>
      </c>
      <c r="M21" s="269" t="s">
        <v>197</v>
      </c>
      <c r="N21" s="42"/>
      <c r="O21" s="92" t="s">
        <v>67</v>
      </c>
      <c r="P21" s="42"/>
    </row>
    <row r="22" spans="3:16" ht="45.95" customHeight="1">
      <c r="C22" s="535"/>
      <c r="D22" s="536"/>
      <c r="E22" s="535"/>
      <c r="F22" s="74" t="s">
        <v>198</v>
      </c>
      <c r="G22" s="24" t="s">
        <v>22</v>
      </c>
      <c r="H22" s="92" t="e">
        <f>INDEX(Data!#REF!,MATCH('DP instruction'!F22,Data!#REF!,0),MATCH('DP instruction'!$D$4,Data!#REF!,0))</f>
        <v>#REF!</v>
      </c>
      <c r="I22" s="283" t="str">
        <f>'DP cal.'!X28</f>
        <v>A</v>
      </c>
      <c r="J22" s="92" t="s">
        <v>152</v>
      </c>
      <c r="K22" s="269" t="s">
        <v>153</v>
      </c>
      <c r="L22" s="92" t="s">
        <v>154</v>
      </c>
      <c r="M22" s="269"/>
      <c r="N22" s="92" t="s">
        <v>67</v>
      </c>
      <c r="O22" s="92"/>
      <c r="P22" s="42"/>
    </row>
    <row r="23" spans="3:16" ht="45.95" customHeight="1">
      <c r="C23" s="535"/>
      <c r="D23" s="536"/>
      <c r="E23" s="535"/>
      <c r="F23" s="74" t="s">
        <v>199</v>
      </c>
      <c r="G23" s="24" t="s">
        <v>157</v>
      </c>
      <c r="H23" s="92" t="e">
        <f>INDEX(Data!#REF!,MATCH('DP instruction'!F23,Data!#REF!,0),MATCH('DP instruction'!$D$4,Data!#REF!,0))</f>
        <v>#REF!</v>
      </c>
      <c r="I23" s="283" t="str">
        <f>'DP cal.'!X29</f>
        <v>B+</v>
      </c>
      <c r="J23" s="92" t="s">
        <v>152</v>
      </c>
      <c r="K23" s="269" t="s">
        <v>200</v>
      </c>
      <c r="L23" s="269" t="s">
        <v>201</v>
      </c>
      <c r="M23" s="269" t="s">
        <v>202</v>
      </c>
      <c r="N23" s="92"/>
      <c r="O23" s="92" t="s">
        <v>67</v>
      </c>
      <c r="P23" s="92"/>
    </row>
    <row r="24" spans="3:16" ht="45.95" customHeight="1">
      <c r="C24" s="535"/>
      <c r="D24" s="536"/>
      <c r="E24" s="535"/>
      <c r="F24" s="74" t="s">
        <v>203</v>
      </c>
      <c r="G24" s="24" t="s">
        <v>204</v>
      </c>
      <c r="H24" s="92" t="e">
        <f>INDEX(Data!#REF!,MATCH('DP instruction'!F24,Data!#REF!,0),MATCH('DP instruction'!$D$4,Data!#REF!,0))</f>
        <v>#REF!</v>
      </c>
      <c r="I24" s="284" t="str">
        <f>'DP cal.'!X30</f>
        <v>C</v>
      </c>
      <c r="J24" s="92" t="s">
        <v>16</v>
      </c>
      <c r="K24" s="49" t="s">
        <v>205</v>
      </c>
      <c r="L24" s="49" t="s">
        <v>206</v>
      </c>
      <c r="M24" s="49" t="s">
        <v>207</v>
      </c>
      <c r="N24" s="42"/>
      <c r="O24" s="92" t="s">
        <v>67</v>
      </c>
      <c r="P24" s="42"/>
    </row>
    <row r="25" spans="3:16" ht="45.95" customHeight="1">
      <c r="C25" s="535"/>
      <c r="D25" s="536"/>
      <c r="E25" s="535"/>
      <c r="F25" s="74" t="s">
        <v>208</v>
      </c>
      <c r="G25" s="24" t="s">
        <v>204</v>
      </c>
      <c r="H25" s="92" t="e">
        <f>INDEX(Data!#REF!,MATCH('DP instruction'!F25,Data!#REF!,0),MATCH('DP instruction'!$D$4,Data!#REF!,0))</f>
        <v>#REF!</v>
      </c>
      <c r="I25" s="42" t="str">
        <f>'DP cal.'!X31</f>
        <v>A</v>
      </c>
      <c r="J25" s="92" t="s">
        <v>152</v>
      </c>
      <c r="K25" s="269" t="s">
        <v>153</v>
      </c>
      <c r="L25" s="92" t="s">
        <v>154</v>
      </c>
      <c r="M25" s="49"/>
      <c r="N25" s="92" t="s">
        <v>67</v>
      </c>
      <c r="O25" s="42"/>
      <c r="P25" s="42"/>
    </row>
    <row r="26" spans="3:16" ht="45.95" customHeight="1">
      <c r="C26" s="535"/>
      <c r="D26" s="536"/>
      <c r="E26" s="535"/>
      <c r="F26" s="74" t="s">
        <v>209</v>
      </c>
      <c r="G26" s="24" t="s">
        <v>204</v>
      </c>
      <c r="H26" s="92" t="e">
        <f>INDEX(Data!#REF!,MATCH('DP instruction'!F26,Data!#REF!,0),MATCH('DP instruction'!$D$4,Data!#REF!,0))</f>
        <v>#REF!</v>
      </c>
      <c r="I26" s="283" t="str">
        <f>'DP cal.'!X32</f>
        <v>A</v>
      </c>
      <c r="J26" s="92" t="s">
        <v>152</v>
      </c>
      <c r="K26" s="269" t="s">
        <v>153</v>
      </c>
      <c r="L26" s="92" t="s">
        <v>154</v>
      </c>
      <c r="M26" s="49"/>
      <c r="N26" s="92" t="s">
        <v>67</v>
      </c>
      <c r="O26" s="42"/>
      <c r="P26" s="42"/>
    </row>
    <row r="27" spans="3:16" ht="45.95" customHeight="1">
      <c r="C27" s="535"/>
      <c r="D27" s="536"/>
      <c r="E27" s="535"/>
      <c r="F27" s="74" t="s">
        <v>210</v>
      </c>
      <c r="G27" s="24" t="s">
        <v>204</v>
      </c>
      <c r="H27" s="92" t="e">
        <f>INDEX(Data!#REF!,MATCH('DP instruction'!F27,Data!#REF!,0),MATCH('DP instruction'!$D$4,Data!#REF!,0))</f>
        <v>#REF!</v>
      </c>
      <c r="I27" s="42" t="str">
        <f>'DP cal.'!X33</f>
        <v>A</v>
      </c>
      <c r="J27" s="92" t="s">
        <v>152</v>
      </c>
      <c r="K27" s="269" t="s">
        <v>153</v>
      </c>
      <c r="L27" s="92" t="s">
        <v>154</v>
      </c>
      <c r="M27" s="269"/>
      <c r="N27" s="92" t="s">
        <v>67</v>
      </c>
      <c r="O27" s="42"/>
      <c r="P27" s="42"/>
    </row>
    <row r="28" spans="3:16" ht="45.95" customHeight="1">
      <c r="C28" s="535"/>
      <c r="D28" s="536"/>
      <c r="E28" s="535"/>
      <c r="F28" s="74" t="s">
        <v>211</v>
      </c>
      <c r="G28" s="24" t="s">
        <v>204</v>
      </c>
      <c r="H28" s="92" t="e">
        <f>INDEX(Data!#REF!,MATCH('DP instruction'!F28,Data!#REF!,0),MATCH('DP instruction'!$D$4,Data!#REF!,0))</f>
        <v>#REF!</v>
      </c>
      <c r="I28" s="42" t="str">
        <f>'DP cal.'!X34</f>
        <v>A</v>
      </c>
      <c r="J28" s="92" t="s">
        <v>152</v>
      </c>
      <c r="K28" s="269" t="s">
        <v>153</v>
      </c>
      <c r="L28" s="92" t="s">
        <v>154</v>
      </c>
      <c r="M28" s="269"/>
      <c r="N28" s="92" t="s">
        <v>67</v>
      </c>
      <c r="O28" s="42"/>
      <c r="P28" s="42"/>
    </row>
    <row r="29" spans="3:16" ht="45.95" customHeight="1">
      <c r="C29" s="535"/>
      <c r="D29" s="536"/>
      <c r="E29" s="535"/>
      <c r="F29" s="74" t="s">
        <v>212</v>
      </c>
      <c r="G29" s="24" t="s">
        <v>204</v>
      </c>
      <c r="H29" s="92" t="e">
        <f>INDEX(Data!#REF!,MATCH('DP instruction'!F29,Data!#REF!,0),MATCH('DP instruction'!$D$4,Data!#REF!,0))</f>
        <v>#REF!</v>
      </c>
      <c r="I29" s="42" t="str">
        <f>'DP cal.'!X35</f>
        <v>A</v>
      </c>
      <c r="J29" s="92" t="s">
        <v>152</v>
      </c>
      <c r="K29" s="269" t="s">
        <v>153</v>
      </c>
      <c r="L29" s="92" t="s">
        <v>154</v>
      </c>
      <c r="M29" s="49"/>
      <c r="N29" s="92" t="s">
        <v>67</v>
      </c>
      <c r="O29" s="42"/>
      <c r="P29" s="42"/>
    </row>
    <row r="30" spans="3:16" ht="45.95" customHeight="1">
      <c r="C30" s="535"/>
      <c r="D30" s="536"/>
      <c r="E30" s="535"/>
      <c r="F30" s="74" t="s">
        <v>213</v>
      </c>
      <c r="G30" s="24" t="s">
        <v>204</v>
      </c>
      <c r="H30" s="92" t="e">
        <f>INDEX(Data!#REF!,MATCH('DP instruction'!F30,Data!#REF!,0),MATCH('DP instruction'!$D$4,Data!#REF!,0))</f>
        <v>#REF!</v>
      </c>
      <c r="I30" s="42" t="str">
        <f>'DP cal.'!X36</f>
        <v>A</v>
      </c>
      <c r="J30" s="92" t="s">
        <v>152</v>
      </c>
      <c r="K30" s="269" t="s">
        <v>153</v>
      </c>
      <c r="L30" s="92" t="s">
        <v>154</v>
      </c>
      <c r="M30" s="269"/>
      <c r="N30" s="92" t="s">
        <v>67</v>
      </c>
      <c r="O30" s="42"/>
      <c r="P30" s="42"/>
    </row>
    <row r="31" spans="3:16" ht="45.95" hidden="1" customHeight="1">
      <c r="C31" s="535"/>
      <c r="D31" s="536"/>
      <c r="E31" s="535"/>
      <c r="F31" s="272" t="s">
        <v>214</v>
      </c>
      <c r="G31" s="273" t="s">
        <v>204</v>
      </c>
      <c r="H31" s="92" t="e">
        <f>INDEX(Data!#REF!,MATCH('DP instruction'!F31,Data!#REF!,0),MATCH('DP instruction'!$D$4,Data!#REF!,0))</f>
        <v>#REF!</v>
      </c>
      <c r="I31" s="42">
        <f>'DP cal.'!X37</f>
        <v>0</v>
      </c>
      <c r="J31" s="92"/>
      <c r="K31" s="275"/>
      <c r="L31" s="275"/>
      <c r="M31" s="275"/>
      <c r="N31" s="42"/>
      <c r="O31" s="42"/>
      <c r="P31" s="42"/>
    </row>
    <row r="32" spans="3:16" ht="45.95" hidden="1" customHeight="1">
      <c r="C32" s="535"/>
      <c r="D32" s="536"/>
      <c r="E32" s="535"/>
      <c r="F32" s="272" t="s">
        <v>215</v>
      </c>
      <c r="G32" s="273" t="s">
        <v>204</v>
      </c>
      <c r="H32" s="92" t="e">
        <f>INDEX(Data!#REF!,MATCH('DP instruction'!F32,Data!#REF!,0),MATCH('DP instruction'!$D$4,Data!#REF!,0))</f>
        <v>#REF!</v>
      </c>
      <c r="I32" s="42">
        <f>'DP cal.'!X38</f>
        <v>0</v>
      </c>
      <c r="J32" s="92"/>
      <c r="K32" s="275"/>
      <c r="L32" s="275"/>
      <c r="M32" s="275"/>
      <c r="N32" s="42"/>
      <c r="O32" s="42"/>
      <c r="P32" s="42"/>
    </row>
    <row r="33" spans="3:16" ht="45.95" customHeight="1">
      <c r="C33" s="547" t="s">
        <v>130</v>
      </c>
      <c r="D33" s="547" t="s">
        <v>131</v>
      </c>
      <c r="E33" s="547" t="s">
        <v>132</v>
      </c>
      <c r="F33" s="74" t="s">
        <v>216</v>
      </c>
      <c r="G33" s="24" t="s">
        <v>101</v>
      </c>
      <c r="H33" s="92" t="e">
        <f>INDEX(Data!#REF!,MATCH('DP instruction'!F33,Data!#REF!,0),MATCH('DP instruction'!$D$4,Data!#REF!,0))</f>
        <v>#REF!</v>
      </c>
      <c r="I33" s="42" t="str">
        <f>'DP cal.'!X39</f>
        <v>A</v>
      </c>
      <c r="J33" s="92" t="s">
        <v>152</v>
      </c>
      <c r="K33" s="269" t="s">
        <v>153</v>
      </c>
      <c r="L33" s="92" t="s">
        <v>154</v>
      </c>
      <c r="M33" s="269" t="s">
        <v>217</v>
      </c>
      <c r="N33" s="92" t="s">
        <v>67</v>
      </c>
      <c r="O33" s="42"/>
      <c r="P33" s="42"/>
    </row>
    <row r="34" spans="3:16" ht="45.95" hidden="1" customHeight="1">
      <c r="C34" s="548"/>
      <c r="D34" s="548"/>
      <c r="E34" s="548"/>
      <c r="F34" s="272" t="s">
        <v>218</v>
      </c>
      <c r="G34" s="273" t="s">
        <v>101</v>
      </c>
      <c r="H34" s="92" t="e">
        <f>INDEX(Data!#REF!,MATCH('DP instruction'!F34,Data!#REF!,0),MATCH('DP instruction'!$D$4,Data!#REF!,0))</f>
        <v>#REF!</v>
      </c>
      <c r="I34" s="42">
        <f>'DP cal.'!X40</f>
        <v>0</v>
      </c>
      <c r="J34" s="42"/>
      <c r="K34" s="275"/>
      <c r="L34" s="275"/>
      <c r="M34" s="275"/>
      <c r="N34" s="42"/>
      <c r="O34" s="42"/>
      <c r="P34" s="42"/>
    </row>
    <row r="35" spans="3:16" ht="45.95" customHeight="1">
      <c r="C35" s="549"/>
      <c r="D35" s="549"/>
      <c r="E35" s="549"/>
      <c r="F35" s="73" t="s">
        <v>219</v>
      </c>
      <c r="G35" s="24" t="s">
        <v>101</v>
      </c>
      <c r="H35" s="92" t="e">
        <f>INDEX(Data!#REF!,MATCH('DP instruction'!F35,Data!#REF!,0),MATCH('DP instruction'!$D$4,Data!#REF!,0))</f>
        <v>#REF!</v>
      </c>
      <c r="I35" s="284" t="str">
        <f>'DP cal.'!X41</f>
        <v>C</v>
      </c>
      <c r="J35" s="92" t="s">
        <v>164</v>
      </c>
      <c r="K35" s="269" t="s">
        <v>220</v>
      </c>
      <c r="L35" s="269" t="s">
        <v>221</v>
      </c>
      <c r="M35" s="269" t="s">
        <v>222</v>
      </c>
      <c r="N35" s="92"/>
      <c r="O35" s="92" t="s">
        <v>67</v>
      </c>
      <c r="P35" s="42"/>
    </row>
    <row r="36" spans="3:16" ht="16.5">
      <c r="C36" s="35"/>
      <c r="D36" s="35"/>
      <c r="E36" s="35"/>
      <c r="F36" s="37"/>
      <c r="G36" s="37"/>
      <c r="H36" s="37"/>
      <c r="I36" s="52"/>
      <c r="J36" s="52"/>
      <c r="K36" s="37"/>
      <c r="L36" s="37"/>
      <c r="M36" s="37"/>
      <c r="N36" s="37"/>
      <c r="O36" s="37"/>
      <c r="P36" s="37"/>
    </row>
    <row r="37" spans="3:16" ht="16.5">
      <c r="C37" s="35"/>
      <c r="D37" s="35"/>
      <c r="E37" s="35"/>
      <c r="F37" s="37"/>
      <c r="G37" s="37"/>
      <c r="H37" s="37"/>
      <c r="I37" s="52"/>
      <c r="J37" s="52"/>
      <c r="K37" s="37"/>
      <c r="L37" s="37"/>
      <c r="M37" s="37"/>
      <c r="N37" s="37"/>
      <c r="O37" s="37"/>
      <c r="P37" s="37"/>
    </row>
    <row r="38" spans="3:16" ht="16.5">
      <c r="C38" s="35"/>
      <c r="D38" s="35"/>
      <c r="E38" s="35"/>
      <c r="F38" s="37"/>
      <c r="G38" s="37"/>
      <c r="H38" s="37"/>
      <c r="I38" s="52"/>
      <c r="J38" s="52"/>
      <c r="K38" s="37"/>
      <c r="L38" s="37"/>
      <c r="M38" s="37"/>
      <c r="N38" s="37"/>
      <c r="O38" s="37"/>
      <c r="P38" s="37"/>
    </row>
    <row r="39" spans="3:16" ht="66" hidden="1" customHeight="1">
      <c r="C39" s="35"/>
      <c r="D39" s="35"/>
      <c r="E39" s="35"/>
      <c r="F39" s="44"/>
      <c r="G39" s="44"/>
      <c r="H39" s="44"/>
      <c r="I39" s="52"/>
      <c r="J39" s="52"/>
      <c r="K39" s="37"/>
      <c r="L39" s="52"/>
      <c r="M39" s="37"/>
      <c r="N39" s="37"/>
      <c r="O39" s="37"/>
      <c r="P39" s="37"/>
    </row>
    <row r="40" spans="3:16" ht="66" hidden="1" customHeight="1">
      <c r="C40" s="35"/>
      <c r="D40" s="35"/>
      <c r="E40" s="35"/>
      <c r="F40" s="44"/>
      <c r="G40" s="44"/>
      <c r="H40" s="44"/>
      <c r="I40" s="52"/>
      <c r="J40" s="52"/>
      <c r="K40" s="37"/>
      <c r="L40" s="52"/>
      <c r="M40" s="37"/>
      <c r="N40" s="37"/>
      <c r="O40" s="37"/>
      <c r="P40" s="37"/>
    </row>
    <row r="41" spans="3:16" ht="82.5" hidden="1" customHeight="1">
      <c r="C41" s="35"/>
      <c r="D41" s="35"/>
      <c r="E41" s="35"/>
      <c r="F41" s="44"/>
      <c r="G41" s="44"/>
      <c r="H41" s="44"/>
      <c r="I41" s="54"/>
      <c r="J41" s="44"/>
      <c r="K41" s="44"/>
      <c r="L41" s="44"/>
      <c r="M41" s="44"/>
      <c r="N41" s="44"/>
      <c r="O41" s="44"/>
      <c r="P41" s="44"/>
    </row>
    <row r="42" spans="3:16" ht="82.5" hidden="1" customHeight="1">
      <c r="C42" s="35"/>
      <c r="D42" s="35"/>
      <c r="E42" s="35"/>
      <c r="F42" s="44"/>
      <c r="G42" s="44"/>
      <c r="H42" s="44"/>
      <c r="I42" s="54"/>
      <c r="J42" s="44"/>
      <c r="K42" s="44"/>
      <c r="L42" s="44"/>
      <c r="M42" s="44"/>
      <c r="N42" s="44"/>
      <c r="O42" s="44"/>
      <c r="P42" s="44"/>
    </row>
    <row r="43" spans="3:16" ht="18.75" hidden="1" customHeight="1">
      <c r="C43" s="35"/>
      <c r="D43" s="35"/>
      <c r="E43" s="35"/>
      <c r="F43" s="44"/>
      <c r="G43" s="44"/>
      <c r="H43" s="44"/>
      <c r="I43" s="54"/>
      <c r="J43" s="44"/>
      <c r="K43" s="44"/>
      <c r="L43" s="44"/>
      <c r="M43" s="44"/>
      <c r="N43" s="44"/>
      <c r="O43" s="44"/>
      <c r="P43" s="44"/>
    </row>
    <row r="44" spans="3:16" ht="18.75" hidden="1" customHeight="1">
      <c r="C44" s="35"/>
      <c r="D44" s="35"/>
      <c r="E44" s="35"/>
      <c r="F44" s="44"/>
      <c r="G44" s="44"/>
      <c r="H44" s="44"/>
      <c r="I44" s="54"/>
      <c r="J44" s="44"/>
      <c r="K44" s="44"/>
      <c r="L44" s="44"/>
      <c r="M44" s="44"/>
      <c r="N44" s="44"/>
      <c r="O44" s="44"/>
      <c r="P44" s="44"/>
    </row>
    <row r="45" spans="3:16" ht="18.75" hidden="1" customHeight="1">
      <c r="F45" s="44"/>
      <c r="G45" s="44"/>
      <c r="H45" s="44"/>
      <c r="I45" s="54"/>
      <c r="J45" s="44"/>
      <c r="K45" s="44"/>
      <c r="L45" s="44"/>
      <c r="M45" s="44"/>
      <c r="N45" s="44"/>
      <c r="O45" s="44"/>
      <c r="P45" s="44"/>
    </row>
    <row r="46" spans="3:16" ht="337.5" hidden="1" customHeight="1">
      <c r="C46" s="48" t="s">
        <v>223</v>
      </c>
      <c r="F46" s="44"/>
      <c r="G46" s="44"/>
      <c r="H46" s="44"/>
      <c r="I46" s="54"/>
      <c r="J46" s="54"/>
      <c r="K46" s="44"/>
      <c r="L46" s="44"/>
      <c r="M46" s="44"/>
      <c r="N46" s="44"/>
      <c r="O46" s="44"/>
      <c r="P46" s="44"/>
    </row>
    <row r="47" spans="3:16" ht="409.5" hidden="1" customHeight="1">
      <c r="C47" s="48" t="s">
        <v>224</v>
      </c>
      <c r="F47" s="45"/>
      <c r="G47" s="45"/>
      <c r="H47" s="45"/>
      <c r="I47" s="54"/>
      <c r="J47" s="54"/>
      <c r="K47" s="44"/>
      <c r="L47" s="44"/>
      <c r="M47" s="44"/>
      <c r="N47" s="44"/>
      <c r="O47" s="44"/>
      <c r="P47" s="44"/>
    </row>
    <row r="48" spans="3:16" ht="18.75" hidden="1" customHeight="1">
      <c r="F48" s="45"/>
      <c r="G48" s="45"/>
      <c r="H48" s="45"/>
      <c r="I48" s="54"/>
      <c r="J48" s="54"/>
      <c r="K48" s="44"/>
      <c r="L48" s="44"/>
      <c r="M48" s="44"/>
      <c r="N48" s="44"/>
      <c r="O48" s="44"/>
      <c r="P48" s="44"/>
    </row>
    <row r="49" spans="5:16" ht="16.5">
      <c r="F49" s="37"/>
      <c r="G49" s="37"/>
      <c r="H49" s="37"/>
      <c r="I49" s="55"/>
      <c r="J49" s="55"/>
      <c r="K49" s="45"/>
      <c r="L49" s="45"/>
      <c r="M49" s="45"/>
      <c r="N49" s="45"/>
      <c r="O49" s="45"/>
      <c r="P49" s="45"/>
    </row>
    <row r="50" spans="5:16" ht="16.5">
      <c r="I50" s="55"/>
      <c r="J50" s="55"/>
      <c r="K50" s="45"/>
      <c r="L50" s="45"/>
      <c r="M50" s="45"/>
      <c r="N50" s="45"/>
      <c r="O50" s="45"/>
      <c r="P50" s="45"/>
    </row>
    <row r="51" spans="5:16" ht="16.5">
      <c r="I51" s="52"/>
      <c r="J51" s="52"/>
      <c r="K51" s="37"/>
      <c r="L51" s="52"/>
      <c r="M51" s="37"/>
      <c r="N51" s="52"/>
      <c r="O51" s="52"/>
      <c r="P51" s="52"/>
    </row>
    <row r="52" spans="5:16">
      <c r="E52" s="48"/>
      <c r="J52" s="34"/>
      <c r="L52" s="34"/>
      <c r="N52" s="34"/>
      <c r="O52" s="34"/>
      <c r="P52" s="34"/>
    </row>
    <row r="53" spans="5:16">
      <c r="J53" s="34"/>
      <c r="L53" s="34"/>
      <c r="N53" s="34"/>
      <c r="O53" s="34"/>
      <c r="P53" s="34"/>
    </row>
    <row r="54" spans="5:16">
      <c r="J54" s="34"/>
      <c r="L54" s="34"/>
      <c r="N54" s="34"/>
      <c r="O54" s="34"/>
      <c r="P54" s="34"/>
    </row>
    <row r="55" spans="5:16">
      <c r="J55" s="34"/>
      <c r="L55" s="34"/>
      <c r="N55" s="34"/>
      <c r="O55" s="34"/>
      <c r="P55" s="34"/>
    </row>
    <row r="56" spans="5:16">
      <c r="J56" s="34"/>
      <c r="P56" s="34"/>
    </row>
    <row r="57" spans="5:16">
      <c r="J57" s="34"/>
      <c r="P57" s="34"/>
    </row>
    <row r="58" spans="5:16">
      <c r="J58" s="34"/>
      <c r="P58" s="34"/>
    </row>
    <row r="59" spans="5:16">
      <c r="J59" s="34"/>
      <c r="P59" s="34"/>
    </row>
    <row r="60" spans="5:16">
      <c r="J60" s="34"/>
      <c r="P60" s="34"/>
    </row>
    <row r="61" spans="5:16">
      <c r="J61" s="34"/>
    </row>
    <row r="62" spans="5:16">
      <c r="J62" s="34"/>
    </row>
    <row r="63" spans="5:16">
      <c r="J63" s="34"/>
    </row>
    <row r="64" spans="5:16">
      <c r="J64" s="34"/>
    </row>
    <row r="65" spans="10:12">
      <c r="J65" s="34"/>
      <c r="L65" s="34"/>
    </row>
    <row r="66" spans="10:12">
      <c r="J66" s="34"/>
      <c r="L66" s="34"/>
    </row>
  </sheetData>
  <autoFilter ref="B8:P35" xr:uid="{D225CF40-C7D7-4D37-B9B1-50270664B72F}"/>
  <mergeCells count="34">
    <mergeCell ref="N1:P1"/>
    <mergeCell ref="D4:E4"/>
    <mergeCell ref="D6:D8"/>
    <mergeCell ref="E6:E8"/>
    <mergeCell ref="K6:K8"/>
    <mergeCell ref="L6:L8"/>
    <mergeCell ref="M6:M8"/>
    <mergeCell ref="I7:I8"/>
    <mergeCell ref="N7:N8"/>
    <mergeCell ref="N4:P4"/>
    <mergeCell ref="N6:P6"/>
    <mergeCell ref="O7:O8"/>
    <mergeCell ref="P7:P8"/>
    <mergeCell ref="J6:J8"/>
    <mergeCell ref="C33:C35"/>
    <mergeCell ref="D33:D35"/>
    <mergeCell ref="E33:E35"/>
    <mergeCell ref="C21:C32"/>
    <mergeCell ref="D21:D32"/>
    <mergeCell ref="E21:E32"/>
    <mergeCell ref="C18:C20"/>
    <mergeCell ref="D18:D20"/>
    <mergeCell ref="E18:E20"/>
    <mergeCell ref="H7:H8"/>
    <mergeCell ref="D13:D17"/>
    <mergeCell ref="C13:C17"/>
    <mergeCell ref="E13:E17"/>
    <mergeCell ref="C9:C12"/>
    <mergeCell ref="E9:E12"/>
    <mergeCell ref="C6:C8"/>
    <mergeCell ref="D9:D12"/>
    <mergeCell ref="F6:F8"/>
    <mergeCell ref="G6:G8"/>
    <mergeCell ref="H6:I6"/>
  </mergeCells>
  <phoneticPr fontId="6"/>
  <pageMargins left="0.23622047244094491" right="0.23622047244094491" top="0.15748031496062992" bottom="0.15748031496062992" header="0.31496062992125984" footer="0.31496062992125984"/>
  <pageSetup paperSize="8" scale="51"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00391-FF53-4F3E-9A43-4734E6A5F3A5}">
  <sheetPr codeName="Sheet5">
    <tabColor theme="9" tint="0.59999389629810485"/>
  </sheetPr>
  <dimension ref="B1:AA59"/>
  <sheetViews>
    <sheetView showGridLines="0" tabSelected="1" zoomScale="55" zoomScaleNormal="55" zoomScaleSheetLayoutView="25" workbookViewId="0">
      <pane xSplit="7" ySplit="9" topLeftCell="H10" activePane="bottomRight" state="frozen"/>
      <selection pane="bottomRight" activeCell="J11" sqref="J11"/>
      <selection pane="bottomLeft" activeCell="A15" sqref="A15"/>
      <selection pane="topRight" activeCell="H1" sqref="H1"/>
    </sheetView>
  </sheetViews>
  <sheetFormatPr defaultColWidth="8.85546875" defaultRowHeight="14.45"/>
  <cols>
    <col min="1" max="1" width="1.7109375" customWidth="1"/>
    <col min="2" max="2" width="4.85546875" customWidth="1"/>
    <col min="3" max="3" width="13.140625" customWidth="1"/>
    <col min="4" max="4" width="16.140625" customWidth="1"/>
    <col min="5" max="5" width="13.140625" customWidth="1"/>
    <col min="6" max="6" width="8.42578125" customWidth="1"/>
    <col min="7" max="7" width="16.140625" style="48" customWidth="1"/>
    <col min="8" max="8" width="39.7109375" customWidth="1"/>
    <col min="9" max="9" width="10.140625" style="22" customWidth="1"/>
    <col min="10" max="10" width="39.7109375" customWidth="1"/>
    <col min="11" max="11" width="10.140625" style="22" customWidth="1"/>
    <col min="12" max="12" width="47.85546875" customWidth="1"/>
    <col min="13" max="13" width="10.140625" style="22" customWidth="1"/>
    <col min="14" max="14" width="46" customWidth="1"/>
    <col min="15" max="15" width="10.140625" style="22" customWidth="1"/>
    <col min="16" max="16" width="46.140625" customWidth="1"/>
    <col min="17" max="17" width="10.140625" style="22" customWidth="1"/>
    <col min="18" max="18" width="8.85546875" customWidth="1"/>
    <col min="19" max="26" width="0" hidden="1" customWidth="1"/>
    <col min="27" max="27" width="11.28515625" hidden="1" customWidth="1"/>
    <col min="28" max="28" width="0" hidden="1" customWidth="1"/>
  </cols>
  <sheetData>
    <row r="1" spans="2:27" ht="17.100000000000001" thickBot="1">
      <c r="H1" s="316" t="s">
        <v>225</v>
      </c>
      <c r="I1" s="2"/>
      <c r="J1" s="2"/>
      <c r="K1" s="2"/>
      <c r="L1" s="2"/>
      <c r="M1" s="29"/>
      <c r="N1" s="3"/>
      <c r="O1" s="29"/>
      <c r="Q1"/>
    </row>
    <row r="2" spans="2:27" ht="16.5">
      <c r="B2" s="560" t="s">
        <v>226</v>
      </c>
      <c r="C2" s="561"/>
      <c r="D2" s="561"/>
      <c r="E2" s="561"/>
      <c r="F2" s="562"/>
      <c r="G2" s="3"/>
      <c r="H2" s="2"/>
      <c r="I2" s="2" t="s">
        <v>227</v>
      </c>
      <c r="J2" s="2"/>
      <c r="K2" s="2"/>
      <c r="L2" s="2"/>
      <c r="M2" s="29"/>
      <c r="N2" s="3"/>
      <c r="O2" s="29"/>
      <c r="Q2" s="7" t="s">
        <v>228</v>
      </c>
      <c r="R2" s="2"/>
    </row>
    <row r="3" spans="2:27" ht="16.5">
      <c r="B3" s="309"/>
      <c r="C3" s="2" t="s">
        <v>229</v>
      </c>
      <c r="D3" s="2"/>
      <c r="E3" s="2"/>
      <c r="F3" s="310"/>
      <c r="G3" s="3"/>
      <c r="H3" s="2"/>
      <c r="I3" s="2" t="s">
        <v>230</v>
      </c>
      <c r="J3" s="2"/>
      <c r="K3" s="2"/>
      <c r="L3" s="2"/>
      <c r="M3" s="29"/>
      <c r="N3" s="3"/>
      <c r="O3" s="29"/>
      <c r="Q3" s="315" t="s">
        <v>231</v>
      </c>
      <c r="R3" s="2"/>
    </row>
    <row r="4" spans="2:27" ht="16.5">
      <c r="B4" s="311"/>
      <c r="C4" s="2" t="s">
        <v>232</v>
      </c>
      <c r="D4" s="2"/>
      <c r="E4" s="2"/>
      <c r="F4" s="310"/>
      <c r="G4" s="27"/>
      <c r="H4" s="2"/>
      <c r="I4" s="2" t="s">
        <v>233</v>
      </c>
      <c r="J4" s="2"/>
      <c r="K4"/>
      <c r="M4" s="48"/>
      <c r="N4" s="3"/>
      <c r="O4" s="29"/>
      <c r="Q4" s="315" t="s">
        <v>234</v>
      </c>
      <c r="R4" s="2"/>
    </row>
    <row r="5" spans="2:27" ht="17.100000000000001" thickBot="1">
      <c r="B5" s="312" t="s">
        <v>235</v>
      </c>
      <c r="C5" s="313" t="s">
        <v>236</v>
      </c>
      <c r="D5" s="313"/>
      <c r="E5" s="313"/>
      <c r="F5" s="314"/>
      <c r="G5" s="27"/>
      <c r="H5" s="2"/>
      <c r="I5" s="2" t="s">
        <v>237</v>
      </c>
      <c r="J5" s="317"/>
      <c r="K5"/>
      <c r="M5" s="48"/>
      <c r="N5" s="3"/>
      <c r="O5" s="29"/>
      <c r="Q5" s="292" t="s">
        <v>238</v>
      </c>
    </row>
    <row r="6" spans="2:27" ht="16.5">
      <c r="L6" s="3"/>
      <c r="M6" s="29"/>
      <c r="N6" s="3"/>
      <c r="O6" s="29"/>
      <c r="P6" s="3"/>
      <c r="Q6" s="29"/>
      <c r="R6" s="2"/>
    </row>
    <row r="7" spans="2:27" ht="18" customHeight="1">
      <c r="B7" s="2"/>
      <c r="C7" s="563" t="s">
        <v>144</v>
      </c>
      <c r="D7" s="566" t="s">
        <v>50</v>
      </c>
      <c r="E7" s="566" t="s">
        <v>51</v>
      </c>
      <c r="F7" s="547" t="s">
        <v>239</v>
      </c>
      <c r="G7" s="547" t="s">
        <v>240</v>
      </c>
      <c r="H7" s="15" t="s">
        <v>241</v>
      </c>
      <c r="I7" s="555" t="s">
        <v>242</v>
      </c>
      <c r="J7" s="15" t="s">
        <v>243</v>
      </c>
      <c r="K7" s="555" t="s">
        <v>242</v>
      </c>
      <c r="L7" s="15" t="s">
        <v>243</v>
      </c>
      <c r="M7" s="555" t="s">
        <v>242</v>
      </c>
      <c r="N7" s="15" t="s">
        <v>244</v>
      </c>
      <c r="O7" s="555" t="s">
        <v>242</v>
      </c>
      <c r="P7" s="15" t="s">
        <v>245</v>
      </c>
      <c r="Q7" s="555" t="s">
        <v>242</v>
      </c>
      <c r="R7" s="2"/>
      <c r="S7" s="553" t="s">
        <v>246</v>
      </c>
      <c r="T7" s="558" t="s">
        <v>247</v>
      </c>
      <c r="U7" s="558"/>
      <c r="V7" s="558"/>
      <c r="W7" s="558"/>
      <c r="X7" s="558"/>
      <c r="Y7" s="559" t="s">
        <v>248</v>
      </c>
      <c r="Z7" s="559" t="s">
        <v>249</v>
      </c>
      <c r="AA7" s="559" t="s">
        <v>250</v>
      </c>
    </row>
    <row r="8" spans="2:27" ht="16.5">
      <c r="B8" s="2"/>
      <c r="C8" s="564"/>
      <c r="D8" s="567"/>
      <c r="E8" s="567"/>
      <c r="F8" s="548"/>
      <c r="G8" s="548"/>
      <c r="H8" s="76">
        <v>1</v>
      </c>
      <c r="I8" s="556"/>
      <c r="J8" s="74">
        <v>2</v>
      </c>
      <c r="K8" s="556"/>
      <c r="L8" s="74">
        <v>3</v>
      </c>
      <c r="M8" s="556"/>
      <c r="N8" s="74">
        <v>4</v>
      </c>
      <c r="O8" s="556"/>
      <c r="P8" s="74">
        <v>5</v>
      </c>
      <c r="Q8" s="556"/>
      <c r="R8" s="2"/>
      <c r="S8" s="553"/>
      <c r="T8" s="23">
        <v>1</v>
      </c>
      <c r="U8" s="23">
        <v>2</v>
      </c>
      <c r="V8" s="23">
        <v>3</v>
      </c>
      <c r="W8" s="23">
        <v>4</v>
      </c>
      <c r="X8" s="23">
        <v>5</v>
      </c>
      <c r="Y8" s="559"/>
      <c r="Z8" s="559"/>
      <c r="AA8" s="559"/>
    </row>
    <row r="9" spans="2:27" ht="17.100000000000001" thickBot="1">
      <c r="B9" s="2"/>
      <c r="C9" s="565"/>
      <c r="D9" s="568"/>
      <c r="E9" s="568"/>
      <c r="F9" s="569"/>
      <c r="G9" s="569"/>
      <c r="H9" s="8" t="s">
        <v>251</v>
      </c>
      <c r="I9" s="557"/>
      <c r="J9" s="8" t="s">
        <v>252</v>
      </c>
      <c r="K9" s="557"/>
      <c r="L9" s="8" t="s">
        <v>253</v>
      </c>
      <c r="M9" s="557"/>
      <c r="N9" s="8" t="s">
        <v>254</v>
      </c>
      <c r="O9" s="557"/>
      <c r="P9" s="8" t="s">
        <v>255</v>
      </c>
      <c r="Q9" s="557"/>
      <c r="R9" s="2"/>
      <c r="S9" s="553"/>
      <c r="T9" s="23" t="s">
        <v>251</v>
      </c>
      <c r="U9" s="23" t="s">
        <v>252</v>
      </c>
      <c r="V9" s="23" t="s">
        <v>253</v>
      </c>
      <c r="W9" s="23" t="s">
        <v>254</v>
      </c>
      <c r="X9" s="23" t="s">
        <v>255</v>
      </c>
      <c r="Y9" s="559"/>
      <c r="Z9" s="559"/>
      <c r="AA9" s="559"/>
    </row>
    <row r="10" spans="2:27" ht="132">
      <c r="B10" s="2"/>
      <c r="C10" s="554" t="s">
        <v>148</v>
      </c>
      <c r="D10" s="554" t="s">
        <v>256</v>
      </c>
      <c r="E10" s="554"/>
      <c r="F10" s="58" t="s">
        <v>257</v>
      </c>
      <c r="G10" s="372" t="s">
        <v>66</v>
      </c>
      <c r="H10" s="373" t="s">
        <v>258</v>
      </c>
      <c r="I10" s="325"/>
      <c r="J10" s="16" t="s">
        <v>259</v>
      </c>
      <c r="K10" s="325"/>
      <c r="L10" s="16" t="s">
        <v>260</v>
      </c>
      <c r="M10" s="325"/>
      <c r="N10" s="374" t="s">
        <v>261</v>
      </c>
      <c r="O10" s="325"/>
      <c r="P10" s="16" t="s">
        <v>262</v>
      </c>
      <c r="Q10" s="325"/>
      <c r="R10" s="2"/>
      <c r="S10" s="33" t="s">
        <v>263</v>
      </c>
      <c r="T10" s="32">
        <f t="shared" ref="T10:T33" si="0">I10</f>
        <v>0</v>
      </c>
      <c r="U10" s="32">
        <f t="shared" ref="U10:U20" si="1">K10</f>
        <v>0</v>
      </c>
      <c r="V10" s="32">
        <f t="shared" ref="V10:V33" si="2">M10</f>
        <v>0</v>
      </c>
      <c r="W10" s="32">
        <f t="shared" ref="W10:W32" si="3">O10</f>
        <v>0</v>
      </c>
      <c r="X10" s="32">
        <f t="shared" ref="X10:X32" si="4">Q10</f>
        <v>0</v>
      </c>
      <c r="Y10" s="75">
        <f>IF(T10="No",1,IF(U10="No",1,IF(V10="No",2,IF(W10="No",3,IF(X10="No",4,5)))))</f>
        <v>5</v>
      </c>
      <c r="Z10" s="75" t="str">
        <f>IF(Y10&lt;2,"C",IF(Y10&lt;3,"B-",IF(Y10&lt;4,"B",IF(Y10&lt;5,"B+",IF(Y10=5,"A","")))))</f>
        <v>A</v>
      </c>
      <c r="AA10" s="299" t="s">
        <v>23</v>
      </c>
    </row>
    <row r="11" spans="2:27" ht="132">
      <c r="B11" s="2"/>
      <c r="C11" s="548"/>
      <c r="D11" s="548"/>
      <c r="E11" s="548"/>
      <c r="F11" s="58" t="s">
        <v>257</v>
      </c>
      <c r="G11" s="28" t="s">
        <v>69</v>
      </c>
      <c r="H11" s="375" t="s">
        <v>264</v>
      </c>
      <c r="I11" s="325"/>
      <c r="J11" s="16" t="s">
        <v>265</v>
      </c>
      <c r="K11" s="325"/>
      <c r="L11" s="16" t="s">
        <v>266</v>
      </c>
      <c r="M11" s="325"/>
      <c r="N11" s="16" t="s">
        <v>267</v>
      </c>
      <c r="O11" s="325"/>
      <c r="P11" s="16" t="s">
        <v>268</v>
      </c>
      <c r="Q11" s="325"/>
      <c r="R11" s="2"/>
      <c r="S11" s="33" t="s">
        <v>263</v>
      </c>
      <c r="T11" s="32">
        <f t="shared" si="0"/>
        <v>0</v>
      </c>
      <c r="U11" s="32">
        <f t="shared" si="1"/>
        <v>0</v>
      </c>
      <c r="V11" s="32">
        <f t="shared" si="2"/>
        <v>0</v>
      </c>
      <c r="W11" s="32">
        <f t="shared" si="3"/>
        <v>0</v>
      </c>
      <c r="X11" s="32">
        <f t="shared" si="4"/>
        <v>0</v>
      </c>
      <c r="Y11" s="75">
        <f t="shared" ref="Y11:Y39" si="5">IF(T11="No",1,IF(U11="No",1,IF(V11="No",2,IF(W11="No",3,IF(X11="No",4,5)))))</f>
        <v>5</v>
      </c>
      <c r="Z11" s="75" t="str">
        <f t="shared" ref="Z11:Z39" si="6">IF(Y11&lt;2,"C",IF(Y11&lt;3,"B-",IF(Y11&lt;4,"B",IF(Y11&lt;5,"B+",IF(Y11=5,"A","")))))</f>
        <v>A</v>
      </c>
      <c r="AA11" s="299" t="s">
        <v>20</v>
      </c>
    </row>
    <row r="12" spans="2:27" ht="165">
      <c r="C12" s="548"/>
      <c r="D12" s="548"/>
      <c r="E12" s="548"/>
      <c r="F12" s="58" t="s">
        <v>257</v>
      </c>
      <c r="G12" s="28" t="s">
        <v>269</v>
      </c>
      <c r="H12" s="14" t="s">
        <v>270</v>
      </c>
      <c r="I12" s="325"/>
      <c r="J12" s="14" t="s">
        <v>271</v>
      </c>
      <c r="K12" s="325"/>
      <c r="L12" s="14" t="s">
        <v>272</v>
      </c>
      <c r="M12" s="325"/>
      <c r="N12" s="14" t="s">
        <v>273</v>
      </c>
      <c r="O12" s="325"/>
      <c r="P12" s="14" t="s">
        <v>274</v>
      </c>
      <c r="Q12" s="325"/>
      <c r="S12" s="33" t="s">
        <v>263</v>
      </c>
      <c r="T12" s="32">
        <f t="shared" si="0"/>
        <v>0</v>
      </c>
      <c r="U12" s="32">
        <f t="shared" si="1"/>
        <v>0</v>
      </c>
      <c r="V12" s="32">
        <f t="shared" si="2"/>
        <v>0</v>
      </c>
      <c r="W12" s="32">
        <f t="shared" si="3"/>
        <v>0</v>
      </c>
      <c r="X12" s="32">
        <f t="shared" si="4"/>
        <v>0</v>
      </c>
      <c r="Y12" s="75">
        <f t="shared" si="5"/>
        <v>5</v>
      </c>
      <c r="Z12" s="75" t="str">
        <f t="shared" si="6"/>
        <v>A</v>
      </c>
      <c r="AA12" s="299" t="s">
        <v>23</v>
      </c>
    </row>
    <row r="13" spans="2:27" ht="82.5">
      <c r="C13" s="548"/>
      <c r="D13" s="548"/>
      <c r="E13" s="549"/>
      <c r="F13" s="58" t="s">
        <v>257</v>
      </c>
      <c r="G13" s="394" t="s">
        <v>275</v>
      </c>
      <c r="H13" s="395" t="s">
        <v>276</v>
      </c>
      <c r="I13" s="396"/>
      <c r="J13" s="395" t="s">
        <v>278</v>
      </c>
      <c r="K13" s="396"/>
      <c r="L13" s="395" t="s">
        <v>280</v>
      </c>
      <c r="M13" s="396"/>
      <c r="N13" s="395" t="s">
        <v>281</v>
      </c>
      <c r="O13" s="396"/>
      <c r="P13" s="395" t="s">
        <v>282</v>
      </c>
      <c r="Q13" s="325"/>
      <c r="S13" s="33" t="s">
        <v>263</v>
      </c>
      <c r="T13" s="32" t="str">
        <f t="shared" si="0"/>
        <v>Yes</v>
      </c>
      <c r="U13" s="32" t="str">
        <f t="shared" si="1"/>
        <v>No</v>
      </c>
      <c r="V13" s="32">
        <f t="shared" si="2"/>
        <v>0</v>
      </c>
      <c r="W13" s="32">
        <f t="shared" si="3"/>
        <v>0</v>
      </c>
      <c r="X13" s="32">
        <f t="shared" si="4"/>
        <v>0</v>
      </c>
      <c r="Y13" s="75">
        <f t="shared" si="5"/>
        <v>1</v>
      </c>
      <c r="Z13" s="75" t="str">
        <f t="shared" si="6"/>
        <v>C</v>
      </c>
      <c r="AA13" s="299" t="s">
        <v>20</v>
      </c>
    </row>
    <row r="14" spans="2:27" ht="115.5">
      <c r="C14" s="547" t="s">
        <v>75</v>
      </c>
      <c r="D14" s="547" t="s">
        <v>283</v>
      </c>
      <c r="E14" s="547" t="s">
        <v>116</v>
      </c>
      <c r="F14" s="58" t="s">
        <v>257</v>
      </c>
      <c r="G14" s="28" t="s">
        <v>78</v>
      </c>
      <c r="H14" s="16" t="s">
        <v>284</v>
      </c>
      <c r="I14" s="325"/>
      <c r="J14" s="16" t="s">
        <v>285</v>
      </c>
      <c r="K14" s="325"/>
      <c r="L14" s="16" t="s">
        <v>286</v>
      </c>
      <c r="M14" s="325"/>
      <c r="N14" s="16" t="s">
        <v>287</v>
      </c>
      <c r="O14" s="325"/>
      <c r="P14" s="16" t="s">
        <v>288</v>
      </c>
      <c r="Q14" s="325"/>
      <c r="S14" s="33" t="s">
        <v>263</v>
      </c>
      <c r="T14" s="32">
        <f t="shared" si="0"/>
        <v>0</v>
      </c>
      <c r="U14" s="32">
        <f t="shared" si="1"/>
        <v>0</v>
      </c>
      <c r="V14" s="32">
        <f t="shared" si="2"/>
        <v>0</v>
      </c>
      <c r="W14" s="32">
        <f t="shared" si="3"/>
        <v>0</v>
      </c>
      <c r="X14" s="32">
        <f t="shared" si="4"/>
        <v>0</v>
      </c>
      <c r="Y14" s="75">
        <f t="shared" si="5"/>
        <v>5</v>
      </c>
      <c r="Z14" s="75" t="str">
        <f t="shared" si="6"/>
        <v>A</v>
      </c>
      <c r="AA14" s="299" t="s">
        <v>20</v>
      </c>
    </row>
    <row r="15" spans="2:27" ht="150.94999999999999" customHeight="1">
      <c r="C15" s="548"/>
      <c r="D15" s="548"/>
      <c r="E15" s="548"/>
      <c r="F15" s="58" t="s">
        <v>257</v>
      </c>
      <c r="G15" s="28" t="s">
        <v>289</v>
      </c>
      <c r="H15" s="16" t="s">
        <v>290</v>
      </c>
      <c r="I15" s="325"/>
      <c r="J15" s="16" t="s">
        <v>291</v>
      </c>
      <c r="K15" s="325"/>
      <c r="L15" s="16" t="s">
        <v>292</v>
      </c>
      <c r="M15" s="325"/>
      <c r="N15" s="16" t="s">
        <v>293</v>
      </c>
      <c r="O15" s="325"/>
      <c r="P15" s="16" t="s">
        <v>294</v>
      </c>
      <c r="Q15" s="325"/>
      <c r="S15" s="33" t="s">
        <v>263</v>
      </c>
      <c r="T15" s="32">
        <f t="shared" si="0"/>
        <v>0</v>
      </c>
      <c r="U15" s="32">
        <f t="shared" si="1"/>
        <v>0</v>
      </c>
      <c r="V15" s="32">
        <f t="shared" si="2"/>
        <v>0</v>
      </c>
      <c r="W15" s="32">
        <f t="shared" si="3"/>
        <v>0</v>
      </c>
      <c r="X15" s="32">
        <f t="shared" si="4"/>
        <v>0</v>
      </c>
      <c r="Y15" s="75">
        <f t="shared" si="5"/>
        <v>5</v>
      </c>
      <c r="Z15" s="75" t="str">
        <f t="shared" si="6"/>
        <v>A</v>
      </c>
      <c r="AA15" s="299" t="s">
        <v>20</v>
      </c>
    </row>
    <row r="16" spans="2:27" ht="150.94999999999999" customHeight="1">
      <c r="C16" s="548"/>
      <c r="D16" s="548"/>
      <c r="E16" s="548"/>
      <c r="F16" s="58" t="s">
        <v>257</v>
      </c>
      <c r="G16" s="28" t="s">
        <v>295</v>
      </c>
      <c r="H16" s="16" t="s">
        <v>296</v>
      </c>
      <c r="I16" s="325"/>
      <c r="J16" s="16" t="s">
        <v>297</v>
      </c>
      <c r="K16" s="325"/>
      <c r="L16" s="16" t="s">
        <v>298</v>
      </c>
      <c r="M16" s="325"/>
      <c r="N16" s="16" t="s">
        <v>299</v>
      </c>
      <c r="O16" s="325"/>
      <c r="P16" s="16" t="s">
        <v>300</v>
      </c>
      <c r="Q16" s="325"/>
      <c r="S16" s="33" t="s">
        <v>263</v>
      </c>
      <c r="T16" s="32">
        <f t="shared" si="0"/>
        <v>0</v>
      </c>
      <c r="U16" s="32">
        <f t="shared" si="1"/>
        <v>0</v>
      </c>
      <c r="V16" s="32">
        <f t="shared" si="2"/>
        <v>0</v>
      </c>
      <c r="W16" s="32">
        <f t="shared" si="3"/>
        <v>0</v>
      </c>
      <c r="X16" s="32">
        <f t="shared" si="4"/>
        <v>0</v>
      </c>
      <c r="Y16" s="75">
        <f t="shared" si="5"/>
        <v>5</v>
      </c>
      <c r="Z16" s="75" t="str">
        <f t="shared" si="6"/>
        <v>A</v>
      </c>
      <c r="AA16" s="299" t="s">
        <v>20</v>
      </c>
    </row>
    <row r="17" spans="3:27" ht="115.5">
      <c r="C17" s="548"/>
      <c r="D17" s="548"/>
      <c r="E17" s="548"/>
      <c r="F17" s="58" t="s">
        <v>257</v>
      </c>
      <c r="G17" s="326" t="s">
        <v>301</v>
      </c>
      <c r="H17" s="16" t="s">
        <v>302</v>
      </c>
      <c r="I17" s="325"/>
      <c r="J17" s="327" t="s">
        <v>303</v>
      </c>
      <c r="K17" s="325"/>
      <c r="L17" s="327" t="s">
        <v>304</v>
      </c>
      <c r="M17" s="325"/>
      <c r="N17" s="327" t="s">
        <v>305</v>
      </c>
      <c r="O17" s="325"/>
      <c r="P17" s="327" t="s">
        <v>306</v>
      </c>
      <c r="Q17" s="325"/>
      <c r="S17" s="33" t="s">
        <v>263</v>
      </c>
      <c r="T17" s="32">
        <f t="shared" si="0"/>
        <v>0</v>
      </c>
      <c r="U17" s="32">
        <f t="shared" si="1"/>
        <v>0</v>
      </c>
      <c r="V17" s="32">
        <f t="shared" si="2"/>
        <v>0</v>
      </c>
      <c r="W17" s="32">
        <f>O17</f>
        <v>0</v>
      </c>
      <c r="X17" s="32">
        <f t="shared" si="4"/>
        <v>0</v>
      </c>
      <c r="Y17" s="75">
        <f t="shared" si="5"/>
        <v>5</v>
      </c>
      <c r="Z17" s="75" t="str">
        <f t="shared" si="6"/>
        <v>A</v>
      </c>
      <c r="AA17" s="318" t="s">
        <v>22</v>
      </c>
    </row>
    <row r="18" spans="3:27" ht="115.5">
      <c r="C18" s="548"/>
      <c r="D18" s="548"/>
      <c r="E18" s="548"/>
      <c r="F18" s="58" t="s">
        <v>257</v>
      </c>
      <c r="G18" s="328" t="s">
        <v>87</v>
      </c>
      <c r="H18" s="329" t="s">
        <v>307</v>
      </c>
      <c r="I18" s="325"/>
      <c r="J18" s="330" t="s">
        <v>308</v>
      </c>
      <c r="K18" s="325"/>
      <c r="L18" s="330" t="s">
        <v>309</v>
      </c>
      <c r="M18" s="325"/>
      <c r="N18" s="330" t="s">
        <v>310</v>
      </c>
      <c r="O18" s="325"/>
      <c r="P18" s="330" t="s">
        <v>311</v>
      </c>
      <c r="Q18" s="325"/>
      <c r="S18" s="33" t="s">
        <v>263</v>
      </c>
      <c r="T18" s="32">
        <f t="shared" si="0"/>
        <v>0</v>
      </c>
      <c r="U18" s="32">
        <f t="shared" ref="U18:U19" si="7">K18</f>
        <v>0</v>
      </c>
      <c r="V18" s="32">
        <f t="shared" ref="V18:V19" si="8">M18</f>
        <v>0</v>
      </c>
      <c r="W18" s="32">
        <f t="shared" ref="W18:W19" si="9">O18</f>
        <v>0</v>
      </c>
      <c r="X18" s="32">
        <f t="shared" ref="X18:X19" si="10">Q18</f>
        <v>0</v>
      </c>
      <c r="Y18" s="75">
        <f t="shared" ref="Y18:Y19" si="11">IF(T18="No",1,IF(U18="No",1,IF(V18="No",2,IF(W18="No",3,IF(X18="No",4,5)))))</f>
        <v>5</v>
      </c>
      <c r="Z18" s="75" t="str">
        <f t="shared" ref="Z18:Z19" si="12">IF(Y18&lt;2,"C",IF(Y18&lt;3,"B-",IF(Y18&lt;4,"B",IF(Y18&lt;5,"B+",IF(Y18=5,"A","")))))</f>
        <v>A</v>
      </c>
      <c r="AA18" s="318" t="s">
        <v>22</v>
      </c>
    </row>
    <row r="19" spans="3:27" ht="99">
      <c r="C19" s="548"/>
      <c r="D19" s="548"/>
      <c r="E19" s="548"/>
      <c r="F19" s="58" t="s">
        <v>257</v>
      </c>
      <c r="G19" s="328" t="s">
        <v>88</v>
      </c>
      <c r="H19" s="329" t="s">
        <v>312</v>
      </c>
      <c r="I19" s="325"/>
      <c r="J19" s="330" t="s">
        <v>313</v>
      </c>
      <c r="K19" s="325"/>
      <c r="L19" s="331" t="s">
        <v>314</v>
      </c>
      <c r="M19" s="325"/>
      <c r="N19" s="330" t="s">
        <v>315</v>
      </c>
      <c r="O19" s="325"/>
      <c r="P19" s="330" t="s">
        <v>316</v>
      </c>
      <c r="Q19" s="325"/>
      <c r="S19" s="33" t="s">
        <v>263</v>
      </c>
      <c r="T19" s="32">
        <f t="shared" si="0"/>
        <v>0</v>
      </c>
      <c r="U19" s="32">
        <f t="shared" si="7"/>
        <v>0</v>
      </c>
      <c r="V19" s="32">
        <f t="shared" si="8"/>
        <v>0</v>
      </c>
      <c r="W19" s="32">
        <f t="shared" si="9"/>
        <v>0</v>
      </c>
      <c r="X19" s="32">
        <f t="shared" si="10"/>
        <v>0</v>
      </c>
      <c r="Y19" s="75">
        <f t="shared" si="11"/>
        <v>5</v>
      </c>
      <c r="Z19" s="75" t="str">
        <f t="shared" si="12"/>
        <v>A</v>
      </c>
      <c r="AA19" s="318" t="s">
        <v>22</v>
      </c>
    </row>
    <row r="20" spans="3:27" ht="82.5">
      <c r="C20" s="549"/>
      <c r="D20" s="549"/>
      <c r="E20" s="549"/>
      <c r="F20" s="58" t="s">
        <v>257</v>
      </c>
      <c r="G20" s="332" t="s">
        <v>89</v>
      </c>
      <c r="H20" s="333" t="s">
        <v>317</v>
      </c>
      <c r="I20" s="325"/>
      <c r="J20" s="16" t="s">
        <v>318</v>
      </c>
      <c r="K20" s="325"/>
      <c r="L20" s="16" t="s">
        <v>319</v>
      </c>
      <c r="M20" s="325"/>
      <c r="N20" s="16" t="s">
        <v>320</v>
      </c>
      <c r="O20" s="325"/>
      <c r="P20" s="16" t="s">
        <v>321</v>
      </c>
      <c r="Q20" s="325"/>
      <c r="S20" s="33" t="s">
        <v>263</v>
      </c>
      <c r="T20" s="32">
        <f t="shared" si="0"/>
        <v>0</v>
      </c>
      <c r="U20" s="32">
        <f t="shared" si="1"/>
        <v>0</v>
      </c>
      <c r="V20" s="32">
        <f t="shared" si="2"/>
        <v>0</v>
      </c>
      <c r="W20" s="32">
        <f t="shared" si="3"/>
        <v>0</v>
      </c>
      <c r="X20" s="32">
        <f t="shared" si="4"/>
        <v>0</v>
      </c>
      <c r="Y20" s="75">
        <f t="shared" si="5"/>
        <v>5</v>
      </c>
      <c r="Z20" s="75" t="str">
        <f t="shared" si="6"/>
        <v>A</v>
      </c>
      <c r="AA20" s="299" t="s">
        <v>22</v>
      </c>
    </row>
    <row r="21" spans="3:27" ht="66">
      <c r="C21" s="547" t="s">
        <v>91</v>
      </c>
      <c r="D21" s="547" t="s">
        <v>322</v>
      </c>
      <c r="E21" s="547" t="s">
        <v>93</v>
      </c>
      <c r="F21" s="58" t="s">
        <v>257</v>
      </c>
      <c r="G21" s="28" t="s">
        <v>323</v>
      </c>
      <c r="H21" s="14" t="s">
        <v>324</v>
      </c>
      <c r="I21" s="325"/>
      <c r="J21" s="14" t="s">
        <v>325</v>
      </c>
      <c r="K21" s="325"/>
      <c r="L21" s="14" t="s">
        <v>326</v>
      </c>
      <c r="M21" s="325"/>
      <c r="N21" s="14" t="s">
        <v>327</v>
      </c>
      <c r="O21" s="325"/>
      <c r="P21" s="14" t="s">
        <v>328</v>
      </c>
      <c r="Q21" s="325"/>
      <c r="S21" s="33" t="s">
        <v>263</v>
      </c>
      <c r="T21" s="32">
        <f t="shared" si="0"/>
        <v>0</v>
      </c>
      <c r="U21" s="32">
        <f t="shared" ref="U21:U39" si="13">K21</f>
        <v>0</v>
      </c>
      <c r="V21" s="32">
        <f t="shared" si="2"/>
        <v>0</v>
      </c>
      <c r="W21" s="32">
        <f t="shared" si="3"/>
        <v>0</v>
      </c>
      <c r="X21" s="32">
        <f t="shared" si="4"/>
        <v>0</v>
      </c>
      <c r="Y21" s="75">
        <f t="shared" si="5"/>
        <v>5</v>
      </c>
      <c r="Z21" s="75" t="str">
        <f t="shared" si="6"/>
        <v>A</v>
      </c>
      <c r="AA21" s="299" t="s">
        <v>23</v>
      </c>
    </row>
    <row r="22" spans="3:27" ht="165">
      <c r="C22" s="548"/>
      <c r="D22" s="548"/>
      <c r="E22" s="548"/>
      <c r="F22" s="58" t="s">
        <v>257</v>
      </c>
      <c r="G22" s="334" t="s">
        <v>329</v>
      </c>
      <c r="H22" s="14" t="s">
        <v>330</v>
      </c>
      <c r="I22" s="325"/>
      <c r="J22" s="14" t="s">
        <v>331</v>
      </c>
      <c r="K22" s="325"/>
      <c r="L22" s="14" t="s">
        <v>332</v>
      </c>
      <c r="M22" s="325"/>
      <c r="N22" s="14" t="s">
        <v>333</v>
      </c>
      <c r="O22" s="325"/>
      <c r="P22" s="14" t="s">
        <v>334</v>
      </c>
      <c r="Q22" s="325"/>
      <c r="S22" s="33" t="s">
        <v>263</v>
      </c>
      <c r="T22" s="32">
        <f t="shared" si="0"/>
        <v>0</v>
      </c>
      <c r="U22" s="32">
        <f t="shared" si="13"/>
        <v>0</v>
      </c>
      <c r="V22" s="32">
        <f t="shared" si="2"/>
        <v>0</v>
      </c>
      <c r="W22" s="32">
        <f t="shared" si="3"/>
        <v>0</v>
      </c>
      <c r="X22" s="32">
        <f t="shared" si="4"/>
        <v>0</v>
      </c>
      <c r="Y22" s="75">
        <f t="shared" si="5"/>
        <v>5</v>
      </c>
      <c r="Z22" s="75" t="str">
        <f t="shared" si="6"/>
        <v>A</v>
      </c>
      <c r="AA22" s="299" t="s">
        <v>23</v>
      </c>
    </row>
    <row r="23" spans="3:27" ht="66">
      <c r="C23" s="548"/>
      <c r="D23" s="548"/>
      <c r="E23" s="548"/>
      <c r="F23" s="58" t="s">
        <v>257</v>
      </c>
      <c r="G23" s="334" t="s">
        <v>98</v>
      </c>
      <c r="H23" s="14" t="s">
        <v>335</v>
      </c>
      <c r="I23" s="325"/>
      <c r="J23" s="14" t="s">
        <v>336</v>
      </c>
      <c r="K23" s="325"/>
      <c r="L23" s="14" t="s">
        <v>337</v>
      </c>
      <c r="M23" s="325"/>
      <c r="N23" s="14" t="s">
        <v>338</v>
      </c>
      <c r="O23" s="325"/>
      <c r="P23" s="14" t="s">
        <v>339</v>
      </c>
      <c r="Q23" s="325"/>
      <c r="S23" s="33" t="s">
        <v>263</v>
      </c>
      <c r="T23" s="32">
        <f t="shared" si="0"/>
        <v>0</v>
      </c>
      <c r="U23" s="32">
        <f>K23</f>
        <v>0</v>
      </c>
      <c r="V23" s="32">
        <f t="shared" si="2"/>
        <v>0</v>
      </c>
      <c r="W23" s="32">
        <f t="shared" si="3"/>
        <v>0</v>
      </c>
      <c r="X23" s="32">
        <f t="shared" si="4"/>
        <v>0</v>
      </c>
      <c r="Y23" s="75">
        <f t="shared" si="5"/>
        <v>5</v>
      </c>
      <c r="Z23" s="75" t="str">
        <f t="shared" si="6"/>
        <v>A</v>
      </c>
      <c r="AA23" s="299" t="s">
        <v>23</v>
      </c>
    </row>
    <row r="24" spans="3:27" ht="82.5">
      <c r="C24" s="287"/>
      <c r="D24" s="287"/>
      <c r="E24" s="287"/>
      <c r="F24" s="58" t="s">
        <v>257</v>
      </c>
      <c r="G24" s="328" t="s">
        <v>100</v>
      </c>
      <c r="H24" s="329" t="s">
        <v>340</v>
      </c>
      <c r="I24" s="325"/>
      <c r="J24" s="330" t="s">
        <v>341</v>
      </c>
      <c r="K24" s="325"/>
      <c r="L24" s="330" t="s">
        <v>342</v>
      </c>
      <c r="M24" s="325"/>
      <c r="N24" s="329" t="s">
        <v>343</v>
      </c>
      <c r="O24" s="325"/>
      <c r="P24" s="330" t="s">
        <v>344</v>
      </c>
      <c r="Q24" s="325"/>
      <c r="S24" s="33" t="s">
        <v>263</v>
      </c>
      <c r="T24" s="32">
        <f t="shared" ref="T24:T26" si="14">I24</f>
        <v>0</v>
      </c>
      <c r="U24" s="32">
        <f t="shared" ref="U24:U26" si="15">K24</f>
        <v>0</v>
      </c>
      <c r="V24" s="32">
        <f t="shared" ref="V24:V26" si="16">M24</f>
        <v>0</v>
      </c>
      <c r="W24" s="32">
        <f t="shared" ref="W24:W26" si="17">O24</f>
        <v>0</v>
      </c>
      <c r="X24" s="32">
        <f t="shared" ref="X24:X26" si="18">Q24</f>
        <v>0</v>
      </c>
      <c r="Y24" s="75">
        <f t="shared" ref="Y24:Y26" si="19">IF(T24="No",1,IF(U24="No",1,IF(V24="No",2,IF(W24="No",3,IF(X24="No",4,5)))))</f>
        <v>5</v>
      </c>
      <c r="Z24" s="75" t="str">
        <f t="shared" ref="Z24:Z26" si="20">IF(Y24&lt;2,"C",IF(Y24&lt;3,"B-",IF(Y24&lt;4,"B",IF(Y24&lt;5,"B+",IF(Y24=5,"A","")))))</f>
        <v>A</v>
      </c>
      <c r="AA24" s="318" t="s">
        <v>101</v>
      </c>
    </row>
    <row r="25" spans="3:27" ht="82.5">
      <c r="C25" s="287"/>
      <c r="D25" s="287"/>
      <c r="E25" s="287"/>
      <c r="F25" s="58" t="s">
        <v>257</v>
      </c>
      <c r="G25" s="328" t="s">
        <v>102</v>
      </c>
      <c r="H25" s="330" t="s">
        <v>345</v>
      </c>
      <c r="I25" s="325"/>
      <c r="J25" s="330" t="s">
        <v>346</v>
      </c>
      <c r="K25" s="325"/>
      <c r="L25" s="330" t="s">
        <v>347</v>
      </c>
      <c r="M25" s="325"/>
      <c r="N25" s="330" t="s">
        <v>348</v>
      </c>
      <c r="O25" s="325"/>
      <c r="P25" s="330" t="s">
        <v>349</v>
      </c>
      <c r="Q25" s="325"/>
      <c r="S25" s="33" t="s">
        <v>263</v>
      </c>
      <c r="T25" s="32">
        <f t="shared" si="14"/>
        <v>0</v>
      </c>
      <c r="U25" s="32">
        <f t="shared" si="15"/>
        <v>0</v>
      </c>
      <c r="V25" s="32">
        <f t="shared" si="16"/>
        <v>0</v>
      </c>
      <c r="W25" s="32">
        <f t="shared" si="17"/>
        <v>0</v>
      </c>
      <c r="X25" s="32">
        <f t="shared" si="18"/>
        <v>0</v>
      </c>
      <c r="Y25" s="75">
        <f t="shared" si="19"/>
        <v>5</v>
      </c>
      <c r="Z25" s="75" t="str">
        <f t="shared" si="20"/>
        <v>A</v>
      </c>
      <c r="AA25" s="318" t="s">
        <v>101</v>
      </c>
    </row>
    <row r="26" spans="3:27" ht="99">
      <c r="C26" s="287"/>
      <c r="D26" s="287"/>
      <c r="E26" s="287"/>
      <c r="F26" s="58" t="s">
        <v>257</v>
      </c>
      <c r="G26" s="335" t="s">
        <v>103</v>
      </c>
      <c r="H26" s="336" t="s">
        <v>350</v>
      </c>
      <c r="I26" s="325"/>
      <c r="J26" s="337" t="s">
        <v>351</v>
      </c>
      <c r="K26" s="325"/>
      <c r="L26" s="337" t="s">
        <v>352</v>
      </c>
      <c r="M26" s="325"/>
      <c r="N26" s="337" t="s">
        <v>353</v>
      </c>
      <c r="O26" s="325"/>
      <c r="P26" s="337" t="s">
        <v>354</v>
      </c>
      <c r="Q26" s="325"/>
      <c r="S26" s="33" t="s">
        <v>263</v>
      </c>
      <c r="T26" s="32">
        <f t="shared" si="14"/>
        <v>0</v>
      </c>
      <c r="U26" s="32">
        <f t="shared" si="15"/>
        <v>0</v>
      </c>
      <c r="V26" s="32">
        <f t="shared" si="16"/>
        <v>0</v>
      </c>
      <c r="W26" s="32">
        <f t="shared" si="17"/>
        <v>0</v>
      </c>
      <c r="X26" s="32">
        <f t="shared" si="18"/>
        <v>0</v>
      </c>
      <c r="Y26" s="75">
        <f t="shared" si="19"/>
        <v>5</v>
      </c>
      <c r="Z26" s="75" t="str">
        <f t="shared" si="20"/>
        <v>A</v>
      </c>
      <c r="AA26" s="318" t="s">
        <v>101</v>
      </c>
    </row>
    <row r="27" spans="3:27" ht="160.5" customHeight="1">
      <c r="C27" s="547" t="s">
        <v>192</v>
      </c>
      <c r="D27" s="547" t="s">
        <v>193</v>
      </c>
      <c r="E27" s="547" t="s">
        <v>355</v>
      </c>
      <c r="F27" s="58" t="s">
        <v>257</v>
      </c>
      <c r="G27" s="28" t="s">
        <v>107</v>
      </c>
      <c r="H27" s="14" t="s">
        <v>356</v>
      </c>
      <c r="I27" s="325"/>
      <c r="J27" s="14" t="s">
        <v>357</v>
      </c>
      <c r="K27" s="325"/>
      <c r="L27" s="14" t="s">
        <v>358</v>
      </c>
      <c r="M27" s="325"/>
      <c r="N27" s="14" t="s">
        <v>359</v>
      </c>
      <c r="O27" s="325"/>
      <c r="P27" s="14" t="s">
        <v>360</v>
      </c>
      <c r="Q27" s="325"/>
      <c r="S27" s="33" t="s">
        <v>263</v>
      </c>
      <c r="T27" s="32">
        <f t="shared" si="0"/>
        <v>0</v>
      </c>
      <c r="U27" s="32">
        <f t="shared" si="13"/>
        <v>0</v>
      </c>
      <c r="V27" s="32">
        <f t="shared" si="2"/>
        <v>0</v>
      </c>
      <c r="W27" s="32">
        <f t="shared" si="3"/>
        <v>0</v>
      </c>
      <c r="X27" s="32">
        <f t="shared" si="4"/>
        <v>0</v>
      </c>
      <c r="Y27" s="75">
        <f t="shared" si="5"/>
        <v>5</v>
      </c>
      <c r="Z27" s="75" t="str">
        <f t="shared" si="6"/>
        <v>A</v>
      </c>
      <c r="AA27" s="299" t="s">
        <v>22</v>
      </c>
    </row>
    <row r="28" spans="3:27" ht="198">
      <c r="C28" s="548"/>
      <c r="D28" s="548"/>
      <c r="E28" s="548"/>
      <c r="F28" s="58" t="s">
        <v>257</v>
      </c>
      <c r="G28" s="28" t="s">
        <v>109</v>
      </c>
      <c r="H28" s="16" t="s">
        <v>361</v>
      </c>
      <c r="I28" s="325"/>
      <c r="J28" s="16" t="s">
        <v>362</v>
      </c>
      <c r="K28" s="325"/>
      <c r="L28" s="330" t="s">
        <v>363</v>
      </c>
      <c r="M28" s="325"/>
      <c r="N28" s="16" t="s">
        <v>364</v>
      </c>
      <c r="O28" s="325"/>
      <c r="P28" s="16" t="s">
        <v>365</v>
      </c>
      <c r="Q28" s="325"/>
      <c r="S28" s="33" t="s">
        <v>263</v>
      </c>
      <c r="T28" s="32">
        <f t="shared" si="0"/>
        <v>0</v>
      </c>
      <c r="U28" s="32">
        <f t="shared" si="13"/>
        <v>0</v>
      </c>
      <c r="V28" s="32">
        <f t="shared" si="2"/>
        <v>0</v>
      </c>
      <c r="W28" s="32">
        <f t="shared" si="3"/>
        <v>0</v>
      </c>
      <c r="X28" s="32">
        <f t="shared" si="4"/>
        <v>0</v>
      </c>
      <c r="Y28" s="75">
        <f t="shared" si="5"/>
        <v>5</v>
      </c>
      <c r="Z28" s="75" t="str">
        <f t="shared" si="6"/>
        <v>A</v>
      </c>
      <c r="AA28" s="299" t="s">
        <v>20</v>
      </c>
    </row>
    <row r="29" spans="3:27" ht="264" customHeight="1">
      <c r="C29" s="548"/>
      <c r="D29" s="548"/>
      <c r="E29" s="548"/>
      <c r="F29" s="58" t="s">
        <v>257</v>
      </c>
      <c r="G29" s="326" t="s">
        <v>366</v>
      </c>
      <c r="H29" s="14" t="s">
        <v>367</v>
      </c>
      <c r="I29" s="325"/>
      <c r="J29" s="16" t="s">
        <v>368</v>
      </c>
      <c r="K29" s="325"/>
      <c r="L29" s="16" t="s">
        <v>369</v>
      </c>
      <c r="M29" s="325"/>
      <c r="N29" s="381" t="s">
        <v>370</v>
      </c>
      <c r="O29" s="325"/>
      <c r="P29" s="16" t="s">
        <v>371</v>
      </c>
      <c r="Q29" s="325"/>
      <c r="S29" s="33" t="s">
        <v>263</v>
      </c>
      <c r="T29" s="32">
        <f t="shared" si="0"/>
        <v>0</v>
      </c>
      <c r="U29" s="32">
        <f t="shared" si="13"/>
        <v>0</v>
      </c>
      <c r="V29" s="32">
        <f t="shared" si="2"/>
        <v>0</v>
      </c>
      <c r="W29" s="32">
        <f t="shared" si="3"/>
        <v>0</v>
      </c>
      <c r="X29" s="32">
        <f t="shared" si="4"/>
        <v>0</v>
      </c>
      <c r="Y29" s="75">
        <f t="shared" si="5"/>
        <v>5</v>
      </c>
      <c r="Z29" s="75" t="str">
        <f t="shared" si="6"/>
        <v>A</v>
      </c>
      <c r="AA29" s="299" t="s">
        <v>22</v>
      </c>
    </row>
    <row r="30" spans="3:27" ht="82.5">
      <c r="C30" s="548"/>
      <c r="D30" s="548"/>
      <c r="E30" s="548"/>
      <c r="F30" s="58" t="s">
        <v>257</v>
      </c>
      <c r="G30" s="28" t="s">
        <v>116</v>
      </c>
      <c r="H30" s="16" t="s">
        <v>372</v>
      </c>
      <c r="I30" s="325"/>
      <c r="J30" s="16" t="s">
        <v>373</v>
      </c>
      <c r="K30" s="325"/>
      <c r="L30" s="16" t="s">
        <v>374</v>
      </c>
      <c r="M30" s="325"/>
      <c r="N30" s="16" t="s">
        <v>375</v>
      </c>
      <c r="O30" s="325"/>
      <c r="P30" s="16" t="s">
        <v>262</v>
      </c>
      <c r="Q30" s="325"/>
      <c r="S30" s="33" t="s">
        <v>263</v>
      </c>
      <c r="T30" s="32">
        <f t="shared" si="0"/>
        <v>0</v>
      </c>
      <c r="U30" s="32">
        <f t="shared" si="13"/>
        <v>0</v>
      </c>
      <c r="V30" s="32">
        <f t="shared" si="2"/>
        <v>0</v>
      </c>
      <c r="W30" s="32">
        <f t="shared" si="3"/>
        <v>0</v>
      </c>
      <c r="X30" s="32">
        <f t="shared" si="4"/>
        <v>0</v>
      </c>
      <c r="Y30" s="75">
        <f t="shared" si="5"/>
        <v>5</v>
      </c>
      <c r="Z30" s="75" t="str">
        <f t="shared" si="6"/>
        <v>A</v>
      </c>
      <c r="AA30" s="299" t="s">
        <v>20</v>
      </c>
    </row>
    <row r="31" spans="3:27" ht="132">
      <c r="C31" s="548"/>
      <c r="D31" s="548"/>
      <c r="E31" s="548"/>
      <c r="F31" s="58" t="s">
        <v>257</v>
      </c>
      <c r="G31" s="334" t="s">
        <v>376</v>
      </c>
      <c r="H31" s="16" t="s">
        <v>377</v>
      </c>
      <c r="I31" s="325"/>
      <c r="J31" s="16" t="s">
        <v>378</v>
      </c>
      <c r="K31" s="325"/>
      <c r="L31" s="16" t="s">
        <v>379</v>
      </c>
      <c r="M31" s="325"/>
      <c r="N31" s="16" t="s">
        <v>380</v>
      </c>
      <c r="O31" s="325"/>
      <c r="P31" s="16" t="s">
        <v>381</v>
      </c>
      <c r="Q31" s="325"/>
      <c r="S31" s="33" t="s">
        <v>263</v>
      </c>
      <c r="T31" s="32">
        <f t="shared" si="0"/>
        <v>0</v>
      </c>
      <c r="U31" s="32">
        <f t="shared" si="13"/>
        <v>0</v>
      </c>
      <c r="V31" s="32">
        <f t="shared" si="2"/>
        <v>0</v>
      </c>
      <c r="W31" s="32">
        <f t="shared" si="3"/>
        <v>0</v>
      </c>
      <c r="X31" s="32">
        <f t="shared" si="4"/>
        <v>0</v>
      </c>
      <c r="Y31" s="75">
        <f t="shared" si="5"/>
        <v>5</v>
      </c>
      <c r="Z31" s="75" t="str">
        <f t="shared" si="6"/>
        <v>A</v>
      </c>
      <c r="AA31" s="299" t="s">
        <v>22</v>
      </c>
    </row>
    <row r="32" spans="3:27" ht="82.5">
      <c r="C32" s="548"/>
      <c r="D32" s="548"/>
      <c r="E32" s="548"/>
      <c r="F32" s="58" t="s">
        <v>257</v>
      </c>
      <c r="G32" s="332" t="s">
        <v>120</v>
      </c>
      <c r="H32" s="374" t="s">
        <v>382</v>
      </c>
      <c r="I32" s="325"/>
      <c r="J32" s="374" t="s">
        <v>383</v>
      </c>
      <c r="K32" s="325"/>
      <c r="L32" s="374" t="s">
        <v>384</v>
      </c>
      <c r="M32" s="325"/>
      <c r="N32" s="374" t="s">
        <v>385</v>
      </c>
      <c r="O32" s="325"/>
      <c r="P32" s="374" t="s">
        <v>386</v>
      </c>
      <c r="Q32" s="325"/>
      <c r="S32" s="33" t="s">
        <v>263</v>
      </c>
      <c r="T32" s="32">
        <f t="shared" si="0"/>
        <v>0</v>
      </c>
      <c r="U32" s="32">
        <f t="shared" si="13"/>
        <v>0</v>
      </c>
      <c r="V32" s="32">
        <f t="shared" si="2"/>
        <v>0</v>
      </c>
      <c r="W32" s="32">
        <f t="shared" si="3"/>
        <v>0</v>
      </c>
      <c r="X32" s="32">
        <f t="shared" si="4"/>
        <v>0</v>
      </c>
      <c r="Y32" s="75">
        <f t="shared" si="5"/>
        <v>5</v>
      </c>
      <c r="Z32" s="75" t="str">
        <f t="shared" si="6"/>
        <v>A</v>
      </c>
      <c r="AA32" s="299" t="s">
        <v>20</v>
      </c>
    </row>
    <row r="33" spans="3:27" ht="115.5">
      <c r="C33" s="548"/>
      <c r="D33" s="548"/>
      <c r="E33" s="547" t="s">
        <v>387</v>
      </c>
      <c r="F33" s="58" t="s">
        <v>257</v>
      </c>
      <c r="G33" s="332" t="s">
        <v>388</v>
      </c>
      <c r="H33" s="374" t="s">
        <v>389</v>
      </c>
      <c r="I33" s="325"/>
      <c r="J33" s="374" t="s">
        <v>390</v>
      </c>
      <c r="K33" s="325"/>
      <c r="L33" s="374" t="s">
        <v>391</v>
      </c>
      <c r="M33" s="325"/>
      <c r="N33" s="374" t="s">
        <v>392</v>
      </c>
      <c r="O33" s="325"/>
      <c r="P33" s="374" t="s">
        <v>393</v>
      </c>
      <c r="Q33" s="325"/>
      <c r="S33" s="33" t="s">
        <v>263</v>
      </c>
      <c r="T33" s="32">
        <f t="shared" si="0"/>
        <v>0</v>
      </c>
      <c r="U33" s="32">
        <f t="shared" si="13"/>
        <v>0</v>
      </c>
      <c r="V33" s="32">
        <f t="shared" si="2"/>
        <v>0</v>
      </c>
      <c r="W33" s="32">
        <f>O33</f>
        <v>0</v>
      </c>
      <c r="X33" s="32">
        <f>Q33</f>
        <v>0</v>
      </c>
      <c r="Y33" s="75">
        <f t="shared" si="5"/>
        <v>5</v>
      </c>
      <c r="Z33" s="75" t="str">
        <f t="shared" si="6"/>
        <v>A</v>
      </c>
      <c r="AA33" s="299" t="s">
        <v>23</v>
      </c>
    </row>
    <row r="34" spans="3:27" ht="82.5">
      <c r="C34" s="548"/>
      <c r="D34" s="548"/>
      <c r="E34" s="548"/>
      <c r="F34" s="58" t="s">
        <v>257</v>
      </c>
      <c r="G34" s="332" t="s">
        <v>394</v>
      </c>
      <c r="H34" s="374" t="s">
        <v>395</v>
      </c>
      <c r="I34" s="325"/>
      <c r="J34" s="374" t="s">
        <v>396</v>
      </c>
      <c r="K34" s="325"/>
      <c r="L34" s="374" t="s">
        <v>397</v>
      </c>
      <c r="M34" s="325"/>
      <c r="N34" s="374" t="s">
        <v>398</v>
      </c>
      <c r="O34" s="325"/>
      <c r="P34" s="374" t="s">
        <v>399</v>
      </c>
      <c r="Q34" s="325"/>
      <c r="S34" s="33" t="s">
        <v>263</v>
      </c>
      <c r="T34" s="32">
        <f t="shared" ref="T34:T39" si="21">I34</f>
        <v>0</v>
      </c>
      <c r="U34" s="32">
        <f t="shared" si="13"/>
        <v>0</v>
      </c>
      <c r="V34" s="32">
        <f>M34</f>
        <v>0</v>
      </c>
      <c r="W34" s="32">
        <f>O34</f>
        <v>0</v>
      </c>
      <c r="X34" s="32">
        <f>Q34</f>
        <v>0</v>
      </c>
      <c r="Y34" s="75">
        <f t="shared" si="5"/>
        <v>5</v>
      </c>
      <c r="Z34" s="75" t="str">
        <f t="shared" si="6"/>
        <v>A</v>
      </c>
      <c r="AA34" s="299" t="s">
        <v>23</v>
      </c>
    </row>
    <row r="35" spans="3:27" ht="99">
      <c r="C35" s="548"/>
      <c r="D35" s="548"/>
      <c r="E35" s="548"/>
      <c r="F35" s="58" t="s">
        <v>257</v>
      </c>
      <c r="G35" s="332" t="s">
        <v>400</v>
      </c>
      <c r="H35" s="374" t="s">
        <v>401</v>
      </c>
      <c r="I35" s="325"/>
      <c r="J35" s="374" t="s">
        <v>402</v>
      </c>
      <c r="K35" s="325"/>
      <c r="L35" s="374" t="s">
        <v>403</v>
      </c>
      <c r="M35" s="325"/>
      <c r="N35" s="374" t="s">
        <v>404</v>
      </c>
      <c r="O35" s="325"/>
      <c r="P35" s="374" t="s">
        <v>405</v>
      </c>
      <c r="Q35" s="325"/>
      <c r="S35" s="33" t="s">
        <v>263</v>
      </c>
      <c r="T35" s="32">
        <f t="shared" si="21"/>
        <v>0</v>
      </c>
      <c r="U35" s="32">
        <f t="shared" si="13"/>
        <v>0</v>
      </c>
      <c r="V35" s="32">
        <f>M35</f>
        <v>0</v>
      </c>
      <c r="W35" s="32">
        <f>O35</f>
        <v>0</v>
      </c>
      <c r="X35" s="32">
        <f>Q35</f>
        <v>0</v>
      </c>
      <c r="Y35" s="75">
        <f t="shared" si="5"/>
        <v>5</v>
      </c>
      <c r="Z35" s="75" t="str">
        <f t="shared" si="6"/>
        <v>A</v>
      </c>
      <c r="AA35" s="299" t="s">
        <v>23</v>
      </c>
    </row>
    <row r="36" spans="3:27" ht="115.5">
      <c r="C36" s="549"/>
      <c r="D36" s="549"/>
      <c r="E36" s="549"/>
      <c r="F36" s="58" t="s">
        <v>257</v>
      </c>
      <c r="G36" s="332" t="s">
        <v>406</v>
      </c>
      <c r="H36" s="374" t="s">
        <v>407</v>
      </c>
      <c r="I36" s="325"/>
      <c r="J36" s="374" t="s">
        <v>408</v>
      </c>
      <c r="K36" s="325"/>
      <c r="L36" s="374" t="s">
        <v>409</v>
      </c>
      <c r="M36" s="325"/>
      <c r="N36" s="374" t="s">
        <v>410</v>
      </c>
      <c r="O36" s="325"/>
      <c r="P36" s="374" t="s">
        <v>411</v>
      </c>
      <c r="Q36" s="325"/>
      <c r="S36" s="33" t="s">
        <v>263</v>
      </c>
      <c r="T36" s="32">
        <f t="shared" si="21"/>
        <v>0</v>
      </c>
      <c r="U36" s="32">
        <f t="shared" si="13"/>
        <v>0</v>
      </c>
      <c r="V36" s="32">
        <f>M36</f>
        <v>0</v>
      </c>
      <c r="W36" s="32">
        <f>O36</f>
        <v>0</v>
      </c>
      <c r="X36" s="32">
        <f>Q36</f>
        <v>0</v>
      </c>
      <c r="Y36" s="75">
        <f t="shared" si="5"/>
        <v>5</v>
      </c>
      <c r="Z36" s="75" t="str">
        <f t="shared" si="6"/>
        <v>A</v>
      </c>
      <c r="AA36" s="299" t="s">
        <v>23</v>
      </c>
    </row>
    <row r="37" spans="3:27" ht="99">
      <c r="C37" s="553" t="s">
        <v>130</v>
      </c>
      <c r="D37" s="553" t="s">
        <v>131</v>
      </c>
      <c r="E37" s="553" t="s">
        <v>132</v>
      </c>
      <c r="F37" s="58" t="s">
        <v>257</v>
      </c>
      <c r="G37" s="332" t="s">
        <v>133</v>
      </c>
      <c r="H37" s="376" t="s">
        <v>412</v>
      </c>
      <c r="I37" s="325"/>
      <c r="J37" s="376" t="s">
        <v>413</v>
      </c>
      <c r="K37" s="325"/>
      <c r="L37" s="14" t="s">
        <v>414</v>
      </c>
      <c r="M37" s="325"/>
      <c r="N37" s="14" t="s">
        <v>415</v>
      </c>
      <c r="O37" s="325"/>
      <c r="P37" s="14" t="s">
        <v>416</v>
      </c>
      <c r="Q37" s="325"/>
      <c r="S37" s="33" t="s">
        <v>263</v>
      </c>
      <c r="T37" s="32">
        <f t="shared" si="21"/>
        <v>0</v>
      </c>
      <c r="U37" s="32">
        <f t="shared" si="13"/>
        <v>0</v>
      </c>
      <c r="V37" s="32">
        <f>M37</f>
        <v>0</v>
      </c>
      <c r="W37" s="32">
        <f t="shared" ref="W37:W39" si="22">O37</f>
        <v>0</v>
      </c>
      <c r="X37" s="32">
        <f t="shared" ref="X37:X39" si="23">Q37</f>
        <v>0</v>
      </c>
      <c r="Y37" s="75">
        <f t="shared" si="5"/>
        <v>5</v>
      </c>
      <c r="Z37" s="75" t="str">
        <f t="shared" si="6"/>
        <v>A</v>
      </c>
      <c r="AA37" s="299" t="s">
        <v>23</v>
      </c>
    </row>
    <row r="38" spans="3:27" ht="95.45" customHeight="1">
      <c r="C38" s="553"/>
      <c r="D38" s="553"/>
      <c r="E38" s="553"/>
      <c r="F38" s="58" t="s">
        <v>257</v>
      </c>
      <c r="G38" s="332" t="s">
        <v>135</v>
      </c>
      <c r="H38" s="376" t="s">
        <v>417</v>
      </c>
      <c r="I38" s="325"/>
      <c r="J38" s="376" t="s">
        <v>418</v>
      </c>
      <c r="K38" s="325"/>
      <c r="L38" s="376" t="s">
        <v>419</v>
      </c>
      <c r="M38" s="325"/>
      <c r="N38" s="382" t="s">
        <v>420</v>
      </c>
      <c r="O38" s="325"/>
      <c r="P38" s="376" t="s">
        <v>421</v>
      </c>
      <c r="Q38" s="325"/>
      <c r="S38" s="33" t="s">
        <v>263</v>
      </c>
      <c r="T38" s="32">
        <f t="shared" si="21"/>
        <v>0</v>
      </c>
      <c r="U38" s="32">
        <f t="shared" si="13"/>
        <v>0</v>
      </c>
      <c r="V38" s="32">
        <f t="shared" ref="V38:V39" si="24">M38</f>
        <v>0</v>
      </c>
      <c r="W38" s="32">
        <f t="shared" si="22"/>
        <v>0</v>
      </c>
      <c r="X38" s="32">
        <f t="shared" si="23"/>
        <v>0</v>
      </c>
      <c r="Y38" s="75">
        <f t="shared" si="5"/>
        <v>5</v>
      </c>
      <c r="Z38" s="75" t="str">
        <f t="shared" si="6"/>
        <v>A</v>
      </c>
      <c r="AA38" s="299" t="s">
        <v>23</v>
      </c>
    </row>
    <row r="39" spans="3:27" ht="99">
      <c r="C39" s="553"/>
      <c r="D39" s="553"/>
      <c r="E39" s="553"/>
      <c r="F39" s="58" t="s">
        <v>257</v>
      </c>
      <c r="G39" s="332" t="s">
        <v>137</v>
      </c>
      <c r="H39" s="376" t="s">
        <v>422</v>
      </c>
      <c r="I39" s="325"/>
      <c r="J39" s="376" t="s">
        <v>423</v>
      </c>
      <c r="K39" s="325"/>
      <c r="L39" s="376" t="s">
        <v>424</v>
      </c>
      <c r="M39" s="325"/>
      <c r="N39" s="376" t="s">
        <v>425</v>
      </c>
      <c r="O39" s="325"/>
      <c r="P39" s="376" t="s">
        <v>426</v>
      </c>
      <c r="Q39" s="325"/>
      <c r="S39" s="33" t="s">
        <v>263</v>
      </c>
      <c r="T39" s="32">
        <f t="shared" si="21"/>
        <v>0</v>
      </c>
      <c r="U39" s="32">
        <f t="shared" si="13"/>
        <v>0</v>
      </c>
      <c r="V39" s="32">
        <f t="shared" si="24"/>
        <v>0</v>
      </c>
      <c r="W39" s="32">
        <f t="shared" si="22"/>
        <v>0</v>
      </c>
      <c r="X39" s="32">
        <f t="shared" si="23"/>
        <v>0</v>
      </c>
      <c r="Y39" s="75">
        <f t="shared" si="5"/>
        <v>5</v>
      </c>
      <c r="Z39" s="75" t="str">
        <f t="shared" si="6"/>
        <v>A</v>
      </c>
      <c r="AA39" s="299" t="s">
        <v>23</v>
      </c>
    </row>
    <row r="40" spans="3:27" ht="16.5">
      <c r="C40" s="2"/>
      <c r="D40" s="383" t="s">
        <v>427</v>
      </c>
      <c r="E40" s="2"/>
      <c r="F40" s="2"/>
      <c r="G40" s="29"/>
      <c r="H40" s="3"/>
      <c r="I40" s="29"/>
      <c r="J40" s="3"/>
      <c r="K40" s="29"/>
      <c r="L40" s="3"/>
      <c r="M40" s="29"/>
      <c r="N40" s="3"/>
      <c r="O40" s="29"/>
      <c r="P40" s="3"/>
      <c r="Q40" s="29"/>
    </row>
    <row r="41" spans="3:27" ht="66" hidden="1">
      <c r="C41" s="6" t="s">
        <v>428</v>
      </c>
      <c r="D41" s="383"/>
      <c r="E41" s="2"/>
      <c r="F41" s="59" t="s">
        <v>429</v>
      </c>
      <c r="G41" s="12" t="s">
        <v>430</v>
      </c>
      <c r="H41" s="64" t="s">
        <v>431</v>
      </c>
      <c r="I41" s="63"/>
      <c r="J41" s="64" t="s">
        <v>432</v>
      </c>
      <c r="K41" s="63"/>
      <c r="L41" s="64" t="s">
        <v>433</v>
      </c>
      <c r="M41" s="63"/>
      <c r="N41" s="64" t="s">
        <v>434</v>
      </c>
      <c r="O41" s="63"/>
      <c r="P41" s="64" t="s">
        <v>435</v>
      </c>
      <c r="Q41" s="289"/>
    </row>
    <row r="42" spans="3:27" ht="16.5">
      <c r="C42" s="2"/>
      <c r="D42" s="383" t="s">
        <v>436</v>
      </c>
      <c r="E42" s="2"/>
      <c r="F42" s="2"/>
      <c r="G42" s="29"/>
      <c r="H42" s="3"/>
      <c r="I42" s="29"/>
      <c r="J42" s="3"/>
      <c r="K42" s="29"/>
      <c r="L42" s="3"/>
      <c r="M42" s="29"/>
      <c r="N42" s="3"/>
      <c r="O42" s="29"/>
      <c r="P42" s="3"/>
      <c r="Q42" s="29"/>
    </row>
    <row r="43" spans="3:27" ht="16.5">
      <c r="C43" s="2"/>
      <c r="D43" s="383" t="s">
        <v>437</v>
      </c>
      <c r="E43" s="2"/>
      <c r="F43" s="2"/>
      <c r="G43" s="29"/>
      <c r="H43" s="3"/>
      <c r="I43" s="29"/>
      <c r="J43" s="3"/>
      <c r="K43" s="29"/>
      <c r="L43" s="3"/>
      <c r="M43" s="29"/>
      <c r="N43" s="3"/>
      <c r="O43" s="29"/>
      <c r="P43" s="3"/>
      <c r="Q43" s="29"/>
    </row>
    <row r="44" spans="3:27" ht="16.5">
      <c r="C44" s="2"/>
      <c r="D44" s="383" t="s">
        <v>438</v>
      </c>
      <c r="E44" s="2"/>
      <c r="F44" s="2"/>
      <c r="G44" s="29"/>
      <c r="H44" s="3"/>
      <c r="I44" s="29"/>
      <c r="J44" s="3"/>
      <c r="K44" s="29"/>
      <c r="L44" s="3"/>
      <c r="M44" s="29"/>
      <c r="N44" s="3"/>
      <c r="O44" s="29"/>
      <c r="P44" s="3"/>
      <c r="Q44" s="29"/>
    </row>
    <row r="45" spans="3:27" ht="16.5">
      <c r="C45" s="2"/>
      <c r="D45" s="383" t="s">
        <v>439</v>
      </c>
      <c r="E45" s="2"/>
      <c r="F45" s="2"/>
      <c r="G45" s="29"/>
      <c r="H45" s="3"/>
      <c r="I45" s="29"/>
      <c r="J45" s="3"/>
      <c r="K45" s="29"/>
      <c r="L45" s="3"/>
      <c r="M45" s="29"/>
      <c r="N45" s="3"/>
      <c r="O45" s="29"/>
      <c r="P45" s="3"/>
      <c r="Q45" s="29"/>
    </row>
    <row r="46" spans="3:27" ht="16.5">
      <c r="C46" s="2"/>
      <c r="D46" s="383" t="s">
        <v>440</v>
      </c>
      <c r="E46" s="2"/>
      <c r="F46" s="2"/>
      <c r="G46" s="29"/>
      <c r="H46" s="3"/>
      <c r="I46" s="29"/>
      <c r="J46" s="3"/>
      <c r="K46" s="29"/>
      <c r="L46" s="3"/>
      <c r="M46" s="29"/>
      <c r="N46" s="3"/>
      <c r="O46" s="29"/>
      <c r="P46" s="3"/>
      <c r="Q46" s="29"/>
    </row>
    <row r="47" spans="3:27" ht="16.5">
      <c r="C47" s="2"/>
      <c r="D47" s="383"/>
      <c r="E47" s="2"/>
      <c r="F47" s="2"/>
      <c r="G47" s="29"/>
      <c r="H47" s="3"/>
      <c r="I47" s="29"/>
      <c r="J47" s="3"/>
      <c r="K47" s="29"/>
      <c r="L47" s="3"/>
      <c r="M47" s="29"/>
      <c r="N47" s="3"/>
      <c r="O47" s="29"/>
      <c r="P47" s="3"/>
      <c r="Q47" s="29"/>
    </row>
    <row r="48" spans="3:27" ht="16.5">
      <c r="G48" s="29"/>
      <c r="H48" s="3"/>
      <c r="I48" s="29"/>
      <c r="J48" s="3"/>
      <c r="K48" s="29"/>
      <c r="L48" s="3"/>
      <c r="M48" s="29"/>
      <c r="N48" s="3"/>
      <c r="O48" s="29"/>
      <c r="P48" s="3"/>
      <c r="Q48" s="29"/>
    </row>
    <row r="49" spans="7:17" ht="49.5" hidden="1">
      <c r="G49" s="30" t="s">
        <v>441</v>
      </c>
      <c r="H49" s="18" t="s">
        <v>442</v>
      </c>
      <c r="I49" s="30"/>
      <c r="J49" s="18" t="s">
        <v>443</v>
      </c>
      <c r="K49" s="30"/>
      <c r="L49" s="18" t="s">
        <v>444</v>
      </c>
      <c r="M49" s="30"/>
      <c r="N49" s="18" t="s">
        <v>445</v>
      </c>
      <c r="O49" s="30"/>
      <c r="P49" s="18" t="s">
        <v>446</v>
      </c>
      <c r="Q49" s="30"/>
    </row>
    <row r="50" spans="7:17" ht="33" hidden="1">
      <c r="G50" s="30"/>
      <c r="H50" s="18"/>
      <c r="I50" s="30"/>
      <c r="J50" s="18" t="s">
        <v>447</v>
      </c>
      <c r="K50" s="30"/>
      <c r="L50" s="18" t="s">
        <v>448</v>
      </c>
      <c r="M50" s="30"/>
      <c r="N50" s="18"/>
      <c r="O50" s="30"/>
      <c r="P50" s="18"/>
      <c r="Q50" s="30"/>
    </row>
    <row r="51" spans="7:17" ht="82.5" hidden="1">
      <c r="G51" s="30" t="s">
        <v>449</v>
      </c>
      <c r="H51" s="18" t="s">
        <v>450</v>
      </c>
      <c r="I51" s="30"/>
      <c r="J51" s="18" t="s">
        <v>451</v>
      </c>
      <c r="K51" s="30"/>
      <c r="L51" s="18" t="s">
        <v>452</v>
      </c>
      <c r="M51" s="30"/>
      <c r="N51" s="18" t="s">
        <v>453</v>
      </c>
      <c r="O51" s="30"/>
      <c r="P51" s="18" t="s">
        <v>454</v>
      </c>
      <c r="Q51" s="30"/>
    </row>
    <row r="52" spans="7:17" ht="33" hidden="1">
      <c r="G52" s="30"/>
      <c r="H52" s="18" t="s">
        <v>455</v>
      </c>
      <c r="I52" s="30"/>
      <c r="J52" s="18"/>
      <c r="K52" s="30"/>
      <c r="L52" s="18"/>
      <c r="M52" s="30"/>
      <c r="N52" s="18" t="s">
        <v>456</v>
      </c>
      <c r="O52" s="30"/>
      <c r="P52" s="18"/>
      <c r="Q52" s="30"/>
    </row>
    <row r="53" spans="7:17" ht="49.5" hidden="1">
      <c r="G53" s="30" t="s">
        <v>457</v>
      </c>
      <c r="H53" s="19"/>
      <c r="I53" s="17"/>
      <c r="J53" s="18" t="s">
        <v>458</v>
      </c>
      <c r="K53" s="30"/>
      <c r="L53" s="18"/>
      <c r="M53" s="30"/>
      <c r="N53" s="18"/>
      <c r="O53" s="30"/>
      <c r="P53" s="18"/>
      <c r="Q53" s="30"/>
    </row>
    <row r="54" spans="7:17" ht="49.5" hidden="1">
      <c r="G54" s="30"/>
      <c r="H54" s="18"/>
      <c r="I54" s="30"/>
      <c r="J54" s="18"/>
      <c r="K54" s="30"/>
      <c r="L54" s="18" t="s">
        <v>459</v>
      </c>
      <c r="M54" s="30"/>
      <c r="N54" s="19"/>
      <c r="O54" s="17"/>
      <c r="P54" s="18" t="s">
        <v>460</v>
      </c>
      <c r="Q54" s="30"/>
    </row>
    <row r="55" spans="7:17" ht="49.5" hidden="1">
      <c r="G55" s="30" t="s">
        <v>461</v>
      </c>
      <c r="H55" s="18" t="s">
        <v>462</v>
      </c>
      <c r="I55" s="30"/>
      <c r="J55" s="18" t="s">
        <v>463</v>
      </c>
      <c r="K55" s="30"/>
      <c r="L55" s="18" t="s">
        <v>464</v>
      </c>
      <c r="M55" s="30"/>
      <c r="N55" s="18" t="s">
        <v>465</v>
      </c>
      <c r="O55" s="30"/>
      <c r="P55" s="18" t="s">
        <v>466</v>
      </c>
      <c r="Q55" s="30"/>
    </row>
    <row r="56" spans="7:17" ht="33" hidden="1">
      <c r="G56" s="30"/>
      <c r="H56" s="18" t="s">
        <v>467</v>
      </c>
      <c r="I56" s="30"/>
      <c r="J56" s="18" t="s">
        <v>468</v>
      </c>
      <c r="K56" s="30"/>
      <c r="L56" s="18" t="s">
        <v>469</v>
      </c>
      <c r="M56" s="30"/>
      <c r="N56" s="18"/>
      <c r="O56" s="30"/>
      <c r="P56" s="18"/>
      <c r="Q56" s="30"/>
    </row>
    <row r="57" spans="7:17" ht="49.5" hidden="1">
      <c r="G57" s="31" t="s">
        <v>470</v>
      </c>
      <c r="H57" s="21" t="s">
        <v>471</v>
      </c>
      <c r="I57" s="31"/>
      <c r="J57" s="21" t="s">
        <v>472</v>
      </c>
      <c r="K57" s="31"/>
      <c r="L57" s="21" t="s">
        <v>473</v>
      </c>
      <c r="M57" s="31"/>
      <c r="N57" s="21" t="s">
        <v>474</v>
      </c>
      <c r="O57" s="31"/>
      <c r="P57" s="21" t="s">
        <v>475</v>
      </c>
      <c r="Q57" s="31"/>
    </row>
    <row r="58" spans="7:17" ht="66" hidden="1">
      <c r="G58" s="31"/>
      <c r="H58" s="21"/>
      <c r="I58" s="31"/>
      <c r="J58" s="21"/>
      <c r="K58" s="31"/>
      <c r="L58" s="21" t="s">
        <v>476</v>
      </c>
      <c r="M58" s="31"/>
      <c r="N58" s="21"/>
      <c r="O58" s="31"/>
      <c r="P58" s="21"/>
      <c r="Q58" s="31"/>
    </row>
    <row r="59" spans="7:17" ht="16.5">
      <c r="G59" s="29"/>
      <c r="H59" s="3"/>
      <c r="I59" s="29"/>
      <c r="J59" s="3"/>
      <c r="K59" s="29"/>
      <c r="L59" s="3"/>
      <c r="M59" s="29"/>
      <c r="N59" s="3"/>
      <c r="O59" s="29"/>
      <c r="P59" s="3"/>
      <c r="Q59" s="29"/>
    </row>
  </sheetData>
  <autoFilter ref="C7:AA9" xr:uid="{E3300391-FF53-4F3E-9A43-4734E6A5F3A5}"/>
  <mergeCells count="32">
    <mergeCell ref="B2:F2"/>
    <mergeCell ref="I7:I9"/>
    <mergeCell ref="K7:K9"/>
    <mergeCell ref="M7:M9"/>
    <mergeCell ref="O7:O9"/>
    <mergeCell ref="C7:C9"/>
    <mergeCell ref="D7:D9"/>
    <mergeCell ref="E7:E9"/>
    <mergeCell ref="F7:F9"/>
    <mergeCell ref="G7:G9"/>
    <mergeCell ref="Q7:Q9"/>
    <mergeCell ref="S7:S9"/>
    <mergeCell ref="T7:X7"/>
    <mergeCell ref="Y7:Y9"/>
    <mergeCell ref="AA7:AA9"/>
    <mergeCell ref="Z7:Z9"/>
    <mergeCell ref="C37:C39"/>
    <mergeCell ref="D37:D39"/>
    <mergeCell ref="E37:E39"/>
    <mergeCell ref="C10:C13"/>
    <mergeCell ref="D10:D13"/>
    <mergeCell ref="E10:E13"/>
    <mergeCell ref="C27:C36"/>
    <mergeCell ref="D27:D36"/>
    <mergeCell ref="E27:E32"/>
    <mergeCell ref="C21:C23"/>
    <mergeCell ref="D21:D23"/>
    <mergeCell ref="E21:E23"/>
    <mergeCell ref="E33:E36"/>
    <mergeCell ref="E14:E20"/>
    <mergeCell ref="D14:D20"/>
    <mergeCell ref="C14:C20"/>
  </mergeCells>
  <phoneticPr fontId="6"/>
  <conditionalFormatting sqref="I10:I39 K10:K39 M10:M39 O10:O39">
    <cfRule type="containsText" dxfId="19" priority="7" operator="containsText" text="No">
      <formula>NOT(ISERROR(SEARCH("No",I10)))</formula>
    </cfRule>
  </conditionalFormatting>
  <conditionalFormatting sqref="I41 K41 M41 O41 Q41">
    <cfRule type="containsText" dxfId="18" priority="8" operator="containsText" text="No">
      <formula>NOT(ISERROR(SEARCH("No",I41)))</formula>
    </cfRule>
  </conditionalFormatting>
  <conditionalFormatting sqref="Q10:Q39">
    <cfRule type="containsText" dxfId="17" priority="1" operator="containsText" text="No">
      <formula>NOT(ISERROR(SEARCH("No",Q10)))</formula>
    </cfRule>
  </conditionalFormatting>
  <conditionalFormatting sqref="S10:X39 AA10:AA39">
    <cfRule type="containsText" dxfId="16" priority="24" operator="containsText" text="No">
      <formula>NOT(ISERROR(SEARCH("No",S10)))</formula>
    </cfRule>
  </conditionalFormatting>
  <dataValidations count="1">
    <dataValidation type="list" allowBlank="1" showInputMessage="1" showErrorMessage="1" sqref="O10:O39 M10:M39 K10:K39 I10:I39 Q10:Q39" xr:uid="{BCF6ADB1-8548-4C96-B9FF-FB7F14C36A4D}">
      <formula1>"Yes, No"</formula1>
    </dataValidation>
  </dataValidations>
  <pageMargins left="0.70866141732283472" right="0.70866141732283472" top="0.74803149606299213" bottom="0.74803149606299213" header="0.31496062992125984" footer="0.31496062992125984"/>
  <pageSetup paperSize="8" scale="43" orientation="landscape" r:id="rId1"/>
  <rowBreaks count="1" manualBreakCount="1">
    <brk id="26" max="16" man="1"/>
  </rowBreaks>
  <extLst>
    <ext xmlns:x14="http://schemas.microsoft.com/office/spreadsheetml/2009/9/main" uri="{78C0D931-6437-407d-A8EE-F0AAD7539E65}">
      <x14:conditionalFormattings>
        <x14:conditionalFormatting xmlns:xm="http://schemas.microsoft.com/office/excel/2006/main">
          <x14:cfRule type="containsText" priority="17" operator="containsText" id="{A841468A-14CE-4B40-87BC-8866A8B6EFC0}">
            <xm:f>NOT(ISERROR(SEARCH("-",S10)))</xm:f>
            <xm:f>"-"</xm:f>
            <x14:dxf>
              <fill>
                <patternFill>
                  <bgColor theme="0" tint="-0.24994659260841701"/>
                </patternFill>
              </fill>
            </x14:dxf>
          </x14:cfRule>
          <xm:sqref>S10:X39 AA10:AA39</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56201-8541-4174-BBED-8E2735A7EB96}">
  <sheetPr codeName="Sheet8"/>
  <dimension ref="B2:K74"/>
  <sheetViews>
    <sheetView topLeftCell="A5" zoomScale="70" zoomScaleNormal="70" workbookViewId="0">
      <pane ySplit="2" topLeftCell="A8" activePane="bottomLeft" state="frozen"/>
      <selection pane="bottomLeft" activeCell="I8" sqref="I8"/>
      <selection activeCell="A5" sqref="A5"/>
    </sheetView>
  </sheetViews>
  <sheetFormatPr defaultColWidth="8.85546875" defaultRowHeight="14.45"/>
  <cols>
    <col min="1" max="1" width="1.7109375" customWidth="1"/>
    <col min="3" max="3" width="15.140625" bestFit="1" customWidth="1"/>
    <col min="4" max="4" width="32.42578125" hidden="1" customWidth="1"/>
    <col min="5" max="5" width="22.140625" hidden="1" customWidth="1"/>
    <col min="6" max="6" width="14.42578125" customWidth="1"/>
    <col min="7" max="8" width="12" customWidth="1"/>
    <col min="9" max="9" width="94.140625" customWidth="1"/>
    <col min="10" max="10" width="10.140625" style="22" customWidth="1"/>
    <col min="11" max="11" width="66.28515625" customWidth="1"/>
  </cols>
  <sheetData>
    <row r="2" spans="2:11" ht="16.5">
      <c r="B2" s="1" t="s">
        <v>477</v>
      </c>
      <c r="C2" s="2"/>
      <c r="D2" s="2"/>
      <c r="E2" s="2"/>
      <c r="F2" s="2"/>
      <c r="G2" s="2"/>
      <c r="H2" s="2"/>
      <c r="I2" s="3"/>
      <c r="J2" s="29"/>
      <c r="K2" s="2"/>
    </row>
    <row r="3" spans="2:11" ht="16.5">
      <c r="B3" s="4"/>
      <c r="C3" s="2" t="s">
        <v>229</v>
      </c>
      <c r="D3" s="2"/>
      <c r="E3" s="2"/>
      <c r="F3" s="2"/>
      <c r="G3" s="2"/>
      <c r="H3" s="2"/>
      <c r="I3" s="3"/>
      <c r="J3" s="29"/>
      <c r="K3" s="2"/>
    </row>
    <row r="4" spans="2:11" ht="16.5">
      <c r="B4" s="5"/>
      <c r="C4" s="2" t="s">
        <v>232</v>
      </c>
      <c r="D4" s="2"/>
      <c r="E4" s="2"/>
      <c r="F4" s="7"/>
      <c r="G4" s="7"/>
      <c r="H4" s="7"/>
      <c r="I4" s="25"/>
      <c r="J4" s="6"/>
      <c r="K4" s="2"/>
    </row>
    <row r="5" spans="2:11" ht="16.5">
      <c r="B5" s="2"/>
      <c r="C5" s="2"/>
      <c r="D5" s="2"/>
      <c r="E5" s="7"/>
      <c r="F5" s="3"/>
      <c r="G5" s="3"/>
      <c r="H5" s="3"/>
      <c r="I5" s="3"/>
      <c r="J5" s="29"/>
      <c r="K5" s="2"/>
    </row>
    <row r="6" spans="2:11" ht="36.6" customHeight="1">
      <c r="B6" s="2"/>
      <c r="C6" s="74" t="s">
        <v>144</v>
      </c>
      <c r="D6" s="73" t="s">
        <v>478</v>
      </c>
      <c r="E6" s="73" t="s">
        <v>479</v>
      </c>
      <c r="F6" s="74" t="s">
        <v>52</v>
      </c>
      <c r="G6" s="73" t="s">
        <v>8</v>
      </c>
      <c r="H6" s="73" t="s">
        <v>480</v>
      </c>
      <c r="I6" s="74" t="s">
        <v>481</v>
      </c>
      <c r="J6" s="74" t="s">
        <v>242</v>
      </c>
      <c r="K6" s="2"/>
    </row>
    <row r="7" spans="2:11" ht="74.45" customHeight="1">
      <c r="C7" s="547" t="s">
        <v>148</v>
      </c>
      <c r="D7" s="547" t="s">
        <v>482</v>
      </c>
      <c r="E7" s="547" t="s">
        <v>483</v>
      </c>
      <c r="F7" s="570" t="s">
        <v>66</v>
      </c>
      <c r="G7" s="51" t="str">
        <f>IF(H7=1,"C",IF(H7=2,"B-",IF(H7=3,"B",IF(H7=4,"B+",IF(H7=5,"A")))))</f>
        <v>C</v>
      </c>
      <c r="H7" s="10">
        <v>1</v>
      </c>
      <c r="I7" s="11" t="str">
        <f>'Safety overall result'!H12</f>
        <v>Issuing injury report with SBU's support.
(Safety Manager)</v>
      </c>
      <c r="J7" s="12"/>
    </row>
    <row r="8" spans="2:11" ht="74.45" customHeight="1">
      <c r="C8" s="548"/>
      <c r="D8" s="548"/>
      <c r="E8" s="548"/>
      <c r="F8" s="570"/>
      <c r="G8" s="10" t="str">
        <f t="shared" ref="G8:G57" si="0">IF(H8=1,"C",IF(H8=2,"B-",IF(H8=3,"B",IF(H8=4,"B+",IF(H8=5,"A")))))</f>
        <v>B-</v>
      </c>
      <c r="H8" s="10">
        <v>2</v>
      </c>
      <c r="I8" s="11" t="str">
        <f>'Safety overall result'!J12</f>
        <v>Injury report is issued by plant, but there was a delay in the due date in the guideline.
(Safety Manager)</v>
      </c>
      <c r="J8" s="12"/>
    </row>
    <row r="9" spans="2:11" ht="74.45" customHeight="1">
      <c r="C9" s="548"/>
      <c r="D9" s="548"/>
      <c r="E9" s="548"/>
      <c r="F9" s="570"/>
      <c r="G9" s="10" t="str">
        <f t="shared" si="0"/>
        <v>B</v>
      </c>
      <c r="H9" s="10">
        <v>3</v>
      </c>
      <c r="I9" s="11" t="str">
        <f>'Safety overall result'!L12</f>
        <v>Injury report is issued by plant, within the due date that is standardized in the guideline. 
And root cause analysis and its countermeasure has been completed and these report is issued within the due date as the guideline.
(Safety Manager)</v>
      </c>
      <c r="J9" s="12"/>
    </row>
    <row r="10" spans="2:11" ht="74.45" customHeight="1">
      <c r="C10" s="548"/>
      <c r="D10" s="548"/>
      <c r="E10" s="548"/>
      <c r="F10" s="570"/>
      <c r="G10" s="10" t="str">
        <f t="shared" si="0"/>
        <v>B+</v>
      </c>
      <c r="H10" s="10">
        <v>4</v>
      </c>
      <c r="I10" s="11" t="str">
        <f>'Safety overall result'!N12</f>
        <v>Injury report is issued by plant, within the due date that is standardized in the guideline. 
And root cause analysis and its countermeasure has been completed and these report is issued within the due date as the guideline.
Also, the countermeasure has been spreaded to similar machines/tasks. After the countermeasure is compleated, the report to SBU has been issued. 
(Safety Manager)</v>
      </c>
      <c r="J10" s="12"/>
    </row>
    <row r="11" spans="2:11" ht="74.45" customHeight="1">
      <c r="C11" s="548"/>
      <c r="D11" s="548"/>
      <c r="E11" s="548"/>
      <c r="F11" s="570"/>
      <c r="G11" s="10" t="str">
        <f t="shared" si="0"/>
        <v>A</v>
      </c>
      <c r="H11" s="10">
        <v>5</v>
      </c>
      <c r="I11" s="11" t="str">
        <f>'Safety overall result'!P12</f>
        <v>Past countermeasures have been re-checked its implementation status periodically.
 *At least, need to check its progress within 1 year.
(Safety Manager)</v>
      </c>
      <c r="J11" s="12"/>
    </row>
    <row r="12" spans="2:11" ht="49.5">
      <c r="C12" s="548"/>
      <c r="D12" s="548"/>
      <c r="E12" s="548"/>
      <c r="F12" s="570" t="s">
        <v>73</v>
      </c>
      <c r="G12" s="12" t="str">
        <f t="shared" si="0"/>
        <v>C</v>
      </c>
      <c r="H12" s="12">
        <v>1</v>
      </c>
      <c r="I12" s="13" t="str">
        <f>'Safety overall result'!H13</f>
        <v>There is no plan for countermeasures from outside of plant.
 *"Countermeasure" in this part means that is issued from BSJ7310
(Safety Manager)</v>
      </c>
      <c r="J12" s="12"/>
    </row>
    <row r="13" spans="2:11" ht="49.5">
      <c r="C13" s="548"/>
      <c r="D13" s="548"/>
      <c r="E13" s="548"/>
      <c r="F13" s="570"/>
      <c r="G13" s="12" t="str">
        <f t="shared" si="0"/>
        <v>B-</v>
      </c>
      <c r="H13" s="12">
        <v>2</v>
      </c>
      <c r="I13" s="13" t="str">
        <f>'Safety overall result'!J13</f>
        <v>There is a plan for contermeasure, but there is a delay in the plan. 
 *No corrective plan for delay.
(Safety Manager)</v>
      </c>
      <c r="J13" s="12"/>
    </row>
    <row r="14" spans="2:11" ht="49.5">
      <c r="C14" s="548"/>
      <c r="D14" s="548"/>
      <c r="E14" s="548"/>
      <c r="F14" s="570"/>
      <c r="G14" s="12" t="str">
        <f t="shared" si="0"/>
        <v>B</v>
      </c>
      <c r="H14" s="12">
        <v>3</v>
      </c>
      <c r="I14" s="13" t="str">
        <f>'Safety overall result'!L13</f>
        <v>There is a plan for contermeasure, and it is on-going to the plan, but not yet completed.
Or, there is a delay but corrective plan has been made for it, and it is on-going.
(Safety Manager)</v>
      </c>
      <c r="J14" s="12"/>
    </row>
    <row r="15" spans="2:11" ht="33">
      <c r="C15" s="548"/>
      <c r="D15" s="548"/>
      <c r="E15" s="548"/>
      <c r="F15" s="570"/>
      <c r="G15" s="12" t="str">
        <f t="shared" si="0"/>
        <v>B+</v>
      </c>
      <c r="H15" s="12">
        <v>4</v>
      </c>
      <c r="I15" s="13" t="str">
        <f>'Safety overall result'!N13</f>
        <v>There is a plan for contermeasure, and progressing ahead of the plan, but not yet completed.
(Safety Manager)</v>
      </c>
      <c r="J15" s="12"/>
    </row>
    <row r="16" spans="2:11" ht="33">
      <c r="C16" s="549"/>
      <c r="D16" s="549"/>
      <c r="E16" s="549"/>
      <c r="F16" s="570"/>
      <c r="G16" s="12" t="str">
        <f t="shared" si="0"/>
        <v>A</v>
      </c>
      <c r="H16" s="12">
        <v>5</v>
      </c>
      <c r="I16" s="13" t="str">
        <f>'Safety overall result'!P13</f>
        <v>All contermeasures have been completed.
(Safety Manager)</v>
      </c>
      <c r="J16" s="12"/>
    </row>
    <row r="17" spans="3:10" ht="33">
      <c r="C17" s="547" t="s">
        <v>75</v>
      </c>
      <c r="D17" s="125"/>
      <c r="E17" s="125"/>
      <c r="F17" s="571" t="s">
        <v>289</v>
      </c>
      <c r="G17" s="12" t="str">
        <f t="shared" si="0"/>
        <v>C</v>
      </c>
      <c r="H17" s="12">
        <v>1</v>
      </c>
      <c r="I17" s="13" t="s">
        <v>290</v>
      </c>
      <c r="J17" s="12"/>
    </row>
    <row r="18" spans="3:10" ht="49.5">
      <c r="C18" s="548"/>
      <c r="D18" s="125"/>
      <c r="E18" s="125"/>
      <c r="F18" s="572"/>
      <c r="G18" s="12" t="str">
        <f t="shared" si="0"/>
        <v>B-</v>
      </c>
      <c r="H18" s="12">
        <v>2</v>
      </c>
      <c r="I18" s="13" t="s">
        <v>291</v>
      </c>
      <c r="J18" s="12"/>
    </row>
    <row r="19" spans="3:10" ht="49.5">
      <c r="C19" s="548"/>
      <c r="D19" s="125"/>
      <c r="E19" s="125"/>
      <c r="F19" s="572"/>
      <c r="G19" s="12" t="str">
        <f t="shared" si="0"/>
        <v>B</v>
      </c>
      <c r="H19" s="12">
        <v>3</v>
      </c>
      <c r="I19" s="13" t="s">
        <v>292</v>
      </c>
      <c r="J19" s="12"/>
    </row>
    <row r="20" spans="3:10" ht="49.5">
      <c r="C20" s="548"/>
      <c r="D20" s="125"/>
      <c r="E20" s="125"/>
      <c r="F20" s="572"/>
      <c r="G20" s="12" t="str">
        <f t="shared" si="0"/>
        <v>B+</v>
      </c>
      <c r="H20" s="12">
        <v>4</v>
      </c>
      <c r="I20" s="13" t="s">
        <v>293</v>
      </c>
      <c r="J20" s="12"/>
    </row>
    <row r="21" spans="3:10" ht="49.5">
      <c r="C21" s="548"/>
      <c r="D21" s="125"/>
      <c r="E21" s="125"/>
      <c r="F21" s="573"/>
      <c r="G21" s="12" t="str">
        <f t="shared" si="0"/>
        <v>A</v>
      </c>
      <c r="H21" s="12">
        <v>5</v>
      </c>
      <c r="I21" s="13" t="s">
        <v>294</v>
      </c>
      <c r="J21" s="12"/>
    </row>
    <row r="22" spans="3:10" ht="33">
      <c r="C22" s="548"/>
      <c r="D22" s="125"/>
      <c r="E22" s="125"/>
      <c r="F22" s="571" t="s">
        <v>295</v>
      </c>
      <c r="G22" s="12" t="str">
        <f t="shared" si="0"/>
        <v>C</v>
      </c>
      <c r="H22" s="12">
        <v>1</v>
      </c>
      <c r="I22" s="13" t="s">
        <v>296</v>
      </c>
      <c r="J22" s="12"/>
    </row>
    <row r="23" spans="3:10" ht="49.5">
      <c r="C23" s="548"/>
      <c r="D23" s="125"/>
      <c r="E23" s="125"/>
      <c r="F23" s="572"/>
      <c r="G23" s="12" t="str">
        <f t="shared" si="0"/>
        <v>B-</v>
      </c>
      <c r="H23" s="12">
        <v>2</v>
      </c>
      <c r="I23" s="13" t="s">
        <v>297</v>
      </c>
      <c r="J23" s="12"/>
    </row>
    <row r="24" spans="3:10" ht="49.5">
      <c r="C24" s="548"/>
      <c r="D24" s="125"/>
      <c r="E24" s="125"/>
      <c r="F24" s="572"/>
      <c r="G24" s="12" t="str">
        <f t="shared" si="0"/>
        <v>B</v>
      </c>
      <c r="H24" s="12">
        <v>3</v>
      </c>
      <c r="I24" s="13" t="s">
        <v>298</v>
      </c>
      <c r="J24" s="12"/>
    </row>
    <row r="25" spans="3:10" ht="33">
      <c r="C25" s="548"/>
      <c r="D25" s="125"/>
      <c r="E25" s="125"/>
      <c r="F25" s="572"/>
      <c r="G25" s="12" t="str">
        <f t="shared" si="0"/>
        <v>B+</v>
      </c>
      <c r="H25" s="12">
        <v>4</v>
      </c>
      <c r="I25" s="13" t="s">
        <v>299</v>
      </c>
      <c r="J25" s="12"/>
    </row>
    <row r="26" spans="3:10" ht="33">
      <c r="C26" s="549"/>
      <c r="D26" s="125"/>
      <c r="E26" s="125"/>
      <c r="F26" s="573"/>
      <c r="G26" s="12" t="str">
        <f t="shared" si="0"/>
        <v>A</v>
      </c>
      <c r="H26" s="12">
        <v>5</v>
      </c>
      <c r="I26" s="13" t="s">
        <v>300</v>
      </c>
      <c r="J26" s="12"/>
    </row>
    <row r="27" spans="3:10" ht="33">
      <c r="C27" s="553" t="s">
        <v>91</v>
      </c>
      <c r="D27" s="553" t="s">
        <v>484</v>
      </c>
      <c r="E27" s="553" t="s">
        <v>485</v>
      </c>
      <c r="F27" s="553" t="s">
        <v>94</v>
      </c>
      <c r="G27" s="74" t="str">
        <f t="shared" si="0"/>
        <v>C</v>
      </c>
      <c r="H27" s="74">
        <v>1</v>
      </c>
      <c r="I27" s="14" t="str">
        <f>'Safety overall result'!H21</f>
        <v>Safety policy/target has not been issued.
(Safety Manager)</v>
      </c>
      <c r="J27" s="28"/>
    </row>
    <row r="28" spans="3:10" ht="49.5">
      <c r="C28" s="553"/>
      <c r="D28" s="553"/>
      <c r="E28" s="553"/>
      <c r="F28" s="553"/>
      <c r="G28" s="74" t="str">
        <f t="shared" si="0"/>
        <v>A</v>
      </c>
      <c r="H28" s="74">
        <v>5</v>
      </c>
      <c r="I28" s="15" t="str">
        <f>'Safety overall result'!P21</f>
        <v>There is evidence of OH&amp;S benchmarking with other sites.
(System: Safety Manager: No.123)
(Mgr + SV)</v>
      </c>
      <c r="J28" s="28"/>
    </row>
    <row r="29" spans="3:10" ht="49.5">
      <c r="C29" s="553"/>
      <c r="D29" s="553"/>
      <c r="E29" s="553"/>
      <c r="F29" s="74" t="s">
        <v>96</v>
      </c>
      <c r="G29" s="74" t="str">
        <f t="shared" si="0"/>
        <v>C</v>
      </c>
      <c r="H29" s="74">
        <v>1</v>
      </c>
      <c r="I29" s="14" t="str">
        <f>'Safety overall result'!H22</f>
        <v>There is no implementation plan for safety.
(Safety Manager)</v>
      </c>
      <c r="J29" s="28"/>
    </row>
    <row r="30" spans="3:10" ht="33">
      <c r="C30" s="553"/>
      <c r="D30" s="553"/>
      <c r="E30" s="553"/>
      <c r="F30" s="553" t="s">
        <v>98</v>
      </c>
      <c r="G30" s="74" t="str">
        <f t="shared" si="0"/>
        <v>C</v>
      </c>
      <c r="H30" s="74">
        <v>1</v>
      </c>
      <c r="I30" s="15" t="str">
        <f>'Safety overall result'!H23</f>
        <v>Internal/external audit has not been conducted.
(Safety Manager)</v>
      </c>
      <c r="J30" s="74"/>
    </row>
    <row r="31" spans="3:10" ht="49.5">
      <c r="C31" s="553"/>
      <c r="D31" s="553"/>
      <c r="E31" s="553"/>
      <c r="F31" s="553"/>
      <c r="G31" s="74" t="str">
        <f t="shared" si="0"/>
        <v>B-</v>
      </c>
      <c r="H31" s="74">
        <v>2</v>
      </c>
      <c r="I31" s="15" t="str">
        <f>'Safety overall result'!J23</f>
        <v>Internal audit has been conducted, and its report could be found. But, it is not enough to follow up the findings.
(System: Safety Manager: No.47)</v>
      </c>
      <c r="J31" s="74"/>
    </row>
    <row r="32" spans="3:10" ht="33">
      <c r="C32" s="553"/>
      <c r="D32" s="553"/>
      <c r="E32" s="553"/>
      <c r="F32" s="553"/>
      <c r="G32" s="74" t="str">
        <f t="shared" si="0"/>
        <v>B</v>
      </c>
      <c r="H32" s="74">
        <v>3</v>
      </c>
      <c r="I32" s="15" t="str">
        <f>'Safety overall result'!L23</f>
        <v>Items/Non-Conformities pointed out at the internal audits were improved or planed to improve them.
(System: Safety Manager: No.77)</v>
      </c>
      <c r="J32" s="74"/>
    </row>
    <row r="33" spans="3:11" ht="33">
      <c r="C33" s="553"/>
      <c r="D33" s="553"/>
      <c r="E33" s="553"/>
      <c r="F33" s="553"/>
      <c r="G33" s="74" t="str">
        <f t="shared" si="0"/>
        <v>B+</v>
      </c>
      <c r="H33" s="74">
        <v>4</v>
      </c>
      <c r="I33" s="15" t="str">
        <f>'Safety overall result'!N23</f>
        <v>OFIs found at last internal audit have been improved or have been planed to improve.
(System: Safety Manager: No.106)</v>
      </c>
      <c r="J33" s="74"/>
    </row>
    <row r="34" spans="3:11" ht="49.5">
      <c r="C34" s="553"/>
      <c r="D34" s="553"/>
      <c r="E34" s="553"/>
      <c r="F34" s="553"/>
      <c r="G34" s="74" t="str">
        <f t="shared" si="0"/>
        <v>A</v>
      </c>
      <c r="H34" s="74">
        <v>5</v>
      </c>
      <c r="I34" s="15" t="str">
        <f>'Safety overall result'!P23</f>
        <v>Regarding the safety management system in the plant, the H&amp;S manager can explain evaluation results by third party, feedback, and the actions.
(Organization: Safety Manager: No.20)</v>
      </c>
      <c r="J34" s="74"/>
    </row>
    <row r="35" spans="3:11" ht="33">
      <c r="C35" s="553" t="s">
        <v>192</v>
      </c>
      <c r="D35" s="574" t="s">
        <v>486</v>
      </c>
      <c r="E35" s="547" t="s">
        <v>487</v>
      </c>
      <c r="F35" s="570" t="s">
        <v>107</v>
      </c>
      <c r="G35" s="12" t="str">
        <f t="shared" si="0"/>
        <v>B-</v>
      </c>
      <c r="H35" s="12">
        <v>2</v>
      </c>
      <c r="I35" s="11" t="str">
        <f>'Safety overall result'!J27</f>
        <v>All teammates are taking BSFA training more than annually, but the material is not the latest version.
(Safety Manager)</v>
      </c>
      <c r="J35" s="12"/>
    </row>
    <row r="36" spans="3:11" ht="82.5">
      <c r="C36" s="553"/>
      <c r="D36" s="574"/>
      <c r="E36" s="548"/>
      <c r="F36" s="570"/>
      <c r="G36" s="12" t="str">
        <f t="shared" si="0"/>
        <v>B</v>
      </c>
      <c r="H36" s="12">
        <v>3</v>
      </c>
      <c r="I36" s="11" t="str">
        <f>'Safety overall result'!L27</f>
        <v>All teammates are taking BSFA training more than annually, and the material is the latest version.
 *Confirm the the material and training records
 *In case that the material is not updated, if the site have a plan for the training, this item could be judged "Yes".
(Safety Manager)</v>
      </c>
      <c r="J36" s="12"/>
      <c r="K36" s="324"/>
    </row>
    <row r="37" spans="3:11" ht="49.5">
      <c r="C37" s="553"/>
      <c r="D37" s="574"/>
      <c r="E37" s="548"/>
      <c r="F37" s="570"/>
      <c r="G37" s="12" t="str">
        <f t="shared" si="0"/>
        <v>B+</v>
      </c>
      <c r="H37" s="12">
        <v>4</v>
      </c>
      <c r="I37" s="11" t="str">
        <f>'Safety overall result'!N27</f>
        <v>After the BSFA training, all teammates' understandings are validated in GENBA situation by manager or supervisor.
(Safety Manager)</v>
      </c>
      <c r="J37" s="12"/>
      <c r="K37" s="48"/>
    </row>
    <row r="38" spans="3:11" ht="49.5">
      <c r="C38" s="553"/>
      <c r="D38" s="574"/>
      <c r="E38" s="548"/>
      <c r="F38" s="570"/>
      <c r="G38" s="12" t="str">
        <f t="shared" si="0"/>
        <v>A</v>
      </c>
      <c r="H38" s="12">
        <v>5</v>
      </c>
      <c r="I38" s="11" t="str">
        <f>'Safety overall result'!P27</f>
        <v>After the BSFA training, all teammates' understandings are validated in GENBA situation by manager or supervisor, and all teammates could answer correctly. 
(Safety Manager)</v>
      </c>
      <c r="J38" s="12"/>
    </row>
    <row r="39" spans="3:11" ht="66">
      <c r="C39" s="553"/>
      <c r="D39" s="574"/>
      <c r="E39" s="548"/>
      <c r="F39" s="74" t="s">
        <v>109</v>
      </c>
      <c r="G39" s="74" t="str">
        <f t="shared" si="0"/>
        <v>A</v>
      </c>
      <c r="H39" s="74">
        <v>5</v>
      </c>
      <c r="I39" s="9" t="str">
        <f>'Safety overall result'!P28</f>
        <v>The best practices on 3S have been gathered from other plants/industry, and it has been incorporated into the site procedure. or There is a evidence of the comparison with other plants.
(System: Safety Manager: No.133)
(Safety manager)</v>
      </c>
      <c r="J39" s="24"/>
    </row>
    <row r="40" spans="3:11" ht="33">
      <c r="C40" s="553"/>
      <c r="D40" s="574"/>
      <c r="E40" s="548"/>
      <c r="F40" s="570" t="s">
        <v>120</v>
      </c>
      <c r="G40" s="12" t="str">
        <f t="shared" si="0"/>
        <v>C</v>
      </c>
      <c r="H40" s="12">
        <v>1</v>
      </c>
      <c r="I40" s="13" t="str">
        <f>'Safety overall result'!H32</f>
        <v>4M change process is standardized/documented at the site.
(Safety Manager)</v>
      </c>
      <c r="J40" s="77"/>
    </row>
    <row r="41" spans="3:11" ht="49.5">
      <c r="C41" s="553"/>
      <c r="D41" s="574"/>
      <c r="E41" s="548"/>
      <c r="F41" s="570"/>
      <c r="G41" s="12" t="str">
        <f t="shared" si="0"/>
        <v>B-</v>
      </c>
      <c r="H41" s="12">
        <v>2</v>
      </c>
      <c r="I41" s="13" t="str">
        <f>'Safety overall result'!J32</f>
        <v>4M change process is standardized/documented at the site, and EHS manager confirm/approve it as a system.
(Safety Manager)</v>
      </c>
      <c r="J41" s="77"/>
    </row>
    <row r="42" spans="3:11" ht="66">
      <c r="C42" s="553"/>
      <c r="D42" s="574"/>
      <c r="E42" s="548"/>
      <c r="F42" s="570"/>
      <c r="G42" s="12" t="str">
        <f t="shared" si="0"/>
        <v>B</v>
      </c>
      <c r="H42" s="12">
        <v>3</v>
      </c>
      <c r="I42" s="13" t="str">
        <f>'Safety overall result'!L32</f>
        <v>In 4M change process, RA before/after the change by EHS team is standardized, and could see the evidence.
 *at leastt one example should be validated
(Safety Manager)</v>
      </c>
      <c r="J42" s="77"/>
    </row>
    <row r="43" spans="3:11" ht="33">
      <c r="C43" s="553"/>
      <c r="D43" s="574"/>
      <c r="E43" s="548"/>
      <c r="F43" s="570"/>
      <c r="G43" s="12" t="str">
        <f t="shared" si="0"/>
        <v>B+</v>
      </c>
      <c r="H43" s="12">
        <v>4</v>
      </c>
      <c r="I43" s="13" t="str">
        <f>'Safety overall result'!N32</f>
        <v>The changing point is valiadted not only by documents documents or pictures, but by GENBA validation.
(Safety Manager)</v>
      </c>
      <c r="J43" s="77"/>
    </row>
    <row r="44" spans="3:11" ht="33">
      <c r="C44" s="553"/>
      <c r="D44" s="574"/>
      <c r="E44" s="549"/>
      <c r="F44" s="570"/>
      <c r="G44" s="12" t="str">
        <f t="shared" si="0"/>
        <v>A</v>
      </c>
      <c r="H44" s="12">
        <v>5</v>
      </c>
      <c r="I44" s="13" t="str">
        <f>'Safety overall result'!P32</f>
        <v>After the change, EHS team confirm whether there is any problem or not as intial management.
(Safety manager)</v>
      </c>
      <c r="J44" s="77"/>
    </row>
    <row r="45" spans="3:11" ht="33">
      <c r="C45" s="553"/>
      <c r="D45" s="574"/>
      <c r="E45" s="553" t="s">
        <v>488</v>
      </c>
      <c r="F45" s="570" t="s">
        <v>122</v>
      </c>
      <c r="G45" s="12" t="str">
        <f t="shared" si="0"/>
        <v>C</v>
      </c>
      <c r="H45" s="12">
        <v>1</v>
      </c>
      <c r="I45" s="13" t="str">
        <f>'Safety overall result'!H33</f>
        <v>There is no IIP for Safety.
(Safety Manager)</v>
      </c>
      <c r="J45" s="12"/>
    </row>
    <row r="46" spans="3:11" ht="49.5">
      <c r="C46" s="553"/>
      <c r="D46" s="574"/>
      <c r="E46" s="553"/>
      <c r="F46" s="570"/>
      <c r="G46" s="12" t="str">
        <f t="shared" si="0"/>
        <v>B-</v>
      </c>
      <c r="H46" s="12">
        <v>2</v>
      </c>
      <c r="I46" s="13" t="str">
        <f>'Safety overall result'!J33</f>
        <v>Safety IIP is issued only by top-management  and safety committee, and the plan is deployed in plant. 
Or, the plan is approved by plant manager and issued in plant, but it was deployed not all department.
(Safety Manager)</v>
      </c>
      <c r="J46" s="12"/>
    </row>
    <row r="47" spans="3:11" ht="33">
      <c r="C47" s="553"/>
      <c r="D47" s="574"/>
      <c r="E47" s="553"/>
      <c r="F47" s="570"/>
      <c r="G47" s="12" t="str">
        <f t="shared" si="0"/>
        <v>B</v>
      </c>
      <c r="H47" s="12">
        <v>3</v>
      </c>
      <c r="I47" s="13" t="str">
        <f>'Safety overall result'!L33</f>
        <v>Safety IIP is approved by plant manager and safety committee, and it was deployed into all department.
(Safety Manager)</v>
      </c>
      <c r="J47" s="12"/>
    </row>
    <row r="48" spans="3:11" ht="33">
      <c r="C48" s="553" t="s">
        <v>130</v>
      </c>
      <c r="D48" s="553" t="s">
        <v>489</v>
      </c>
      <c r="E48" s="553" t="s">
        <v>490</v>
      </c>
      <c r="F48" s="570" t="s">
        <v>133</v>
      </c>
      <c r="G48" s="12" t="str">
        <f t="shared" si="0"/>
        <v>C</v>
      </c>
      <c r="H48" s="12">
        <v>1</v>
      </c>
      <c r="I48" s="11" t="str">
        <f>'Safety overall result'!H37</f>
        <v>There is a EHS manager.
(Safety manager)</v>
      </c>
      <c r="J48" s="12"/>
    </row>
    <row r="49" spans="3:10" ht="33">
      <c r="C49" s="553"/>
      <c r="D49" s="553"/>
      <c r="E49" s="553"/>
      <c r="F49" s="570"/>
      <c r="G49" s="12" t="str">
        <f t="shared" si="0"/>
        <v>B-</v>
      </c>
      <c r="H49" s="12">
        <v>2</v>
      </c>
      <c r="I49" s="11" t="str">
        <f>'Safety overall result'!J37</f>
        <v>There is a EHS manager but he/she has multiple role.
(Safety manager)</v>
      </c>
      <c r="J49" s="12"/>
    </row>
    <row r="50" spans="3:10" ht="66">
      <c r="C50" s="553"/>
      <c r="D50" s="553"/>
      <c r="E50" s="553"/>
      <c r="F50" s="570"/>
      <c r="G50" s="12" t="str">
        <f t="shared" si="0"/>
        <v>B</v>
      </c>
      <c r="H50" s="12">
        <v>3</v>
      </c>
      <c r="I50" s="11" t="str">
        <f>'Safety overall result'!L37</f>
        <v>Safety/DP Manager's role is exclusive duty in plant. (Safety/DP Manager is managing only safety and DP, and no any other jobs are assigned.)
And, a safety staff is asigned in plant.
(Safety Manager)</v>
      </c>
      <c r="J50" s="12"/>
    </row>
    <row r="51" spans="3:10" ht="66">
      <c r="C51" s="553"/>
      <c r="D51" s="553"/>
      <c r="E51" s="553"/>
      <c r="F51" s="570"/>
      <c r="G51" s="12" t="str">
        <f t="shared" si="0"/>
        <v>B+</v>
      </c>
      <c r="H51" s="12">
        <v>4</v>
      </c>
      <c r="I51" s="11" t="str">
        <f>'Safety overall result'!N37</f>
        <v>Safety/DP Manager's role is exclusive duty in plant. (Safety/DP Manager is managing only safety and DP, and no any other jobs are assigned.)
And, a safety staff's role also exclusive duty.
(Safety Manager)</v>
      </c>
      <c r="J51" s="12"/>
    </row>
    <row r="52" spans="3:10" ht="66">
      <c r="C52" s="553"/>
      <c r="D52" s="553"/>
      <c r="E52" s="553"/>
      <c r="F52" s="570"/>
      <c r="G52" s="12" t="str">
        <f t="shared" si="0"/>
        <v>A</v>
      </c>
      <c r="H52" s="12">
        <v>5</v>
      </c>
      <c r="I52" s="11" t="str">
        <f>'Safety overall result'!P37</f>
        <v>Safety/DP Manager's role is exclusive duty in plant. (Safety/DP Manager is managing only safety and DP, and no any other jobs are assigned.)
And, his/her experiece is more than three years.
(Safety Manager)</v>
      </c>
      <c r="J52" s="12"/>
    </row>
    <row r="53" spans="3:10" ht="33">
      <c r="C53" s="553"/>
      <c r="D53" s="553"/>
      <c r="E53" s="553"/>
      <c r="F53" s="570" t="s">
        <v>135</v>
      </c>
      <c r="G53" s="12" t="str">
        <f t="shared" si="0"/>
        <v>C</v>
      </c>
      <c r="H53" s="12">
        <v>1</v>
      </c>
      <c r="I53" s="11" t="str">
        <f>'Safety overall result'!H38</f>
        <v>There is no Safety Engineer (SE).
(Safety Manager)</v>
      </c>
      <c r="J53" s="12"/>
    </row>
    <row r="54" spans="3:10" ht="33">
      <c r="C54" s="553"/>
      <c r="D54" s="553"/>
      <c r="E54" s="553"/>
      <c r="F54" s="570"/>
      <c r="G54" s="12" t="str">
        <f t="shared" si="0"/>
        <v>B-</v>
      </c>
      <c r="H54" s="12">
        <v>2</v>
      </c>
      <c r="I54" s="11" t="str">
        <f>'Safety overall result'!J38</f>
        <v>SE has certified by GBS/BSAPIC SBU with multiple roles.
(Safety Manager)</v>
      </c>
      <c r="J54" s="12"/>
    </row>
    <row r="55" spans="3:10" ht="49.5">
      <c r="C55" s="553"/>
      <c r="D55" s="553"/>
      <c r="E55" s="553"/>
      <c r="F55" s="570"/>
      <c r="G55" s="12" t="str">
        <f t="shared" si="0"/>
        <v>B</v>
      </c>
      <c r="H55" s="12">
        <v>3</v>
      </c>
      <c r="I55" s="11" t="str">
        <f>'Safety overall result'!L38</f>
        <v>There is a SE exclusive staff. 
(Certified and has only SE role)
(Safety Manager)</v>
      </c>
      <c r="J55" s="12"/>
    </row>
    <row r="56" spans="3:10" ht="49.5">
      <c r="C56" s="553"/>
      <c r="D56" s="553"/>
      <c r="E56" s="553"/>
      <c r="F56" s="570"/>
      <c r="G56" s="12" t="str">
        <f t="shared" si="0"/>
        <v>B+</v>
      </c>
      <c r="H56" s="12">
        <v>4</v>
      </c>
      <c r="I56" s="11" t="str">
        <f>'Safety overall result'!N38</f>
        <v>SE has a official license certified from International certifications e.g. CMSE, JIS, CE, ISO etc. for Machinery Safety expert  
(Safety Manager)</v>
      </c>
      <c r="J56" s="12"/>
    </row>
    <row r="57" spans="3:10" ht="33">
      <c r="C57" s="553"/>
      <c r="D57" s="553"/>
      <c r="E57" s="553"/>
      <c r="F57" s="570"/>
      <c r="G57" s="12" t="str">
        <f t="shared" si="0"/>
        <v>A</v>
      </c>
      <c r="H57" s="12">
        <v>5</v>
      </c>
      <c r="I57" s="11" t="str">
        <f>'Safety overall result'!P38</f>
        <v xml:space="preserve">There are SEs (two or more), and they do not have multiple role.
(Safety Manager) </v>
      </c>
      <c r="J57" s="12"/>
    </row>
    <row r="58" spans="3:10" ht="16.5">
      <c r="C58" s="2"/>
      <c r="D58" s="2"/>
      <c r="E58" s="2"/>
      <c r="F58" s="6"/>
      <c r="G58" s="6"/>
      <c r="H58" s="6"/>
      <c r="I58" s="3"/>
      <c r="J58" s="29"/>
    </row>
    <row r="59" spans="3:10" ht="16.5">
      <c r="C59" s="2"/>
      <c r="D59" s="2"/>
      <c r="E59" s="2"/>
      <c r="F59" s="6"/>
      <c r="G59" s="6"/>
      <c r="H59" s="6"/>
      <c r="I59" s="3"/>
      <c r="J59" s="29"/>
    </row>
    <row r="60" spans="3:10" ht="16.5">
      <c r="C60" s="2"/>
      <c r="D60" s="2"/>
      <c r="E60" s="2"/>
      <c r="F60" s="6"/>
      <c r="G60" s="6"/>
      <c r="H60" s="6"/>
      <c r="I60" s="3"/>
      <c r="J60" s="29"/>
    </row>
    <row r="61" spans="3:10" ht="16.5">
      <c r="C61" s="2"/>
      <c r="D61" s="2"/>
      <c r="E61" s="2"/>
      <c r="F61" s="6"/>
      <c r="G61" s="6"/>
      <c r="H61" s="6"/>
      <c r="I61" s="3"/>
      <c r="J61" s="29"/>
    </row>
    <row r="62" spans="3:10" ht="16.5">
      <c r="C62" s="2"/>
      <c r="D62" s="2"/>
      <c r="E62" s="2"/>
      <c r="F62" s="6"/>
      <c r="G62" s="6"/>
      <c r="H62" s="6"/>
      <c r="I62" s="3"/>
      <c r="J62" s="29"/>
    </row>
    <row r="63" spans="3:10" ht="16.5">
      <c r="F63" s="6"/>
      <c r="G63" s="6"/>
      <c r="H63" s="6"/>
      <c r="I63" s="3"/>
      <c r="J63" s="29"/>
    </row>
    <row r="64" spans="3:10" ht="16.5" hidden="1">
      <c r="F64" s="17" t="s">
        <v>441</v>
      </c>
      <c r="G64" s="17"/>
      <c r="H64" s="17"/>
      <c r="I64" s="18" t="s">
        <v>442</v>
      </c>
      <c r="J64" s="30"/>
    </row>
    <row r="65" spans="6:10" ht="16.5" hidden="1">
      <c r="F65" s="17"/>
      <c r="G65" s="17"/>
      <c r="H65" s="17"/>
      <c r="I65" s="18"/>
      <c r="J65" s="30"/>
    </row>
    <row r="66" spans="6:10" ht="16.5" hidden="1">
      <c r="F66" s="17" t="s">
        <v>449</v>
      </c>
      <c r="G66" s="17"/>
      <c r="H66" s="17"/>
      <c r="I66" s="18" t="s">
        <v>450</v>
      </c>
      <c r="J66" s="30"/>
    </row>
    <row r="67" spans="6:10" ht="16.5" hidden="1">
      <c r="F67" s="17"/>
      <c r="G67" s="17"/>
      <c r="H67" s="17"/>
      <c r="I67" s="18" t="s">
        <v>455</v>
      </c>
      <c r="J67" s="30"/>
    </row>
    <row r="68" spans="6:10" ht="16.5" hidden="1">
      <c r="F68" s="17" t="s">
        <v>457</v>
      </c>
      <c r="G68" s="17"/>
      <c r="H68" s="17"/>
      <c r="I68" s="19"/>
      <c r="J68" s="17"/>
    </row>
    <row r="69" spans="6:10" ht="16.5" hidden="1">
      <c r="F69" s="17"/>
      <c r="G69" s="17"/>
      <c r="H69" s="17"/>
      <c r="I69" s="18"/>
      <c r="J69" s="30"/>
    </row>
    <row r="70" spans="6:10" ht="16.5" hidden="1">
      <c r="F70" s="17" t="s">
        <v>461</v>
      </c>
      <c r="G70" s="17"/>
      <c r="H70" s="17"/>
      <c r="I70" s="18" t="s">
        <v>462</v>
      </c>
      <c r="J70" s="30"/>
    </row>
    <row r="71" spans="6:10" ht="16.5" hidden="1">
      <c r="F71" s="17"/>
      <c r="G71" s="17"/>
      <c r="H71" s="17"/>
      <c r="I71" s="18" t="s">
        <v>467</v>
      </c>
      <c r="J71" s="30"/>
    </row>
    <row r="72" spans="6:10" ht="33" hidden="1">
      <c r="F72" s="20" t="s">
        <v>470</v>
      </c>
      <c r="G72" s="20"/>
      <c r="H72" s="20"/>
      <c r="I72" s="21" t="s">
        <v>471</v>
      </c>
      <c r="J72" s="31"/>
    </row>
    <row r="73" spans="6:10" ht="16.5" hidden="1">
      <c r="F73" s="20"/>
      <c r="G73" s="20"/>
      <c r="H73" s="20"/>
      <c r="I73" s="21"/>
      <c r="J73" s="31"/>
    </row>
    <row r="74" spans="6:10" ht="16.5">
      <c r="F74" s="6"/>
      <c r="G74" s="6"/>
      <c r="H74" s="6"/>
      <c r="I74" s="3"/>
      <c r="J74" s="29"/>
    </row>
  </sheetData>
  <mergeCells count="25">
    <mergeCell ref="E45:E47"/>
    <mergeCell ref="C48:C57"/>
    <mergeCell ref="D48:D57"/>
    <mergeCell ref="E48:E57"/>
    <mergeCell ref="C35:C47"/>
    <mergeCell ref="D35:D47"/>
    <mergeCell ref="E35:E44"/>
    <mergeCell ref="E27:E34"/>
    <mergeCell ref="D27:D34"/>
    <mergeCell ref="C27:C34"/>
    <mergeCell ref="F7:F11"/>
    <mergeCell ref="F12:F16"/>
    <mergeCell ref="F27:F28"/>
    <mergeCell ref="F30:F34"/>
    <mergeCell ref="C7:C16"/>
    <mergeCell ref="D7:D16"/>
    <mergeCell ref="E7:E16"/>
    <mergeCell ref="F17:F21"/>
    <mergeCell ref="F22:F26"/>
    <mergeCell ref="C17:C26"/>
    <mergeCell ref="F45:F47"/>
    <mergeCell ref="F48:F52"/>
    <mergeCell ref="F53:F57"/>
    <mergeCell ref="F35:F38"/>
    <mergeCell ref="F40:F44"/>
  </mergeCells>
  <phoneticPr fontId="6"/>
  <conditionalFormatting sqref="L7:L57 J7:J57">
    <cfRule type="containsText" dxfId="14" priority="10" operator="containsText" text="No">
      <formula>NOT(ISERROR(SEARCH("No",J7)))</formula>
    </cfRule>
  </conditionalFormatting>
  <pageMargins left="0.7" right="0.7" top="0.75" bottom="0.75" header="0.3" footer="0.3"/>
  <pageSetup paperSize="8" scale="48" orientation="landscape" r:id="rId1"/>
  <rowBreaks count="1" manualBreakCount="1">
    <brk id="34" max="44" man="1"/>
  </rowBreaks>
  <extLst>
    <ext xmlns:x14="http://schemas.microsoft.com/office/spreadsheetml/2009/9/main" uri="{78C0D931-6437-407d-A8EE-F0AAD7539E65}">
      <x14:conditionalFormattings>
        <x14:conditionalFormatting xmlns:xm="http://schemas.microsoft.com/office/excel/2006/main">
          <x14:cfRule type="containsText" priority="9" operator="containsText" id="{3489DE8D-86CC-4EE6-9DEC-D8E6A4577A04}">
            <xm:f>NOT(ISERROR(SEARCH("-",L7)))</xm:f>
            <xm:f>"-"</xm:f>
            <x14:dxf>
              <fill>
                <patternFill>
                  <bgColor theme="0" tint="-0.24994659260841701"/>
                </patternFill>
              </fill>
            </x14:dxf>
          </x14:cfRule>
          <xm:sqref>L7:L57</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93210-B812-43DA-ABDE-0C1D90DBF18E}">
  <sheetPr codeName="Sheet9"/>
  <dimension ref="B2:K66"/>
  <sheetViews>
    <sheetView zoomScale="70" zoomScaleNormal="70" workbookViewId="0">
      <pane ySplit="6" topLeftCell="A7" activePane="bottomLeft" state="frozen"/>
      <selection pane="bottomLeft" activeCell="H7" sqref="H7:H50"/>
    </sheetView>
  </sheetViews>
  <sheetFormatPr defaultColWidth="8.85546875" defaultRowHeight="14.45"/>
  <cols>
    <col min="1" max="1" width="1.7109375" customWidth="1"/>
    <col min="3" max="3" width="15.140625" bestFit="1" customWidth="1"/>
    <col min="4" max="4" width="32.42578125" hidden="1" customWidth="1"/>
    <col min="5" max="5" width="22.140625" hidden="1" customWidth="1"/>
    <col min="6" max="6" width="17.42578125" customWidth="1"/>
    <col min="7" max="8" width="12" customWidth="1"/>
    <col min="9" max="9" width="84.5703125" customWidth="1"/>
    <col min="10" max="10" width="10.140625" style="22" customWidth="1"/>
    <col min="11" max="11" width="93.5703125" customWidth="1"/>
  </cols>
  <sheetData>
    <row r="2" spans="2:10" ht="16.5">
      <c r="B2" s="1" t="s">
        <v>477</v>
      </c>
      <c r="C2" s="2"/>
      <c r="D2" s="2"/>
      <c r="E2" s="2"/>
      <c r="F2" s="2"/>
      <c r="G2" s="2"/>
      <c r="H2" s="2"/>
      <c r="I2" s="3"/>
      <c r="J2" s="29"/>
    </row>
    <row r="3" spans="2:10" ht="16.5">
      <c r="B3" s="4"/>
      <c r="C3" s="2" t="s">
        <v>229</v>
      </c>
      <c r="D3" s="2"/>
      <c r="E3" s="2"/>
      <c r="F3" s="2"/>
      <c r="G3" s="2"/>
      <c r="H3" s="2"/>
      <c r="I3" s="3"/>
      <c r="J3" s="29"/>
    </row>
    <row r="4" spans="2:10" ht="16.5">
      <c r="B4" s="5"/>
      <c r="C4" s="2" t="s">
        <v>232</v>
      </c>
      <c r="D4" s="2"/>
      <c r="E4" s="2"/>
      <c r="F4" s="7"/>
      <c r="G4" s="7"/>
      <c r="H4" s="7"/>
      <c r="I4" s="25"/>
      <c r="J4" s="6"/>
    </row>
    <row r="5" spans="2:10" ht="16.5">
      <c r="B5" s="2"/>
      <c r="C5" s="2"/>
      <c r="D5" s="2"/>
      <c r="E5" s="7"/>
      <c r="F5" s="3"/>
      <c r="G5" s="3"/>
      <c r="H5" s="3"/>
      <c r="I5" s="3"/>
      <c r="J5" s="29"/>
    </row>
    <row r="6" spans="2:10" ht="38.450000000000003" customHeight="1">
      <c r="B6" s="2"/>
      <c r="C6" s="74" t="s">
        <v>144</v>
      </c>
      <c r="D6" s="73" t="s">
        <v>478</v>
      </c>
      <c r="E6" s="73" t="s">
        <v>479</v>
      </c>
      <c r="F6" s="74" t="s">
        <v>52</v>
      </c>
      <c r="G6" s="73" t="s">
        <v>8</v>
      </c>
      <c r="H6" s="73" t="s">
        <v>480</v>
      </c>
      <c r="I6" s="74" t="s">
        <v>481</v>
      </c>
      <c r="J6" s="74" t="s">
        <v>242</v>
      </c>
    </row>
    <row r="7" spans="2:10" ht="44.25" customHeight="1">
      <c r="C7" s="547" t="s">
        <v>91</v>
      </c>
      <c r="D7" s="553" t="s">
        <v>484</v>
      </c>
      <c r="E7" s="553" t="s">
        <v>485</v>
      </c>
      <c r="F7" s="553" t="s">
        <v>94</v>
      </c>
      <c r="G7" s="74" t="str">
        <f>IF(H7=1,"C",IF(H7=2,"B-",IF(H7=3,"B",IF(H7=4,"B+",IF(H7=5,"A")))))</f>
        <v>B-</v>
      </c>
      <c r="H7" s="74">
        <v>2</v>
      </c>
      <c r="I7" s="15" t="str">
        <f>'Safety overall result'!J21</f>
        <v>OH&amp;S policy has been established at site. And the manager can explain it.
(System: Plant Manager: No.9)
(Mgr + SV)</v>
      </c>
      <c r="J7" s="28"/>
    </row>
    <row r="8" spans="2:10" ht="43.5" customHeight="1">
      <c r="C8" s="548"/>
      <c r="D8" s="553"/>
      <c r="E8" s="553"/>
      <c r="F8" s="553"/>
      <c r="G8" s="74" t="str">
        <f t="shared" ref="G8:G50" si="0">IF(H8=1,"C",IF(H8=2,"B-",IF(H8=3,"B",IF(H8=4,"B+",IF(H8=5,"A")))))</f>
        <v>B</v>
      </c>
      <c r="H8" s="74">
        <v>3</v>
      </c>
      <c r="I8" s="15" t="str">
        <f>'Safety overall result'!L21</f>
        <v>Management can describe and explain the site's OH&amp;S objectives and goals.
(Mgr + SV)</v>
      </c>
      <c r="J8" s="28"/>
    </row>
    <row r="9" spans="2:10" ht="49.5" customHeight="1">
      <c r="C9" s="548"/>
      <c r="D9" s="553"/>
      <c r="E9" s="553"/>
      <c r="F9" s="553"/>
      <c r="G9" s="74" t="str">
        <f t="shared" si="0"/>
        <v>B+</v>
      </c>
      <c r="H9" s="74">
        <v>4</v>
      </c>
      <c r="I9" s="15" t="str">
        <f>'Safety overall result'!N21</f>
        <v>The plan contains goals to be achieved which are relevant to the incidents and risks identified by the SBU.
(Mgr + SV)</v>
      </c>
      <c r="J9" s="28"/>
    </row>
    <row r="10" spans="2:10" ht="60" customHeight="1">
      <c r="C10" s="548"/>
      <c r="D10" s="553"/>
      <c r="E10" s="553"/>
      <c r="F10" s="553" t="s">
        <v>96</v>
      </c>
      <c r="G10" s="74" t="str">
        <f t="shared" si="0"/>
        <v>B-</v>
      </c>
      <c r="H10" s="74">
        <v>2</v>
      </c>
      <c r="I10" s="15" t="str">
        <f>'Safety overall result'!J22</f>
        <v>There are documented OH&amp;S action plans and evidence of OH&amp;S results tracking.
(Mgr)</v>
      </c>
      <c r="J10" s="28"/>
    </row>
    <row r="11" spans="2:10" ht="93" customHeight="1">
      <c r="C11" s="548"/>
      <c r="D11" s="553"/>
      <c r="E11" s="553"/>
      <c r="F11" s="553"/>
      <c r="G11" s="74" t="str">
        <f t="shared" si="0"/>
        <v>B</v>
      </c>
      <c r="H11" s="74">
        <v>3</v>
      </c>
      <c r="I11" s="15" t="str">
        <f>'Safety overall result'!L22</f>
        <v>Safety KPIs are tracked at plant, department and line level.
To solve issues on H&amp;S, site leadership follow safety KPIs, and give directions to review the safety program if necessary.
(Leadership: Plant Manager: No.7)
(Mgr)</v>
      </c>
      <c r="J11" s="28"/>
    </row>
    <row r="12" spans="2:10" ht="103.5" customHeight="1">
      <c r="C12" s="548"/>
      <c r="D12" s="553"/>
      <c r="E12" s="553"/>
      <c r="F12" s="553"/>
      <c r="G12" s="74" t="str">
        <f t="shared" si="0"/>
        <v>B+</v>
      </c>
      <c r="H12" s="74">
        <v>4</v>
      </c>
      <c r="I12" s="15" t="str">
        <f>'Safety overall result'!N22</f>
        <v>Safety KPIs are tracked positively at plant, department and line level - using "Leading indicators"(e.g. Progress of RA, KPI for 3S activity, etc.)
Site leadership follow not only lagging indicator(e.g. # of injuries), but also leading indicators, and give directions to review and/or improve safety programs if necessary.
(Leadership: Plant Manager: No.16)
(Mgr)</v>
      </c>
      <c r="J12" s="28"/>
    </row>
    <row r="13" spans="2:10" ht="99">
      <c r="C13" s="548"/>
      <c r="D13" s="553"/>
      <c r="E13" s="553"/>
      <c r="F13" s="553"/>
      <c r="G13" s="74" t="str">
        <f t="shared" si="0"/>
        <v>A</v>
      </c>
      <c r="H13" s="74">
        <v>5</v>
      </c>
      <c r="I13" s="15" t="str">
        <f>'Safety overall result'!P22</f>
        <v>The Plant Manager can describe his/her OH&amp;S strategy and its goals, and how it will be implemented and the goals achieved.
And, the strategy has been reviewed quarterly - its progress, validity. Also, revision/instruction for the starategy result have been implemented by plant manager.
(Leadership: Plant manager: No.24)
(mgr.)</v>
      </c>
      <c r="J13" s="28"/>
    </row>
    <row r="14" spans="2:10" ht="49.5">
      <c r="C14" s="548"/>
      <c r="D14" s="74"/>
      <c r="E14" s="74"/>
      <c r="F14" s="547" t="s">
        <v>100</v>
      </c>
      <c r="G14" s="74" t="str">
        <f t="shared" si="0"/>
        <v>C</v>
      </c>
      <c r="H14" s="74">
        <v>1</v>
      </c>
      <c r="I14" s="15" t="s">
        <v>491</v>
      </c>
      <c r="J14" s="28"/>
    </row>
    <row r="15" spans="2:10" ht="49.5">
      <c r="C15" s="548"/>
      <c r="D15" s="74"/>
      <c r="E15" s="74"/>
      <c r="F15" s="548"/>
      <c r="G15" s="74" t="str">
        <f t="shared" si="0"/>
        <v>B-</v>
      </c>
      <c r="H15" s="74">
        <v>2</v>
      </c>
      <c r="I15" s="15" t="s">
        <v>341</v>
      </c>
      <c r="J15" s="28"/>
    </row>
    <row r="16" spans="2:10" ht="49.5">
      <c r="C16" s="548"/>
      <c r="D16" s="74"/>
      <c r="E16" s="74"/>
      <c r="F16" s="548"/>
      <c r="G16" s="74" t="str">
        <f t="shared" si="0"/>
        <v>B</v>
      </c>
      <c r="H16" s="74">
        <v>3</v>
      </c>
      <c r="I16" s="15" t="s">
        <v>492</v>
      </c>
      <c r="J16" s="28"/>
    </row>
    <row r="17" spans="3:10" ht="49.5">
      <c r="C17" s="548"/>
      <c r="D17" s="74"/>
      <c r="E17" s="74"/>
      <c r="F17" s="548"/>
      <c r="G17" s="74" t="str">
        <f t="shared" si="0"/>
        <v>B+</v>
      </c>
      <c r="H17" s="74">
        <v>4</v>
      </c>
      <c r="I17" s="15" t="s">
        <v>343</v>
      </c>
      <c r="J17" s="28"/>
    </row>
    <row r="18" spans="3:10" ht="33">
      <c r="C18" s="548"/>
      <c r="D18" s="74"/>
      <c r="E18" s="74"/>
      <c r="F18" s="549"/>
      <c r="G18" s="74" t="str">
        <f t="shared" si="0"/>
        <v>A</v>
      </c>
      <c r="H18" s="74">
        <v>5</v>
      </c>
      <c r="I18" s="15" t="s">
        <v>344</v>
      </c>
      <c r="J18" s="28"/>
    </row>
    <row r="19" spans="3:10" ht="49.5" customHeight="1">
      <c r="C19" s="548"/>
      <c r="D19" s="74"/>
      <c r="E19" s="74"/>
      <c r="F19" s="547" t="s">
        <v>102</v>
      </c>
      <c r="G19" s="74" t="str">
        <f t="shared" si="0"/>
        <v>C</v>
      </c>
      <c r="H19" s="74">
        <v>1</v>
      </c>
      <c r="I19" s="15" t="s">
        <v>345</v>
      </c>
      <c r="J19" s="28"/>
    </row>
    <row r="20" spans="3:10" ht="49.5">
      <c r="C20" s="548"/>
      <c r="D20" s="74"/>
      <c r="E20" s="74"/>
      <c r="F20" s="548"/>
      <c r="G20" s="74" t="str">
        <f t="shared" si="0"/>
        <v>B-</v>
      </c>
      <c r="H20" s="74">
        <v>2</v>
      </c>
      <c r="I20" s="15" t="s">
        <v>346</v>
      </c>
      <c r="J20" s="28"/>
    </row>
    <row r="21" spans="3:10" ht="49.5" customHeight="1">
      <c r="C21" s="548"/>
      <c r="D21" s="74"/>
      <c r="E21" s="74"/>
      <c r="F21" s="548"/>
      <c r="G21" s="74" t="str">
        <f t="shared" si="0"/>
        <v>B</v>
      </c>
      <c r="H21" s="74">
        <v>3</v>
      </c>
      <c r="I21" s="15" t="s">
        <v>347</v>
      </c>
      <c r="J21" s="28"/>
    </row>
    <row r="22" spans="3:10" ht="49.5">
      <c r="C22" s="548"/>
      <c r="D22" s="74"/>
      <c r="E22" s="74"/>
      <c r="F22" s="548"/>
      <c r="G22" s="74" t="str">
        <f t="shared" si="0"/>
        <v>B+</v>
      </c>
      <c r="H22" s="74">
        <v>4</v>
      </c>
      <c r="I22" s="15" t="s">
        <v>348</v>
      </c>
      <c r="J22" s="28"/>
    </row>
    <row r="23" spans="3:10" ht="49.5">
      <c r="C23" s="548"/>
      <c r="D23" s="74"/>
      <c r="E23" s="74"/>
      <c r="F23" s="549"/>
      <c r="G23" s="74" t="str">
        <f t="shared" si="0"/>
        <v>A</v>
      </c>
      <c r="H23" s="74">
        <v>5</v>
      </c>
      <c r="I23" s="15" t="s">
        <v>349</v>
      </c>
      <c r="J23" s="28"/>
    </row>
    <row r="24" spans="3:10" ht="49.5" customHeight="1">
      <c r="C24" s="548"/>
      <c r="D24" s="74"/>
      <c r="E24" s="74"/>
      <c r="F24" s="547" t="s">
        <v>103</v>
      </c>
      <c r="G24" s="74" t="str">
        <f t="shared" si="0"/>
        <v>C</v>
      </c>
      <c r="H24" s="74">
        <v>1</v>
      </c>
      <c r="I24" s="48" t="s">
        <v>350</v>
      </c>
      <c r="J24" s="28"/>
    </row>
    <row r="25" spans="3:10" ht="49.5">
      <c r="C25" s="548"/>
      <c r="D25" s="74"/>
      <c r="E25" s="74"/>
      <c r="F25" s="548"/>
      <c r="G25" s="74" t="str">
        <f t="shared" si="0"/>
        <v>B-</v>
      </c>
      <c r="H25" s="74">
        <v>2</v>
      </c>
      <c r="I25" s="15" t="s">
        <v>351</v>
      </c>
      <c r="J25" s="28"/>
    </row>
    <row r="26" spans="3:10" ht="49.5">
      <c r="C26" s="548"/>
      <c r="D26" s="74"/>
      <c r="E26" s="74"/>
      <c r="F26" s="548"/>
      <c r="G26" s="74" t="str">
        <f t="shared" si="0"/>
        <v>B</v>
      </c>
      <c r="H26" s="74">
        <v>3</v>
      </c>
      <c r="I26" s="15" t="s">
        <v>352</v>
      </c>
      <c r="J26" s="28"/>
    </row>
    <row r="27" spans="3:10" ht="49.5">
      <c r="C27" s="548"/>
      <c r="D27" s="74"/>
      <c r="E27" s="74"/>
      <c r="F27" s="548"/>
      <c r="G27" s="74" t="str">
        <f t="shared" si="0"/>
        <v>B+</v>
      </c>
      <c r="H27" s="74">
        <v>4</v>
      </c>
      <c r="I27" s="15" t="s">
        <v>353</v>
      </c>
      <c r="J27" s="28"/>
    </row>
    <row r="28" spans="3:10" ht="66">
      <c r="C28" s="549"/>
      <c r="D28" s="74"/>
      <c r="E28" s="74"/>
      <c r="F28" s="549"/>
      <c r="G28" s="74" t="str">
        <f t="shared" si="0"/>
        <v>A</v>
      </c>
      <c r="H28" s="74">
        <v>5</v>
      </c>
      <c r="I28" s="15" t="s">
        <v>354</v>
      </c>
      <c r="J28" s="28"/>
    </row>
    <row r="29" spans="3:10" ht="66">
      <c r="C29" s="553" t="s">
        <v>192</v>
      </c>
      <c r="D29" s="553" t="s">
        <v>486</v>
      </c>
      <c r="E29" s="553" t="s">
        <v>488</v>
      </c>
      <c r="F29" s="570" t="s">
        <v>122</v>
      </c>
      <c r="G29" s="12" t="str">
        <f t="shared" si="0"/>
        <v>B+</v>
      </c>
      <c r="H29" s="12">
        <v>4</v>
      </c>
      <c r="I29" s="13" t="str">
        <f>'Safety overall result'!N33</f>
        <v>Safety IIP is approved by plant manager and safety committee, and it was deployed into all department, and all department shared it in team. (Each department has each safety IIP)
(Safety Manager)
 *Ask Manager (not safety)</v>
      </c>
      <c r="J29" s="12"/>
    </row>
    <row r="30" spans="3:10" ht="82.5">
      <c r="C30" s="553"/>
      <c r="D30" s="553"/>
      <c r="E30" s="553"/>
      <c r="F30" s="570"/>
      <c r="G30" s="12" t="str">
        <f t="shared" si="0"/>
        <v>A</v>
      </c>
      <c r="H30" s="12">
        <v>5</v>
      </c>
      <c r="I30" s="13" t="str">
        <f>'Safety overall result'!P33</f>
        <v>Before Safety IIP is approved by plant manager and safety committee, the plan has been discussed and built a consensus by all team.
And, all teammates has been explained it and confirmed its understandings.
(Safety Manager)
 *Ask Manager (not safety)</v>
      </c>
      <c r="J30" s="12"/>
    </row>
    <row r="31" spans="3:10" ht="49.5">
      <c r="C31" s="553"/>
      <c r="D31" s="553"/>
      <c r="E31" s="553"/>
      <c r="F31" s="570" t="s">
        <v>124</v>
      </c>
      <c r="G31" s="12" t="str">
        <f t="shared" si="0"/>
        <v>C</v>
      </c>
      <c r="H31" s="12">
        <v>1</v>
      </c>
      <c r="I31" s="13" t="str">
        <f>'Safety overall result'!H34</f>
        <v>Safety activities have not been conducted as the IIP in plant.
(Safety Manager)
 *Ask Manager (not safety)</v>
      </c>
      <c r="J31" s="12"/>
    </row>
    <row r="32" spans="3:10" ht="66">
      <c r="C32" s="553"/>
      <c r="D32" s="553"/>
      <c r="E32" s="553"/>
      <c r="F32" s="570"/>
      <c r="G32" s="12" t="str">
        <f t="shared" si="0"/>
        <v>B-</v>
      </c>
      <c r="H32" s="12">
        <v>2</v>
      </c>
      <c r="I32" s="13" t="str">
        <f>'Safety overall result'!J34</f>
        <v>Almost of Safety activities have been conducted as the IIP in plant, but some activities have not.
(Safety Manager)
 *Ask Manager (not safety)</v>
      </c>
      <c r="J32" s="12"/>
    </row>
    <row r="33" spans="3:11" ht="49.5">
      <c r="C33" s="553"/>
      <c r="D33" s="553"/>
      <c r="E33" s="553"/>
      <c r="F33" s="570"/>
      <c r="G33" s="12" t="str">
        <f t="shared" si="0"/>
        <v>B</v>
      </c>
      <c r="H33" s="12">
        <v>3</v>
      </c>
      <c r="I33" s="13" t="str">
        <f>'Safety overall result'!L34</f>
        <v>Safety activities have been conducted as the IIP in plant.
(Safety Manager)
 *Ask Manager (not safety)</v>
      </c>
      <c r="J33" s="12"/>
    </row>
    <row r="34" spans="3:11" ht="49.5">
      <c r="C34" s="553"/>
      <c r="D34" s="553"/>
      <c r="E34" s="553"/>
      <c r="F34" s="570"/>
      <c r="G34" s="12" t="str">
        <f t="shared" si="0"/>
        <v>B+</v>
      </c>
      <c r="H34" s="12">
        <v>4</v>
      </c>
      <c r="I34" s="13" t="str">
        <f>'Safety overall result'!N34</f>
        <v>Safety activities have been conducted as the IIP in plant, but it is only for direct employee. 
(Safety Manager)
 *Ask Manager (not safety)</v>
      </c>
      <c r="J34" s="12"/>
    </row>
    <row r="35" spans="3:11" ht="66">
      <c r="C35" s="553"/>
      <c r="D35" s="553"/>
      <c r="E35" s="553"/>
      <c r="F35" s="570"/>
      <c r="G35" s="12" t="str">
        <f t="shared" si="0"/>
        <v>A</v>
      </c>
      <c r="H35" s="12">
        <v>5</v>
      </c>
      <c r="I35" s="13" t="str">
        <f>'Safety overall result'!P34</f>
        <v>Managers lead/self-implement/follow-up/instruct  safety activities as safety IIP, and 
all workers in plant have implemented these.
(Safety Manager)
 *Ask Manager (not safety)</v>
      </c>
      <c r="J35" s="12"/>
    </row>
    <row r="36" spans="3:11" ht="49.5">
      <c r="C36" s="553"/>
      <c r="D36" s="553"/>
      <c r="E36" s="553"/>
      <c r="F36" s="570" t="s">
        <v>126</v>
      </c>
      <c r="G36" s="12" t="str">
        <f t="shared" si="0"/>
        <v>C</v>
      </c>
      <c r="H36" s="12">
        <v>1</v>
      </c>
      <c r="I36" s="13" t="str">
        <f>'Safety overall result'!H35</f>
        <v>Progress of safety IIP have not been followed-up.
(Safety Manager)
 *Ask Manager (not safety)</v>
      </c>
      <c r="J36" s="12"/>
    </row>
    <row r="37" spans="3:11" ht="49.5">
      <c r="C37" s="553"/>
      <c r="D37" s="553"/>
      <c r="E37" s="553"/>
      <c r="F37" s="570"/>
      <c r="G37" s="12" t="str">
        <f t="shared" si="0"/>
        <v>B-</v>
      </c>
      <c r="H37" s="12">
        <v>2</v>
      </c>
      <c r="I37" s="13" t="str">
        <f>'Safety overall result'!J35</f>
        <v>Progress of safety IIP have been followed-up almost, but not all items.
(Safety Manager)
 *Ask Manager (not safety)</v>
      </c>
      <c r="J37" s="12"/>
    </row>
    <row r="38" spans="3:11" ht="66">
      <c r="C38" s="553"/>
      <c r="D38" s="553"/>
      <c r="E38" s="553"/>
      <c r="F38" s="570"/>
      <c r="G38" s="12" t="str">
        <f t="shared" si="0"/>
        <v>B</v>
      </c>
      <c r="H38" s="12">
        <v>3</v>
      </c>
      <c r="I38" s="13" t="str">
        <f>'Safety overall result'!L35</f>
        <v>All items in Safety IIP have been followed-up.
(At least once a month)
(Safety Manager)
 *Ask Manager (not safety)</v>
      </c>
      <c r="J38" s="12"/>
    </row>
    <row r="39" spans="3:11" ht="82.5">
      <c r="C39" s="553"/>
      <c r="D39" s="553"/>
      <c r="E39" s="553"/>
      <c r="F39" s="570"/>
      <c r="G39" s="12" t="str">
        <f t="shared" si="0"/>
        <v>B+</v>
      </c>
      <c r="H39" s="12">
        <v>4</v>
      </c>
      <c r="I39" s="13" t="str">
        <f>'Safety overall result'!N35</f>
        <v>All items in Safety IIP have been followed-up more than once a month, but it is not enough to check/confirm it in GENBA.
 *No evidence to check/confirm in GENBA
(Safety Manager)
 *Ask Manager (not safety)</v>
      </c>
      <c r="J39" s="12"/>
    </row>
    <row r="40" spans="3:11" ht="66">
      <c r="C40" s="553"/>
      <c r="D40" s="553"/>
      <c r="E40" s="553"/>
      <c r="F40" s="570"/>
      <c r="G40" s="12" t="str">
        <f t="shared" si="0"/>
        <v>A</v>
      </c>
      <c r="H40" s="12">
        <v>5</v>
      </c>
      <c r="I40" s="13" t="str">
        <f>'Safety overall result'!P35</f>
        <v>Progress of Safety IIP have been followed-up by management team, including SVs, and it has been checked/confirmed in GENBA.
(Manager, SV)
 *Ask Manager (not safety)</v>
      </c>
      <c r="J40" s="12"/>
    </row>
    <row r="41" spans="3:11" ht="66">
      <c r="C41" s="553"/>
      <c r="D41" s="553"/>
      <c r="E41" s="553"/>
      <c r="F41" s="570" t="s">
        <v>128</v>
      </c>
      <c r="G41" s="12" t="str">
        <f t="shared" si="0"/>
        <v>C</v>
      </c>
      <c r="H41" s="12">
        <v>1</v>
      </c>
      <c r="I41" s="13" t="str">
        <f>'Safety overall result'!H36</f>
        <v>Safety IIP has been followed-up but review/re-thinking has not been done, issued/OFI have not been extracted.
(Safety Manager)
 *Ask Manager (not safety)</v>
      </c>
      <c r="J41" s="12"/>
    </row>
    <row r="42" spans="3:11" ht="66">
      <c r="C42" s="553"/>
      <c r="D42" s="553"/>
      <c r="E42" s="553"/>
      <c r="F42" s="570"/>
      <c r="G42" s="12" t="str">
        <f t="shared" si="0"/>
        <v>B-</v>
      </c>
      <c r="H42" s="12">
        <v>2</v>
      </c>
      <c r="I42" s="13" t="str">
        <f>'Safety overall result'!J36</f>
        <v>Safety IIP has been followed-up, and review/re-thinking has not been done, also, issued/OFI have been extracted, but not for all item.
(Safety Manager)
 *Ask Manager (not safety)</v>
      </c>
      <c r="J42" s="12"/>
    </row>
    <row r="43" spans="3:11" ht="82.5">
      <c r="C43" s="553"/>
      <c r="D43" s="553"/>
      <c r="E43" s="553"/>
      <c r="F43" s="570"/>
      <c r="G43" s="12" t="str">
        <f t="shared" si="0"/>
        <v>B</v>
      </c>
      <c r="H43" s="12">
        <v>3</v>
      </c>
      <c r="I43" s="13" t="str">
        <f>'Safety overall result'!L36</f>
        <v>Safety IIP has been followed-up, and review/re-thinking has not been done, also, issued/OFI have been extracted, but safety activities have not evolved. (just backing-up or revise frequency)
(Safety Manager)
 *Ask Manager (not safety)</v>
      </c>
      <c r="J43" s="12"/>
    </row>
    <row r="44" spans="3:11" ht="93" customHeight="1">
      <c r="C44" s="553"/>
      <c r="D44" s="553"/>
      <c r="E44" s="553"/>
      <c r="F44" s="570"/>
      <c r="G44" s="12" t="str">
        <f t="shared" si="0"/>
        <v>B+</v>
      </c>
      <c r="H44" s="12">
        <v>4</v>
      </c>
      <c r="I44" s="13" t="str">
        <f>'Safety overall result'!N36</f>
        <v>Safety IIP has been followed-up, and review/re-thinking has not been done, also, issued/OFI have been extracted, resulting in safety activities have evolved. But, these activities have not been standardized.
(Safety Manager)
 *Ask Manager (not safety)</v>
      </c>
      <c r="J44" s="12"/>
    </row>
    <row r="45" spans="3:11" ht="93" customHeight="1">
      <c r="C45" s="553"/>
      <c r="D45" s="553"/>
      <c r="E45" s="553"/>
      <c r="F45" s="570"/>
      <c r="G45" s="12" t="str">
        <f t="shared" si="0"/>
        <v>A</v>
      </c>
      <c r="H45" s="12">
        <v>5</v>
      </c>
      <c r="I45" s="13" t="str">
        <f>'Safety overall result'!P36</f>
        <v>Safety IIP has been followed-up, and review/re-thinking has not been done, also, issued/OFI have been extracted, resulting in safety activities have evolved. And, these activities have been standardized to keep it going.
(Safety Manager)
 *Ask Manager (not safety)</v>
      </c>
      <c r="J45" s="12"/>
    </row>
    <row r="46" spans="3:11" ht="66">
      <c r="C46" s="553" t="s">
        <v>130</v>
      </c>
      <c r="D46" s="553" t="s">
        <v>489</v>
      </c>
      <c r="E46" s="553" t="s">
        <v>490</v>
      </c>
      <c r="F46" s="575" t="s">
        <v>137</v>
      </c>
      <c r="G46" s="10" t="str">
        <f t="shared" si="0"/>
        <v>C</v>
      </c>
      <c r="H46" s="12">
        <v>1</v>
      </c>
      <c r="I46" s="11" t="str">
        <f>'Safety overall result'!H39</f>
        <v>Budget for recurrence prevention, RA countermeasure, and working hours (human resource) is not enough.
(Safety Manager)
 *Ask Manager (not safety)</v>
      </c>
      <c r="J46" s="12"/>
    </row>
    <row r="47" spans="3:11" ht="49.5">
      <c r="C47" s="553"/>
      <c r="D47" s="553"/>
      <c r="E47" s="553"/>
      <c r="F47" s="575"/>
      <c r="G47" s="12" t="str">
        <f t="shared" si="0"/>
        <v>B-</v>
      </c>
      <c r="H47" s="12">
        <v>2</v>
      </c>
      <c r="I47" s="11" t="str">
        <f>'Safety overall result'!J39</f>
        <v>There is a lack of budget for either recurrence prevention, RA countermeasure, and working hours(human resource).
(Safety Manager)</v>
      </c>
      <c r="J47" s="12"/>
    </row>
    <row r="48" spans="3:11" ht="66">
      <c r="C48" s="553"/>
      <c r="D48" s="553"/>
      <c r="E48" s="553"/>
      <c r="F48" s="575"/>
      <c r="G48" s="12" t="str">
        <f t="shared" si="0"/>
        <v>B</v>
      </c>
      <c r="H48" s="12">
        <v>3</v>
      </c>
      <c r="I48" s="11" t="str">
        <f>'Safety overall result'!L39</f>
        <v>Budget for recurrence prevention, RA countermeasure, and working hours (human resource) is prepared enough as plan.
(Safety Manager)
 *Ask Manager (not safety)</v>
      </c>
      <c r="J48" s="12"/>
      <c r="K48" s="48"/>
    </row>
    <row r="49" spans="3:11" ht="66">
      <c r="C49" s="553"/>
      <c r="D49" s="553"/>
      <c r="E49" s="553"/>
      <c r="F49" s="575"/>
      <c r="G49" s="12" t="str">
        <f t="shared" si="0"/>
        <v>B+</v>
      </c>
      <c r="H49" s="12">
        <v>4</v>
      </c>
      <c r="I49" s="11" t="str">
        <f>'Safety overall result'!N39</f>
        <v>Budget is used for recurrence prevention, RA countermeasure, and any other activities as planed.
(Safety Manager)
 *Ask Manager (not safety)</v>
      </c>
      <c r="J49" s="12"/>
      <c r="K49" s="48"/>
    </row>
    <row r="50" spans="3:11" ht="66">
      <c r="C50" s="553"/>
      <c r="D50" s="553"/>
      <c r="E50" s="553"/>
      <c r="F50" s="575"/>
      <c r="G50" s="12" t="str">
        <f t="shared" si="0"/>
        <v>A</v>
      </c>
      <c r="H50" s="12">
        <v>5</v>
      </c>
      <c r="I50" s="11" t="str">
        <f>'Safety overall result'!P39</f>
        <v>Budget is prepared even for sudden accidents. Or, in case of sudden accidents, additional budget is obtained, and recurrence prevention, RA countermeasure, and any other activities are implemented ahead of schedule.
(Safety Manager)</v>
      </c>
      <c r="J50" s="12"/>
      <c r="K50" s="48"/>
    </row>
    <row r="51" spans="3:11" ht="16.5">
      <c r="C51" s="2"/>
      <c r="D51" s="2"/>
      <c r="E51" s="2"/>
      <c r="F51" s="6"/>
      <c r="G51" s="6"/>
      <c r="H51" s="6"/>
      <c r="I51" s="3"/>
      <c r="J51" s="29"/>
    </row>
    <row r="52" spans="3:11" ht="16.5">
      <c r="C52" s="2"/>
      <c r="D52" s="2"/>
      <c r="E52" s="2"/>
      <c r="F52" s="6"/>
      <c r="G52" s="6"/>
      <c r="H52" s="6"/>
      <c r="I52" s="3"/>
      <c r="J52" s="29"/>
    </row>
    <row r="53" spans="3:11" ht="16.5">
      <c r="C53" s="2"/>
      <c r="D53" s="2"/>
      <c r="E53" s="2"/>
      <c r="F53" s="6"/>
      <c r="G53" s="6"/>
      <c r="H53" s="6"/>
      <c r="I53" s="3"/>
      <c r="J53" s="29"/>
    </row>
    <row r="54" spans="3:11" ht="16.5">
      <c r="C54" s="2"/>
      <c r="D54" s="2"/>
      <c r="E54" s="2"/>
      <c r="F54" s="6"/>
      <c r="G54" s="6"/>
      <c r="H54" s="6"/>
      <c r="I54" s="3"/>
      <c r="J54" s="29"/>
    </row>
    <row r="55" spans="3:11" ht="16.5">
      <c r="F55" s="6"/>
      <c r="G55" s="6"/>
      <c r="H55" s="6"/>
      <c r="I55" s="3"/>
      <c r="J55" s="29"/>
    </row>
    <row r="56" spans="3:11" ht="16.5" hidden="1">
      <c r="F56" s="17" t="s">
        <v>441</v>
      </c>
      <c r="G56" s="17"/>
      <c r="H56" s="17"/>
      <c r="I56" s="18" t="s">
        <v>442</v>
      </c>
      <c r="J56" s="30"/>
    </row>
    <row r="57" spans="3:11" ht="16.5" hidden="1">
      <c r="F57" s="17"/>
      <c r="G57" s="17"/>
      <c r="H57" s="17"/>
      <c r="I57" s="18"/>
      <c r="J57" s="30"/>
    </row>
    <row r="58" spans="3:11" ht="16.5" hidden="1">
      <c r="F58" s="17" t="s">
        <v>449</v>
      </c>
      <c r="G58" s="17"/>
      <c r="H58" s="17"/>
      <c r="I58" s="18" t="s">
        <v>450</v>
      </c>
      <c r="J58" s="30"/>
    </row>
    <row r="59" spans="3:11" ht="16.5" hidden="1">
      <c r="F59" s="17"/>
      <c r="G59" s="17"/>
      <c r="H59" s="17"/>
      <c r="I59" s="18" t="s">
        <v>455</v>
      </c>
      <c r="J59" s="30"/>
    </row>
    <row r="60" spans="3:11" ht="16.5" hidden="1">
      <c r="F60" s="17" t="s">
        <v>457</v>
      </c>
      <c r="G60" s="17"/>
      <c r="H60" s="17"/>
      <c r="I60" s="19"/>
      <c r="J60" s="17"/>
    </row>
    <row r="61" spans="3:11" ht="16.5" hidden="1">
      <c r="F61" s="17"/>
      <c r="G61" s="17"/>
      <c r="H61" s="17"/>
      <c r="I61" s="18"/>
      <c r="J61" s="30"/>
    </row>
    <row r="62" spans="3:11" ht="16.5" hidden="1">
      <c r="F62" s="17" t="s">
        <v>461</v>
      </c>
      <c r="G62" s="17"/>
      <c r="H62" s="17"/>
      <c r="I62" s="18" t="s">
        <v>462</v>
      </c>
      <c r="J62" s="30"/>
    </row>
    <row r="63" spans="3:11" ht="16.5" hidden="1">
      <c r="F63" s="17"/>
      <c r="G63" s="17"/>
      <c r="H63" s="17"/>
      <c r="I63" s="18" t="s">
        <v>467</v>
      </c>
      <c r="J63" s="30"/>
    </row>
    <row r="64" spans="3:11" ht="33" hidden="1">
      <c r="F64" s="20" t="s">
        <v>470</v>
      </c>
      <c r="G64" s="20"/>
      <c r="H64" s="20"/>
      <c r="I64" s="21" t="s">
        <v>471</v>
      </c>
      <c r="J64" s="31"/>
    </row>
    <row r="65" spans="6:10" ht="16.5" hidden="1">
      <c r="F65" s="20"/>
      <c r="G65" s="20"/>
      <c r="H65" s="20"/>
      <c r="I65" s="21"/>
      <c r="J65" s="31"/>
    </row>
    <row r="66" spans="6:10" ht="16.5">
      <c r="F66" s="6"/>
      <c r="G66" s="6"/>
      <c r="H66" s="6"/>
      <c r="I66" s="3"/>
      <c r="J66" s="29"/>
    </row>
  </sheetData>
  <mergeCells count="19">
    <mergeCell ref="D46:D50"/>
    <mergeCell ref="C29:C45"/>
    <mergeCell ref="E29:E45"/>
    <mergeCell ref="D29:D45"/>
    <mergeCell ref="F41:F45"/>
    <mergeCell ref="C46:C50"/>
    <mergeCell ref="F29:F30"/>
    <mergeCell ref="F31:F35"/>
    <mergeCell ref="F36:F40"/>
    <mergeCell ref="F46:F50"/>
    <mergeCell ref="E46:E50"/>
    <mergeCell ref="F10:F13"/>
    <mergeCell ref="F14:F18"/>
    <mergeCell ref="F19:F23"/>
    <mergeCell ref="F24:F28"/>
    <mergeCell ref="C7:C28"/>
    <mergeCell ref="D7:D13"/>
    <mergeCell ref="E7:E13"/>
    <mergeCell ref="F7:F9"/>
  </mergeCells>
  <phoneticPr fontId="6"/>
  <conditionalFormatting sqref="J7:J50">
    <cfRule type="containsText" dxfId="12" priority="10" operator="containsText" text="No">
      <formula>NOT(ISERROR(SEARCH("No",J7)))</formula>
    </cfRule>
  </conditionalFormatting>
  <pageMargins left="0.7" right="0.7" top="0.75" bottom="0.75" header="0.3" footer="0.3"/>
  <pageSetup paperSize="8" scale="48"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D31BC-B804-485F-88D3-7F4E5F47E7D9}">
  <sheetPr codeName="Sheet10"/>
  <dimension ref="B2:N64"/>
  <sheetViews>
    <sheetView topLeftCell="B1" zoomScale="70" zoomScaleNormal="70" workbookViewId="0">
      <pane ySplit="3" topLeftCell="A4" activePane="bottomLeft" state="frozen"/>
      <selection pane="bottomLeft" activeCell="H4" sqref="H4:H48"/>
      <selection activeCell="B1" sqref="B1"/>
    </sheetView>
  </sheetViews>
  <sheetFormatPr defaultColWidth="8.85546875" defaultRowHeight="14.45"/>
  <cols>
    <col min="1" max="1" width="1.7109375" customWidth="1"/>
    <col min="3" max="3" width="15.140625" bestFit="1" customWidth="1"/>
    <col min="4" max="4" width="32.42578125" hidden="1" customWidth="1"/>
    <col min="5" max="5" width="22.140625" hidden="1" customWidth="1"/>
    <col min="6" max="6" width="14.140625" customWidth="1"/>
    <col min="7" max="8" width="12" customWidth="1"/>
    <col min="9" max="9" width="102.85546875" customWidth="1"/>
    <col min="10" max="10" width="10.140625" style="22" customWidth="1"/>
  </cols>
  <sheetData>
    <row r="2" spans="2:14" ht="16.5">
      <c r="B2" s="2"/>
      <c r="C2" s="2"/>
      <c r="D2" s="2"/>
      <c r="E2" s="7"/>
      <c r="F2" s="3"/>
      <c r="G2" s="3"/>
      <c r="H2" s="3"/>
      <c r="I2" s="3"/>
      <c r="J2" s="29"/>
    </row>
    <row r="3" spans="2:14" ht="33">
      <c r="B3" s="2"/>
      <c r="C3" s="74" t="s">
        <v>144</v>
      </c>
      <c r="D3" s="73" t="s">
        <v>478</v>
      </c>
      <c r="E3" s="73" t="s">
        <v>479</v>
      </c>
      <c r="F3" s="74" t="s">
        <v>52</v>
      </c>
      <c r="G3" s="73" t="s">
        <v>8</v>
      </c>
      <c r="H3" s="73" t="s">
        <v>480</v>
      </c>
      <c r="I3" s="74" t="s">
        <v>481</v>
      </c>
      <c r="J3" s="74" t="s">
        <v>242</v>
      </c>
    </row>
    <row r="4" spans="2:14" ht="66">
      <c r="B4" s="2"/>
      <c r="C4" s="553" t="s">
        <v>148</v>
      </c>
      <c r="D4" s="553" t="s">
        <v>493</v>
      </c>
      <c r="E4" s="553" t="s">
        <v>483</v>
      </c>
      <c r="F4" s="553" t="s">
        <v>69</v>
      </c>
      <c r="G4" s="74" t="str">
        <f>IF(H4=1,"C",IF(H4=2,"B-",IF(H4=3,"B",IF(H4=4,"B+",IF(H4=5,"A")))))</f>
        <v>C</v>
      </c>
      <c r="H4" s="74">
        <v>1</v>
      </c>
      <c r="I4" s="9" t="str">
        <f>'Safety overall result'!H11</f>
        <v>There is evidence that actions have been taken to prevent recurring incidents. And SVs can explain it.
And also, confirm at least one example at GENBA.
(System: Safety Manager: No.30)
 *Ask SVs</v>
      </c>
      <c r="J4" s="28"/>
      <c r="K4" s="124"/>
      <c r="L4" s="124"/>
      <c r="M4" s="124"/>
      <c r="N4" s="124"/>
    </row>
    <row r="5" spans="2:14" ht="66">
      <c r="B5" s="2"/>
      <c r="C5" s="553"/>
      <c r="D5" s="553"/>
      <c r="E5" s="553"/>
      <c r="F5" s="553"/>
      <c r="G5" s="74" t="str">
        <f t="shared" ref="G5:G48" si="0">IF(H5=1,"C",IF(H5=2,"B-",IF(H5=3,"B",IF(H5=4,"B+",IF(H5=5,"A")))))</f>
        <v>B</v>
      </c>
      <c r="H5" s="74">
        <v>3</v>
      </c>
      <c r="I5" s="9" t="str">
        <f>'Safety overall result'!L11</f>
        <v>The safety manager can explain what actions are required for recurrence prevention when occuring a safety accicdent.
(System: Safety Manager: No.86)
 *Ask SVs</v>
      </c>
      <c r="J5" s="28"/>
      <c r="K5" s="124"/>
      <c r="L5" s="124"/>
      <c r="M5" s="124"/>
      <c r="N5" s="124"/>
    </row>
    <row r="6" spans="2:14" ht="82.5">
      <c r="B6" s="2"/>
      <c r="C6" s="553"/>
      <c r="D6" s="553"/>
      <c r="E6" s="553"/>
      <c r="F6" s="553"/>
      <c r="G6" s="74" t="str">
        <f t="shared" si="0"/>
        <v>A</v>
      </c>
      <c r="H6" s="74">
        <v>5</v>
      </c>
      <c r="I6" s="9" t="str">
        <f>'Safety overall result'!P11</f>
        <v>The safety leader can explain how such reviews are completed and why that method(s) is effective, providing feedback to SBU and assisting in determining countermeasures. (Example: Share more valid safety measreus than measures proposed by GBS/SBU)
(System: Safety Manager: No.140)
 *Ask SVs</v>
      </c>
      <c r="J6" s="28"/>
      <c r="K6" s="124"/>
      <c r="L6" s="124"/>
      <c r="M6" s="124"/>
      <c r="N6" s="124"/>
    </row>
    <row r="7" spans="2:14" ht="49.5">
      <c r="C7" s="553"/>
      <c r="D7" s="553"/>
      <c r="E7" s="553"/>
      <c r="F7" s="12" t="s">
        <v>71</v>
      </c>
      <c r="G7" s="10" t="str">
        <f t="shared" si="0"/>
        <v>A</v>
      </c>
      <c r="H7" s="10">
        <v>5</v>
      </c>
      <c r="I7" s="11" t="str">
        <f>'Safety overall result'!P12</f>
        <v>Past countermeasures have been re-checked its implementation status periodically.
 *At least, need to check its progress within 1 year.
(Safety Manager)</v>
      </c>
      <c r="J7" s="28"/>
      <c r="K7" s="124"/>
      <c r="L7" s="124"/>
      <c r="M7" s="124"/>
      <c r="N7" s="124"/>
    </row>
    <row r="8" spans="2:14" ht="49.5">
      <c r="C8" s="553" t="s">
        <v>77</v>
      </c>
      <c r="D8" s="553" t="s">
        <v>494</v>
      </c>
      <c r="E8" s="553" t="s">
        <v>495</v>
      </c>
      <c r="F8" s="553" t="s">
        <v>78</v>
      </c>
      <c r="G8" s="74" t="str">
        <f t="shared" si="0"/>
        <v>C</v>
      </c>
      <c r="H8" s="74">
        <v>1</v>
      </c>
      <c r="I8" s="9" t="str">
        <f>'Safety overall result'!H14</f>
        <v>There is evidence that the required risk assessments have been done or there is a plan to complete.
(System: Safety Manager: No.28)
 *Ask SVs</v>
      </c>
      <c r="J8" s="28"/>
      <c r="K8" s="124"/>
      <c r="L8" s="124"/>
      <c r="M8" s="124"/>
      <c r="N8" s="124"/>
    </row>
    <row r="9" spans="2:14" ht="49.5">
      <c r="C9" s="553"/>
      <c r="D9" s="553"/>
      <c r="E9" s="553"/>
      <c r="F9" s="553"/>
      <c r="G9" s="74" t="str">
        <f t="shared" si="0"/>
        <v>B-</v>
      </c>
      <c r="H9" s="74">
        <v>2</v>
      </c>
      <c r="I9" s="9" t="str">
        <f>'Safety overall result'!J14</f>
        <v>There is a risk tracking that lists specific risks on site.
(System: Safety Manager: No.50)
 *Ask SVs</v>
      </c>
      <c r="J9" s="28"/>
      <c r="K9" s="124"/>
      <c r="L9" s="124"/>
      <c r="M9" s="124"/>
      <c r="N9" s="124"/>
    </row>
    <row r="10" spans="2:14" ht="66">
      <c r="C10" s="553"/>
      <c r="D10" s="553"/>
      <c r="E10" s="553"/>
      <c r="F10" s="553"/>
      <c r="G10" s="74" t="str">
        <f t="shared" si="0"/>
        <v>B</v>
      </c>
      <c r="H10" s="74">
        <v>3</v>
      </c>
      <c r="I10" s="9" t="str">
        <f>'Safety overall result'!L14</f>
        <v>There is at least one control prescribed for each risk identified. These controls are either administrative or technical by nature. The remaining risks are post &amp; written in the work standard.
(System: Safety Manager: No.90)
 *Ask SVs</v>
      </c>
      <c r="J10" s="28"/>
      <c r="K10" s="124"/>
      <c r="L10" s="124"/>
      <c r="M10" s="124"/>
      <c r="N10" s="124"/>
    </row>
    <row r="11" spans="2:14" ht="66">
      <c r="C11" s="553"/>
      <c r="D11" s="553"/>
      <c r="E11" s="553"/>
      <c r="F11" s="553"/>
      <c r="G11" s="74" t="str">
        <f t="shared" si="0"/>
        <v>A</v>
      </c>
      <c r="H11" s="74">
        <v>5</v>
      </c>
      <c r="I11" s="9" t="str">
        <f>'Safety overall result'!P14</f>
        <v>The respondent can show evidence of at least one review performed in the past 12 months where the risk assessment result/process was improved based on external best practice. 
(System: Safety Manager: No.154)
 *Ask SVs</v>
      </c>
      <c r="J11" s="28"/>
      <c r="K11" s="124"/>
      <c r="L11" s="124"/>
      <c r="M11" s="124"/>
      <c r="N11" s="124"/>
    </row>
    <row r="12" spans="2:14" ht="33">
      <c r="C12" s="553"/>
      <c r="D12" s="553"/>
      <c r="E12" s="553"/>
      <c r="F12" s="570" t="s">
        <v>80</v>
      </c>
      <c r="G12" s="12" t="str">
        <f t="shared" si="0"/>
        <v>C</v>
      </c>
      <c r="H12" s="12">
        <v>1</v>
      </c>
      <c r="I12" s="13" t="str">
        <f>'Safety overall result'!H15</f>
        <v>There is a plan for Machine RA.
(Safety Manager)</v>
      </c>
      <c r="J12" s="28"/>
      <c r="K12" s="124"/>
      <c r="L12" s="124"/>
      <c r="M12" s="124"/>
      <c r="N12" s="124"/>
    </row>
    <row r="13" spans="2:14" ht="49.5">
      <c r="C13" s="553"/>
      <c r="D13" s="553"/>
      <c r="E13" s="553"/>
      <c r="F13" s="570"/>
      <c r="G13" s="12" t="str">
        <f t="shared" si="0"/>
        <v>B-</v>
      </c>
      <c r="H13" s="12">
        <v>2</v>
      </c>
      <c r="I13" s="13" t="str">
        <f>'Safety overall result'!J15</f>
        <v>There is a plan for hardware countermeasures, but there is a delay in the plan. 
 *No corrective plan for the delay.
(Safety Manager)</v>
      </c>
      <c r="J13" s="28"/>
      <c r="K13" s="124"/>
      <c r="L13" s="124"/>
      <c r="M13" s="124"/>
      <c r="N13" s="124"/>
    </row>
    <row r="14" spans="2:14" ht="49.5">
      <c r="C14" s="553"/>
      <c r="D14" s="553"/>
      <c r="E14" s="553"/>
      <c r="F14" s="570"/>
      <c r="G14" s="12" t="str">
        <f t="shared" si="0"/>
        <v>B</v>
      </c>
      <c r="H14" s="12">
        <v>3</v>
      </c>
      <c r="I14" s="13" t="str">
        <f>'Safety overall result'!L15</f>
        <v>There is a plan for hardware countermeasures , and it is on-going to the plan.
Or, there is a delay but corrective plan has been made for it, and it is on-going.
(Safety Manager)</v>
      </c>
      <c r="J14" s="28"/>
      <c r="K14" s="124"/>
      <c r="L14" s="124"/>
      <c r="M14" s="124"/>
      <c r="N14" s="124"/>
    </row>
    <row r="15" spans="2:14" ht="33">
      <c r="C15" s="553"/>
      <c r="D15" s="553"/>
      <c r="E15" s="553"/>
      <c r="F15" s="570"/>
      <c r="G15" s="12" t="str">
        <f t="shared" si="0"/>
        <v>B+</v>
      </c>
      <c r="H15" s="12">
        <v>4</v>
      </c>
      <c r="I15" s="13" t="str">
        <f>'Safety overall result'!N15</f>
        <v>There is a plan for hardware contermeasures, and progressing ahead of the plan, but not yet completed.
(Safety Manager)</v>
      </c>
      <c r="J15" s="28"/>
      <c r="K15" s="124"/>
      <c r="L15" s="124"/>
      <c r="M15" s="124"/>
      <c r="N15" s="124"/>
    </row>
    <row r="16" spans="2:14" ht="49.5">
      <c r="C16" s="553"/>
      <c r="D16" s="553"/>
      <c r="E16" s="553"/>
      <c r="F16" s="570"/>
      <c r="G16" s="12" t="str">
        <f t="shared" si="0"/>
        <v>A</v>
      </c>
      <c r="H16" s="12">
        <v>5</v>
      </c>
      <c r="I16" s="13" t="str">
        <f>'Safety overall result'!P15</f>
        <v>All contermeasures have been completed.
 *all risks that could be countered by hardware have been reduced by hardware.
(Safety Manager)</v>
      </c>
      <c r="J16" s="28"/>
      <c r="K16" s="124"/>
      <c r="L16" s="124"/>
      <c r="M16" s="124"/>
      <c r="N16" s="124"/>
    </row>
    <row r="17" spans="3:14" ht="33">
      <c r="C17" s="553"/>
      <c r="D17" s="553"/>
      <c r="E17" s="553"/>
      <c r="F17" s="570" t="s">
        <v>82</v>
      </c>
      <c r="G17" s="12" t="str">
        <f t="shared" si="0"/>
        <v>C</v>
      </c>
      <c r="H17" s="12">
        <v>1</v>
      </c>
      <c r="I17" s="13" t="str">
        <f>'Safety overall result'!H16</f>
        <v>There is a plan for Task RA.
(Safety Manager)</v>
      </c>
      <c r="J17" s="28"/>
      <c r="K17" s="124"/>
      <c r="L17" s="124"/>
      <c r="M17" s="124"/>
      <c r="N17" s="124"/>
    </row>
    <row r="18" spans="3:14" ht="49.5">
      <c r="C18" s="553"/>
      <c r="D18" s="553"/>
      <c r="E18" s="553"/>
      <c r="F18" s="570"/>
      <c r="G18" s="12" t="str">
        <f t="shared" si="0"/>
        <v>B-</v>
      </c>
      <c r="H18" s="12">
        <v>2</v>
      </c>
      <c r="I18" s="13" t="str">
        <f>'Safety overall result'!J16</f>
        <v>There is a plan for Task RA, but there is a delay in the plan. 
 *No corrective plan for the delay.
(Safety Manager)</v>
      </c>
      <c r="J18" s="28"/>
      <c r="K18" s="124"/>
      <c r="L18" s="124"/>
      <c r="M18" s="124"/>
      <c r="N18" s="124"/>
    </row>
    <row r="19" spans="3:14" ht="49.5">
      <c r="C19" s="553"/>
      <c r="D19" s="553"/>
      <c r="E19" s="553"/>
      <c r="F19" s="570"/>
      <c r="G19" s="12" t="str">
        <f t="shared" si="0"/>
        <v>B</v>
      </c>
      <c r="H19" s="12">
        <v>3</v>
      </c>
      <c r="I19" s="13" t="str">
        <f>'Safety overall result'!L16</f>
        <v>There is a plan for Task RA, and it is on-going to the plan.
Or, there is a delay but corrective plan has been made for it, and it is on-going.
(Safety Manager)</v>
      </c>
      <c r="J19" s="28"/>
      <c r="K19" s="124"/>
      <c r="L19" s="124"/>
      <c r="M19" s="124"/>
      <c r="N19" s="124"/>
    </row>
    <row r="20" spans="3:14" ht="33">
      <c r="C20" s="553"/>
      <c r="D20" s="553"/>
      <c r="E20" s="553"/>
      <c r="F20" s="570"/>
      <c r="G20" s="12" t="str">
        <f t="shared" si="0"/>
        <v>B+</v>
      </c>
      <c r="H20" s="12">
        <v>4</v>
      </c>
      <c r="I20" s="13" t="str">
        <f>'Safety overall result'!N16</f>
        <v>There is a plan for Task RA, and progressing ahead of the plan, but not yet completed.
(Safety Manager)</v>
      </c>
      <c r="J20" s="28"/>
      <c r="K20" s="124"/>
      <c r="L20" s="124"/>
      <c r="M20" s="124"/>
      <c r="N20" s="124"/>
    </row>
    <row r="21" spans="3:14" ht="33">
      <c r="C21" s="553"/>
      <c r="D21" s="553"/>
      <c r="E21" s="553"/>
      <c r="F21" s="570"/>
      <c r="G21" s="12" t="str">
        <f t="shared" si="0"/>
        <v>A</v>
      </c>
      <c r="H21" s="12">
        <v>5</v>
      </c>
      <c r="I21" s="13" t="str">
        <f>'Safety overall result'!P16</f>
        <v>All task RA have been completed.
(Safety Manager)</v>
      </c>
      <c r="J21" s="28"/>
      <c r="K21" s="124"/>
      <c r="L21" s="124"/>
      <c r="M21" s="124"/>
      <c r="N21" s="124"/>
    </row>
    <row r="22" spans="3:14" ht="49.5" customHeight="1">
      <c r="C22" s="553"/>
      <c r="D22" s="553"/>
      <c r="E22" s="553"/>
      <c r="F22" s="576" t="s">
        <v>87</v>
      </c>
      <c r="G22" s="12" t="str">
        <f t="shared" si="0"/>
        <v>C</v>
      </c>
      <c r="H22" s="12">
        <v>1</v>
      </c>
      <c r="I22" s="307" t="s">
        <v>307</v>
      </c>
      <c r="J22" s="28"/>
      <c r="K22" s="124"/>
      <c r="L22" s="124"/>
      <c r="M22" s="124"/>
      <c r="N22" s="124"/>
    </row>
    <row r="23" spans="3:14" ht="49.5">
      <c r="C23" s="553"/>
      <c r="D23" s="553"/>
      <c r="E23" s="553"/>
      <c r="F23" s="577"/>
      <c r="G23" s="12" t="str">
        <f t="shared" si="0"/>
        <v>B-</v>
      </c>
      <c r="H23" s="12">
        <v>2</v>
      </c>
      <c r="I23" s="308" t="s">
        <v>308</v>
      </c>
      <c r="J23" s="28"/>
      <c r="K23" s="124"/>
      <c r="L23" s="124"/>
      <c r="M23" s="124"/>
      <c r="N23" s="124"/>
    </row>
    <row r="24" spans="3:14" ht="66">
      <c r="C24" s="553"/>
      <c r="D24" s="553"/>
      <c r="E24" s="553"/>
      <c r="F24" s="577"/>
      <c r="G24" s="12" t="str">
        <f t="shared" si="0"/>
        <v>B</v>
      </c>
      <c r="H24" s="12">
        <v>3</v>
      </c>
      <c r="I24" s="308" t="s">
        <v>309</v>
      </c>
      <c r="J24" s="28"/>
      <c r="K24" s="124"/>
      <c r="L24" s="124"/>
      <c r="M24" s="124"/>
      <c r="N24" s="124"/>
    </row>
    <row r="25" spans="3:14" ht="49.5">
      <c r="C25" s="553"/>
      <c r="D25" s="553"/>
      <c r="E25" s="553"/>
      <c r="F25" s="577"/>
      <c r="G25" s="12" t="str">
        <f t="shared" si="0"/>
        <v>B+</v>
      </c>
      <c r="H25" s="12">
        <v>4</v>
      </c>
      <c r="I25" s="308" t="s">
        <v>310</v>
      </c>
      <c r="J25" s="28"/>
      <c r="K25" s="124"/>
      <c r="L25" s="124"/>
      <c r="M25" s="124"/>
      <c r="N25" s="124"/>
    </row>
    <row r="26" spans="3:14" ht="66">
      <c r="C26" s="553"/>
      <c r="D26" s="553"/>
      <c r="E26" s="553"/>
      <c r="F26" s="578"/>
      <c r="G26" s="12" t="str">
        <f t="shared" si="0"/>
        <v>A</v>
      </c>
      <c r="H26" s="12">
        <v>5</v>
      </c>
      <c r="I26" s="308" t="s">
        <v>311</v>
      </c>
      <c r="J26" s="28"/>
      <c r="K26" s="124"/>
      <c r="L26" s="124"/>
      <c r="M26" s="124"/>
      <c r="N26" s="124"/>
    </row>
    <row r="27" spans="3:14" ht="33">
      <c r="C27" s="553"/>
      <c r="D27" s="553"/>
      <c r="E27" s="553"/>
      <c r="F27" s="570" t="s">
        <v>89</v>
      </c>
      <c r="G27" s="12" t="str">
        <f t="shared" si="0"/>
        <v>C</v>
      </c>
      <c r="H27" s="12">
        <v>1</v>
      </c>
      <c r="I27" s="13" t="str">
        <f>'Safety overall result'!H20</f>
        <v>Safety trainings have been given to workers when new hired and/or trasfered. 
(SVs)</v>
      </c>
      <c r="J27" s="385"/>
      <c r="K27" s="124"/>
      <c r="L27" s="124"/>
      <c r="M27" s="124"/>
      <c r="N27" s="124"/>
    </row>
    <row r="28" spans="3:14" ht="33">
      <c r="C28" s="553"/>
      <c r="D28" s="553"/>
      <c r="E28" s="553"/>
      <c r="F28" s="570"/>
      <c r="G28" s="12" t="str">
        <f t="shared" si="0"/>
        <v>B-</v>
      </c>
      <c r="H28" s="12">
        <v>2</v>
      </c>
      <c r="I28" s="13" t="str">
        <f>'Safety overall result'!J20</f>
        <v>Safety training meets regional legal requirement.
(SVs)</v>
      </c>
      <c r="J28" s="385"/>
      <c r="K28" s="124"/>
      <c r="L28" s="124"/>
      <c r="M28" s="124"/>
      <c r="N28" s="124"/>
    </row>
    <row r="29" spans="3:14" ht="33">
      <c r="C29" s="553"/>
      <c r="D29" s="553"/>
      <c r="E29" s="553"/>
      <c r="F29" s="570"/>
      <c r="G29" s="12" t="str">
        <f t="shared" si="0"/>
        <v>B</v>
      </c>
      <c r="H29" s="12">
        <v>3</v>
      </c>
      <c r="I29" s="13" t="str">
        <f>'Safety overall result'!L20</f>
        <v>Operators can work alone after their skill/knowledge is validated by the site's criteria.
(SVs)</v>
      </c>
      <c r="J29" s="385"/>
      <c r="K29" s="124"/>
      <c r="L29" s="124"/>
      <c r="M29" s="124"/>
      <c r="N29" s="124"/>
    </row>
    <row r="30" spans="3:14" ht="49.5">
      <c r="C30" s="553"/>
      <c r="D30" s="553"/>
      <c r="E30" s="553"/>
      <c r="F30" s="570"/>
      <c r="G30" s="12" t="str">
        <f t="shared" si="0"/>
        <v>B+</v>
      </c>
      <c r="H30" s="12">
        <v>4</v>
      </c>
      <c r="I30" s="13" t="str">
        <f>'Safety overall result'!N20</f>
        <v>Skill/knowledge training is managed by IIP for all operaters, and its criteria is clear.
Also, their skill/knowledge is followed up until they achieve 100%
(SVs)</v>
      </c>
      <c r="J30" s="385"/>
      <c r="K30" s="124"/>
      <c r="L30" s="124"/>
      <c r="M30" s="124"/>
      <c r="N30" s="124"/>
    </row>
    <row r="31" spans="3:14" ht="33">
      <c r="C31" s="553"/>
      <c r="D31" s="553"/>
      <c r="E31" s="553"/>
      <c r="F31" s="570"/>
      <c r="G31" s="12" t="str">
        <f t="shared" si="0"/>
        <v>A</v>
      </c>
      <c r="H31" s="12">
        <v>5</v>
      </c>
      <c r="I31" s="13" t="str">
        <f>'Safety overall result'!P20</f>
        <v>All operators understanding is confirmed periodically, and the confirmation step is standardized.
(SVs)</v>
      </c>
      <c r="J31" s="385"/>
      <c r="K31" s="124"/>
      <c r="L31" s="124"/>
      <c r="M31" s="124"/>
      <c r="N31" s="124"/>
    </row>
    <row r="32" spans="3:14" ht="33" customHeight="1">
      <c r="C32" s="547" t="s">
        <v>91</v>
      </c>
      <c r="D32" s="553" t="s">
        <v>484</v>
      </c>
      <c r="E32" s="553" t="s">
        <v>485</v>
      </c>
      <c r="F32" s="553" t="s">
        <v>94</v>
      </c>
      <c r="G32" s="74" t="str">
        <f t="shared" si="0"/>
        <v>B-</v>
      </c>
      <c r="H32" s="74">
        <v>2</v>
      </c>
      <c r="I32" s="15" t="str">
        <f>'Safety overall result'!J21</f>
        <v>OH&amp;S policy has been established at site. And the manager can explain it.
(System: Plant Manager: No.9)
(Mgr + SV)</v>
      </c>
      <c r="J32" s="28"/>
      <c r="K32" s="124"/>
      <c r="L32" s="124"/>
      <c r="M32" s="124"/>
      <c r="N32" s="124"/>
    </row>
    <row r="33" spans="3:14" ht="33" customHeight="1">
      <c r="C33" s="548"/>
      <c r="D33" s="553"/>
      <c r="E33" s="553"/>
      <c r="F33" s="553"/>
      <c r="G33" s="74" t="str">
        <f t="shared" si="0"/>
        <v>B</v>
      </c>
      <c r="H33" s="74">
        <v>3</v>
      </c>
      <c r="I33" s="15" t="str">
        <f>'Safety overall result'!L21</f>
        <v>Management can describe and explain the site's OH&amp;S objectives and goals.
(Mgr + SV)</v>
      </c>
      <c r="J33" s="28"/>
      <c r="K33" s="124"/>
      <c r="L33" s="124"/>
      <c r="M33" s="124"/>
      <c r="N33" s="124"/>
    </row>
    <row r="34" spans="3:14" ht="33" customHeight="1">
      <c r="C34" s="548"/>
      <c r="D34" s="553"/>
      <c r="E34" s="553"/>
      <c r="F34" s="553"/>
      <c r="G34" s="74" t="str">
        <f t="shared" si="0"/>
        <v>B+</v>
      </c>
      <c r="H34" s="74">
        <v>4</v>
      </c>
      <c r="I34" s="15" t="str">
        <f>'Safety overall result'!N21</f>
        <v>The plan contains goals to be achieved which are relevant to the incidents and risks identified by the SBU.
(Mgr + SV)</v>
      </c>
      <c r="J34" s="28"/>
      <c r="K34" s="124"/>
      <c r="L34" s="124"/>
      <c r="M34" s="124"/>
      <c r="N34" s="124"/>
    </row>
    <row r="35" spans="3:14" ht="43.5">
      <c r="C35" s="548"/>
      <c r="D35" s="74"/>
      <c r="E35" s="74"/>
      <c r="F35" s="547" t="s">
        <v>103</v>
      </c>
      <c r="G35" s="74" t="str">
        <f t="shared" si="0"/>
        <v>C</v>
      </c>
      <c r="H35" s="74">
        <v>1</v>
      </c>
      <c r="I35" s="48" t="s">
        <v>350</v>
      </c>
      <c r="J35" s="28"/>
      <c r="K35" s="124"/>
      <c r="L35" s="124"/>
      <c r="M35" s="124"/>
      <c r="N35" s="124"/>
    </row>
    <row r="36" spans="3:14" ht="49.5">
      <c r="C36" s="548"/>
      <c r="D36" s="74"/>
      <c r="E36" s="74"/>
      <c r="F36" s="548"/>
      <c r="G36" s="74" t="str">
        <f t="shared" si="0"/>
        <v>B-</v>
      </c>
      <c r="H36" s="74">
        <v>2</v>
      </c>
      <c r="I36" s="15" t="s">
        <v>351</v>
      </c>
      <c r="J36" s="28"/>
      <c r="K36" s="124"/>
      <c r="L36" s="124"/>
      <c r="M36" s="124"/>
      <c r="N36" s="124"/>
    </row>
    <row r="37" spans="3:14" ht="49.5">
      <c r="C37" s="548"/>
      <c r="D37" s="74"/>
      <c r="E37" s="74"/>
      <c r="F37" s="548"/>
      <c r="G37" s="74" t="str">
        <f t="shared" si="0"/>
        <v>B</v>
      </c>
      <c r="H37" s="74">
        <v>3</v>
      </c>
      <c r="I37" s="15" t="s">
        <v>352</v>
      </c>
      <c r="J37" s="28"/>
      <c r="K37" s="124"/>
      <c r="L37" s="124"/>
      <c r="M37" s="124"/>
      <c r="N37" s="124"/>
    </row>
    <row r="38" spans="3:14" ht="49.5">
      <c r="C38" s="548"/>
      <c r="D38" s="74"/>
      <c r="E38" s="74"/>
      <c r="F38" s="548"/>
      <c r="G38" s="74" t="str">
        <f t="shared" si="0"/>
        <v>B+</v>
      </c>
      <c r="H38" s="74">
        <v>4</v>
      </c>
      <c r="I38" s="15" t="s">
        <v>353</v>
      </c>
      <c r="J38" s="28"/>
      <c r="K38" s="124"/>
      <c r="L38" s="124"/>
      <c r="M38" s="124"/>
      <c r="N38" s="124"/>
    </row>
    <row r="39" spans="3:14" ht="49.5">
      <c r="C39" s="549"/>
      <c r="D39" s="74"/>
      <c r="E39" s="74"/>
      <c r="F39" s="549"/>
      <c r="G39" s="74" t="str">
        <f t="shared" si="0"/>
        <v>A</v>
      </c>
      <c r="H39" s="74">
        <v>5</v>
      </c>
      <c r="I39" s="15" t="s">
        <v>354</v>
      </c>
      <c r="J39" s="28"/>
      <c r="K39" s="124"/>
      <c r="L39" s="124"/>
      <c r="M39" s="124"/>
      <c r="N39" s="124"/>
    </row>
    <row r="40" spans="3:14" ht="66">
      <c r="C40" s="553" t="s">
        <v>192</v>
      </c>
      <c r="D40" s="553" t="s">
        <v>486</v>
      </c>
      <c r="E40" s="553" t="s">
        <v>487</v>
      </c>
      <c r="F40" s="74" t="s">
        <v>109</v>
      </c>
      <c r="G40" s="74" t="str">
        <f t="shared" si="0"/>
        <v>B-</v>
      </c>
      <c r="H40" s="74">
        <v>2</v>
      </c>
      <c r="I40" s="9" t="str">
        <f>'Safety overall result'!J28</f>
        <v>There is an officially appointed 3S leader on site. There is evidence of 3S inspections and recommended actions to improve 3S. 
(System: Safety Manager: No.44+45)
(SV)</v>
      </c>
      <c r="J40" s="325"/>
      <c r="K40" s="124"/>
      <c r="L40" s="124"/>
      <c r="M40" s="124"/>
      <c r="N40" s="124"/>
    </row>
    <row r="41" spans="3:14" ht="33">
      <c r="C41" s="553"/>
      <c r="D41" s="553"/>
      <c r="E41" s="553"/>
      <c r="F41" s="74" t="s">
        <v>496</v>
      </c>
      <c r="G41" s="74" t="s">
        <v>18</v>
      </c>
      <c r="H41" s="74">
        <v>1</v>
      </c>
      <c r="I41" s="9" t="e">
        <f>'Safety overall result'!#REF!</f>
        <v>#REF!</v>
      </c>
      <c r="J41" s="325"/>
      <c r="K41" s="124"/>
      <c r="L41" s="124"/>
      <c r="M41" s="124"/>
      <c r="N41" s="124"/>
    </row>
    <row r="42" spans="3:14" ht="49.5">
      <c r="C42" s="553"/>
      <c r="D42" s="553"/>
      <c r="E42" s="553"/>
      <c r="F42" s="553" t="s">
        <v>112</v>
      </c>
      <c r="G42" s="74" t="str">
        <f t="shared" si="0"/>
        <v>C</v>
      </c>
      <c r="H42" s="74">
        <v>1</v>
      </c>
      <c r="I42" s="14" t="str">
        <f>'Safety overall result'!H29</f>
        <v>KYT has not been implemented.
(Safety Manager)
　*Ask SVs</v>
      </c>
      <c r="J42" s="28"/>
      <c r="K42" s="386"/>
      <c r="L42" s="124"/>
      <c r="M42" s="124"/>
      <c r="N42" s="124"/>
    </row>
    <row r="43" spans="3:14" ht="61.5" customHeight="1">
      <c r="C43" s="553"/>
      <c r="D43" s="553"/>
      <c r="E43" s="553"/>
      <c r="F43" s="553"/>
      <c r="G43" s="74" t="str">
        <f t="shared" si="0"/>
        <v>B-</v>
      </c>
      <c r="H43" s="74">
        <v>2</v>
      </c>
      <c r="I43" s="16" t="str">
        <f>'Safety overall result'!J29</f>
        <v>There is evidence of a defined KY process that been communicated with all staff at least once in the past year.
(System: Manager: No.26)</v>
      </c>
      <c r="J43" s="28"/>
      <c r="K43" s="124"/>
      <c r="L43" s="124"/>
      <c r="M43" s="124"/>
      <c r="N43" s="124"/>
    </row>
    <row r="44" spans="3:14" ht="49.5">
      <c r="C44" s="553"/>
      <c r="D44" s="553"/>
      <c r="E44" s="553"/>
      <c r="F44" s="553"/>
      <c r="G44" s="74" t="str">
        <f t="shared" si="0"/>
        <v>B</v>
      </c>
      <c r="H44" s="74">
        <v>3</v>
      </c>
      <c r="I44" s="16" t="str">
        <f>'Safety overall result'!L29</f>
        <v xml:space="preserve">There is an officially appointed KY leader and KY representatives on site.
KYT records show that everyone (all teammates and temporary staff) completed KYT monthly </v>
      </c>
      <c r="J44" s="28"/>
      <c r="K44" s="124"/>
      <c r="L44" s="124"/>
      <c r="M44" s="124"/>
      <c r="N44" s="124"/>
    </row>
    <row r="45" spans="3:14" ht="66">
      <c r="C45" s="553"/>
      <c r="D45" s="553"/>
      <c r="E45" s="553"/>
      <c r="F45" s="553"/>
      <c r="G45" s="74" t="str">
        <f t="shared" si="0"/>
        <v>B+</v>
      </c>
      <c r="H45" s="74">
        <v>4</v>
      </c>
      <c r="I45" s="16" t="str">
        <f>'Safety overall result'!N29</f>
        <v>KY is performed by everyone onsite (at workstation, equipment, machine, office)
The results from KYT/KY onsite used to develop new safety rules or adjust old rules or improvement of safety measures for hazards((risk mitigation/administrative measures)</v>
      </c>
      <c r="J45" s="28"/>
      <c r="K45" s="124"/>
      <c r="L45" s="124"/>
      <c r="M45" s="124"/>
      <c r="N45" s="124"/>
    </row>
    <row r="46" spans="3:14" ht="54.75" customHeight="1">
      <c r="C46" s="553"/>
      <c r="D46" s="553"/>
      <c r="E46" s="553"/>
      <c r="F46" s="553"/>
      <c r="G46" s="74" t="str">
        <f t="shared" si="0"/>
        <v>A</v>
      </c>
      <c r="H46" s="74">
        <v>5</v>
      </c>
      <c r="I46" s="16" t="str">
        <f>'Safety overall result'!P29</f>
        <v>The KYT activity is evaluated and opportunity for inprovement is discussed with the plant manager annually. 
(System: Safety Manager: No.113)</v>
      </c>
      <c r="J46" s="28"/>
      <c r="K46" s="124"/>
      <c r="L46" s="124"/>
      <c r="M46" s="124"/>
      <c r="N46" s="124"/>
    </row>
    <row r="47" spans="3:14" ht="49.5">
      <c r="C47" s="553"/>
      <c r="D47" s="553"/>
      <c r="E47" s="553"/>
      <c r="F47" s="553" t="s">
        <v>118</v>
      </c>
      <c r="G47" s="74" t="str">
        <f t="shared" si="0"/>
        <v>B-</v>
      </c>
      <c r="H47" s="74">
        <v>2</v>
      </c>
      <c r="I47" s="9" t="str">
        <f>'Safety overall result'!J31</f>
        <v>The respondent can clearly indicate how Site Safety Rules are reviewed and improved.
(System: Safety Manager: No.41)
(SV)</v>
      </c>
      <c r="J47" s="28"/>
      <c r="K47" s="124"/>
      <c r="L47" s="124"/>
      <c r="M47" s="124"/>
      <c r="N47" s="124"/>
    </row>
    <row r="48" spans="3:14" ht="66">
      <c r="C48" s="553"/>
      <c r="D48" s="553"/>
      <c r="E48" s="553"/>
      <c r="F48" s="553"/>
      <c r="G48" s="74" t="str">
        <f t="shared" si="0"/>
        <v>B+</v>
      </c>
      <c r="H48" s="74">
        <v>4</v>
      </c>
      <c r="I48" s="9" t="str">
        <f>'Safety overall result'!N31</f>
        <v>Line-management conducts floor observations(e.g. site tours) and provide feedbacks to teammates to ensure adherence to safety rules, such as procedures, standards, etc. 
(Leadership: SVs: No.9)
(SV)</v>
      </c>
      <c r="J48" s="325"/>
      <c r="K48" s="124"/>
      <c r="L48" s="124"/>
      <c r="M48" s="124"/>
      <c r="N48" s="124"/>
    </row>
    <row r="49" spans="3:10" ht="16.5">
      <c r="C49" s="2"/>
      <c r="D49" s="2"/>
      <c r="E49" s="2"/>
      <c r="F49" s="6"/>
      <c r="G49" s="6"/>
      <c r="H49" s="6"/>
      <c r="I49" s="3"/>
      <c r="J49" s="29"/>
    </row>
    <row r="50" spans="3:10" ht="16.5">
      <c r="C50" s="2"/>
      <c r="D50" s="2"/>
      <c r="E50" s="2"/>
      <c r="F50" s="6"/>
      <c r="G50" s="6"/>
      <c r="H50" s="6"/>
      <c r="I50" s="3"/>
      <c r="J50" s="29"/>
    </row>
    <row r="51" spans="3:10" ht="16.5">
      <c r="C51" s="2"/>
      <c r="D51" s="2"/>
      <c r="E51" s="2"/>
      <c r="F51" s="6"/>
      <c r="G51" s="6"/>
      <c r="H51" s="6"/>
      <c r="I51" s="3"/>
      <c r="J51" s="29"/>
    </row>
    <row r="52" spans="3:10" ht="16.5">
      <c r="C52" s="2"/>
      <c r="D52" s="2"/>
      <c r="E52" s="2"/>
      <c r="F52" s="6"/>
      <c r="G52" s="6"/>
      <c r="H52" s="6"/>
      <c r="I52" s="3"/>
      <c r="J52" s="29"/>
    </row>
    <row r="53" spans="3:10" ht="16.5">
      <c r="F53" s="6"/>
      <c r="G53" s="6"/>
      <c r="H53" s="6"/>
      <c r="I53" s="3"/>
      <c r="J53" s="29"/>
    </row>
    <row r="54" spans="3:10" ht="16.5" hidden="1">
      <c r="F54" s="17" t="s">
        <v>441</v>
      </c>
      <c r="G54" s="17"/>
      <c r="H54" s="17"/>
      <c r="I54" s="18" t="s">
        <v>442</v>
      </c>
      <c r="J54" s="30"/>
    </row>
    <row r="55" spans="3:10" ht="16.5" hidden="1">
      <c r="F55" s="17"/>
      <c r="G55" s="17"/>
      <c r="H55" s="17"/>
      <c r="I55" s="18"/>
      <c r="J55" s="30"/>
    </row>
    <row r="56" spans="3:10" ht="16.5" hidden="1">
      <c r="F56" s="17" t="s">
        <v>449</v>
      </c>
      <c r="G56" s="17"/>
      <c r="H56" s="17"/>
      <c r="I56" s="18" t="s">
        <v>450</v>
      </c>
      <c r="J56" s="30"/>
    </row>
    <row r="57" spans="3:10" ht="16.5" hidden="1">
      <c r="F57" s="17"/>
      <c r="G57" s="17"/>
      <c r="H57" s="17"/>
      <c r="I57" s="18" t="s">
        <v>455</v>
      </c>
      <c r="J57" s="30"/>
    </row>
    <row r="58" spans="3:10" ht="16.5" hidden="1">
      <c r="F58" s="17" t="s">
        <v>457</v>
      </c>
      <c r="G58" s="17"/>
      <c r="H58" s="17"/>
      <c r="I58" s="19"/>
      <c r="J58" s="17"/>
    </row>
    <row r="59" spans="3:10" ht="16.5" hidden="1">
      <c r="F59" s="17"/>
      <c r="G59" s="17"/>
      <c r="H59" s="17"/>
      <c r="I59" s="18"/>
      <c r="J59" s="30"/>
    </row>
    <row r="60" spans="3:10" ht="16.5" hidden="1">
      <c r="F60" s="17" t="s">
        <v>461</v>
      </c>
      <c r="G60" s="17"/>
      <c r="H60" s="17"/>
      <c r="I60" s="18" t="s">
        <v>462</v>
      </c>
      <c r="J60" s="30"/>
    </row>
    <row r="61" spans="3:10" ht="16.5" hidden="1">
      <c r="F61" s="17"/>
      <c r="G61" s="17"/>
      <c r="H61" s="17"/>
      <c r="I61" s="18" t="s">
        <v>467</v>
      </c>
      <c r="J61" s="30"/>
    </row>
    <row r="62" spans="3:10" ht="33" hidden="1">
      <c r="F62" s="20" t="s">
        <v>470</v>
      </c>
      <c r="G62" s="20"/>
      <c r="H62" s="20"/>
      <c r="I62" s="21" t="s">
        <v>471</v>
      </c>
      <c r="J62" s="31"/>
    </row>
    <row r="63" spans="3:10" ht="16.5" hidden="1">
      <c r="F63" s="20"/>
      <c r="G63" s="20"/>
      <c r="H63" s="20"/>
      <c r="I63" s="21"/>
      <c r="J63" s="31"/>
    </row>
    <row r="64" spans="3:10" ht="16.5">
      <c r="F64" s="6"/>
      <c r="G64" s="6"/>
      <c r="H64" s="6"/>
      <c r="I64" s="3"/>
      <c r="J64" s="29"/>
    </row>
  </sheetData>
  <mergeCells count="22">
    <mergeCell ref="C40:C48"/>
    <mergeCell ref="D40:D48"/>
    <mergeCell ref="E40:E48"/>
    <mergeCell ref="F27:F31"/>
    <mergeCell ref="F32:F34"/>
    <mergeCell ref="F42:F46"/>
    <mergeCell ref="F47:F48"/>
    <mergeCell ref="D32:D34"/>
    <mergeCell ref="E32:E34"/>
    <mergeCell ref="F22:F26"/>
    <mergeCell ref="F35:F39"/>
    <mergeCell ref="C32:C39"/>
    <mergeCell ref="F4:F6"/>
    <mergeCell ref="F8:F11"/>
    <mergeCell ref="F12:F16"/>
    <mergeCell ref="F17:F21"/>
    <mergeCell ref="C4:C7"/>
    <mergeCell ref="D4:D7"/>
    <mergeCell ref="E4:E7"/>
    <mergeCell ref="C8:C31"/>
    <mergeCell ref="D8:D31"/>
    <mergeCell ref="E8:E31"/>
  </mergeCells>
  <phoneticPr fontId="6"/>
  <conditionalFormatting sqref="J4:J48">
    <cfRule type="containsText" dxfId="11" priority="7" operator="containsText" text="No">
      <formula>NOT(ISERROR(SEARCH("No",J4)))</formula>
    </cfRule>
  </conditionalFormatting>
  <pageMargins left="0.7" right="0.7" top="0.75" bottom="0.75" header="0.3" footer="0.3"/>
  <pageSetup paperSize="8" scale="48"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48ADD-CFE5-42B0-808A-41231EBAE3D9}">
  <sheetPr codeName="Sheet11"/>
  <dimension ref="B2:N44"/>
  <sheetViews>
    <sheetView zoomScale="72" zoomScaleNormal="70" workbookViewId="0">
      <pane ySplit="3" topLeftCell="A4" activePane="bottomLeft" state="frozen"/>
      <selection pane="bottomLeft" activeCell="I5" sqref="I5"/>
    </sheetView>
  </sheetViews>
  <sheetFormatPr defaultColWidth="8.85546875" defaultRowHeight="14.45"/>
  <cols>
    <col min="1" max="1" width="1.7109375" customWidth="1"/>
    <col min="3" max="3" width="15.140625" bestFit="1" customWidth="1"/>
    <col min="4" max="4" width="32.42578125" hidden="1" customWidth="1"/>
    <col min="5" max="5" width="22.140625" hidden="1" customWidth="1"/>
    <col min="6" max="6" width="15" customWidth="1"/>
    <col min="7" max="8" width="7.85546875" customWidth="1"/>
    <col min="9" max="9" width="103.7109375" customWidth="1"/>
    <col min="10" max="10" width="10.140625" style="22" customWidth="1"/>
    <col min="11" max="11" width="34" style="22" customWidth="1"/>
    <col min="12" max="13" width="10.140625" style="22" customWidth="1"/>
    <col min="14" max="14" width="108" bestFit="1" customWidth="1"/>
  </cols>
  <sheetData>
    <row r="2" spans="2:14" ht="16.5">
      <c r="B2" s="2"/>
      <c r="C2" s="2"/>
      <c r="D2" s="2"/>
      <c r="E2" s="7"/>
      <c r="F2" s="3"/>
      <c r="G2" s="3"/>
      <c r="H2" s="3"/>
      <c r="I2" s="3"/>
      <c r="J2" s="29"/>
      <c r="K2" s="29"/>
      <c r="L2" s="29"/>
      <c r="M2" s="29"/>
      <c r="N2" s="2"/>
    </row>
    <row r="3" spans="2:14" s="22" customFormat="1" ht="33">
      <c r="B3" s="6"/>
      <c r="C3" s="74" t="s">
        <v>144</v>
      </c>
      <c r="D3" s="73" t="s">
        <v>478</v>
      </c>
      <c r="E3" s="73" t="s">
        <v>479</v>
      </c>
      <c r="F3" s="74" t="s">
        <v>52</v>
      </c>
      <c r="G3" s="73" t="s">
        <v>8</v>
      </c>
      <c r="H3" s="73" t="s">
        <v>480</v>
      </c>
      <c r="I3" s="74" t="s">
        <v>481</v>
      </c>
      <c r="J3" s="74" t="s">
        <v>242</v>
      </c>
      <c r="K3" s="29"/>
      <c r="L3" s="29"/>
      <c r="M3" s="29"/>
      <c r="N3" s="6" t="s">
        <v>497</v>
      </c>
    </row>
    <row r="4" spans="2:14" ht="66">
      <c r="B4" s="2"/>
      <c r="C4" s="553" t="s">
        <v>29</v>
      </c>
      <c r="D4" s="553" t="s">
        <v>482</v>
      </c>
      <c r="E4" s="553" t="s">
        <v>483</v>
      </c>
      <c r="F4" s="585" t="s">
        <v>66</v>
      </c>
      <c r="G4" s="76" t="str">
        <f>IF(H4=1,"C",IF(H4=2,"B-",IF(H4=3,"B",IF(H4=4,"B+",IF(H4=5,"A")))))</f>
        <v>C</v>
      </c>
      <c r="H4" s="76">
        <v>1</v>
      </c>
      <c r="I4" s="9" t="str">
        <f>'Safety overall result'!H10</f>
        <v>All teammates stated that, at least, safety manager and site leadership representative (e.g. plant manager, department manager, line manager) was involved in the root cause analysis process when a serious incident(lost-time-injury, etc.) occurred.
(Leadership: Operator: No.5)</v>
      </c>
      <c r="J4" s="24"/>
      <c r="K4" s="277"/>
      <c r="L4" s="277"/>
      <c r="M4" s="277"/>
      <c r="N4" s="2"/>
    </row>
    <row r="5" spans="2:14" ht="49.5">
      <c r="B5" s="2"/>
      <c r="C5" s="553"/>
      <c r="D5" s="553"/>
      <c r="E5" s="553"/>
      <c r="F5" s="585"/>
      <c r="G5" s="76" t="str">
        <f>IF(H5=1,"C",IF(H5=2,"B-",IF(H5=3,"B",IF(H5=4,"B+",IF(H5=5,"A")))))</f>
        <v>B-</v>
      </c>
      <c r="H5" s="76">
        <v>2</v>
      </c>
      <c r="I5" s="9" t="str">
        <f>'Safety overall result'!J10</f>
        <v>All teammates can state that they are informed of recent safety incidents (injury, near-miss, etc.) in their areas and actions have been taken to address these.
(Teammate Engagement: Operator: No.7)</v>
      </c>
      <c r="J5" s="321"/>
      <c r="K5" s="322"/>
      <c r="L5" s="277"/>
      <c r="M5" s="277"/>
      <c r="N5" s="2"/>
    </row>
    <row r="6" spans="2:14" ht="66">
      <c r="B6" s="2"/>
      <c r="C6" s="553"/>
      <c r="D6" s="553"/>
      <c r="E6" s="553"/>
      <c r="F6" s="585"/>
      <c r="G6" s="76" t="str">
        <f t="shared" ref="G6:G27" si="0">IF(H6=1,"C",IF(H6=2,"B-",IF(H6=3,"B",IF(H6=4,"B+",IF(H6=5,"A")))))</f>
        <v>B</v>
      </c>
      <c r="H6" s="76">
        <v>3</v>
      </c>
      <c r="I6" s="9" t="str">
        <f>'Safety overall result'!L10</f>
        <v>All teammates say that they are well informed and can explain how the information* communicated contributes to their safety.  
(System: Operator: No.64)
 *information: injury, near-miss etc.</v>
      </c>
      <c r="J6" s="24"/>
      <c r="K6" s="277"/>
      <c r="L6" s="277"/>
      <c r="M6" s="277"/>
      <c r="N6" s="2"/>
    </row>
    <row r="7" spans="2:14" ht="49.5">
      <c r="B7" s="2"/>
      <c r="C7" s="553"/>
      <c r="D7" s="553"/>
      <c r="E7" s="553"/>
      <c r="F7" s="585"/>
      <c r="G7" s="76" t="str">
        <f t="shared" si="0"/>
        <v>B+</v>
      </c>
      <c r="H7" s="76">
        <v>4</v>
      </c>
      <c r="I7" s="9" t="str">
        <f>'Safety overall result'!N10</f>
        <v>Teammates can provide examples of accidents which occurred on other facilities and how that information was obtained. 
(System: Operator: No.110)</v>
      </c>
      <c r="J7" s="24"/>
      <c r="K7" s="322"/>
      <c r="L7" s="277"/>
      <c r="M7" s="277"/>
      <c r="N7" s="2"/>
    </row>
    <row r="8" spans="2:14" s="79" customFormat="1" ht="33">
      <c r="B8" s="78"/>
      <c r="C8" s="553"/>
      <c r="D8" s="553"/>
      <c r="E8" s="553"/>
      <c r="F8" s="585"/>
      <c r="G8" s="76" t="str">
        <f t="shared" si="0"/>
        <v>A</v>
      </c>
      <c r="H8" s="76">
        <v>5</v>
      </c>
      <c r="I8" s="9" t="str">
        <f>'Safety overall result'!P10</f>
        <v>H&amp;S risks/measures of other departments have been shared at the safety meeting in your department.
(Teammate Engagement: Operator: No.17)</v>
      </c>
      <c r="J8" s="24"/>
      <c r="K8" s="277"/>
      <c r="L8" s="277"/>
      <c r="M8" s="277"/>
      <c r="N8" s="78"/>
    </row>
    <row r="9" spans="2:14" ht="49.5">
      <c r="B9" s="2"/>
      <c r="C9" s="553"/>
      <c r="D9" s="553"/>
      <c r="E9" s="553"/>
      <c r="F9" s="585" t="s">
        <v>69</v>
      </c>
      <c r="G9" s="76" t="str">
        <f t="shared" si="0"/>
        <v>B-</v>
      </c>
      <c r="H9" s="76">
        <v>2</v>
      </c>
      <c r="I9" s="9" t="str">
        <f>'Safety overall result'!J11</f>
        <v>A sample of 3 teammates, at least 1 (more than 33%) said they take part in the actions required to prevent safety accidents and provide feedback if these actions are not appropriate or useful. 
(Teammate Engagement: Operator: No.6)</v>
      </c>
      <c r="J9" s="74"/>
      <c r="K9" s="29"/>
      <c r="L9" s="29"/>
      <c r="M9" s="29"/>
      <c r="N9" s="2"/>
    </row>
    <row r="10" spans="2:14" ht="49.5">
      <c r="B10" s="2"/>
      <c r="C10" s="553"/>
      <c r="D10" s="553"/>
      <c r="E10" s="553"/>
      <c r="F10" s="585"/>
      <c r="G10" s="76" t="str">
        <f t="shared" si="0"/>
        <v>B+</v>
      </c>
      <c r="H10" s="76">
        <v>4</v>
      </c>
      <c r="I10" s="9" t="str">
        <f>'Safety overall result'!N11</f>
        <v>All teammates stated that management had taken specific actions to address hazards they reported, and these actions have been communicated to them. (safety point of view)
(Organization: Operator: No.16)</v>
      </c>
      <c r="J10" s="74"/>
      <c r="K10" s="29"/>
      <c r="L10" s="29"/>
      <c r="M10" s="29"/>
      <c r="N10" s="2"/>
    </row>
    <row r="11" spans="2:14" ht="65.25" customHeight="1">
      <c r="C11" s="581" t="s">
        <v>77</v>
      </c>
      <c r="D11" s="579" t="s">
        <v>498</v>
      </c>
      <c r="E11" s="579" t="s">
        <v>495</v>
      </c>
      <c r="F11" s="332" t="s">
        <v>78</v>
      </c>
      <c r="G11" s="332" t="str">
        <f t="shared" si="0"/>
        <v>B+</v>
      </c>
      <c r="H11" s="332">
        <v>4</v>
      </c>
      <c r="I11" s="16" t="str">
        <f>'Safety overall result'!N14</f>
        <v>The respondent is able to provide at least one recent example of bottom-up communication on hazards and risks.
(System: Safety Manager: No.xx)
 *Ask SVs</v>
      </c>
      <c r="J11" s="28"/>
      <c r="K11" s="387"/>
      <c r="L11" s="387"/>
      <c r="M11" s="387"/>
      <c r="N11" s="270"/>
    </row>
    <row r="12" spans="2:14" ht="49.5">
      <c r="C12" s="582"/>
      <c r="D12" s="579"/>
      <c r="E12" s="579"/>
      <c r="F12" s="586" t="s">
        <v>86</v>
      </c>
      <c r="G12" s="332" t="str">
        <f t="shared" si="0"/>
        <v>C</v>
      </c>
      <c r="H12" s="332">
        <v>1</v>
      </c>
      <c r="I12" s="16" t="str">
        <f>'Safety overall result'!H17</f>
        <v>The basic LOTO training has been implemented anually, all operators understand basic LOTO operation.
And, operator take one's own key and locks to GENBA if it is necessary.
(operator)</v>
      </c>
      <c r="J12" s="28"/>
      <c r="K12" s="387"/>
      <c r="L12" s="387"/>
      <c r="M12" s="387"/>
      <c r="N12" s="270"/>
    </row>
    <row r="13" spans="2:14" ht="49.5">
      <c r="C13" s="582"/>
      <c r="D13" s="579"/>
      <c r="E13" s="579"/>
      <c r="F13" s="587"/>
      <c r="G13" s="332" t="str">
        <f t="shared" si="0"/>
        <v>B-</v>
      </c>
      <c r="H13" s="332">
        <v>2</v>
      </c>
      <c r="I13" s="327" t="s">
        <v>304</v>
      </c>
      <c r="J13" s="28"/>
      <c r="K13" s="387"/>
      <c r="L13" s="387"/>
      <c r="M13" s="387"/>
      <c r="N13" s="270"/>
    </row>
    <row r="14" spans="2:14" ht="49.5">
      <c r="C14" s="582"/>
      <c r="D14" s="579"/>
      <c r="E14" s="579"/>
      <c r="F14" s="587"/>
      <c r="G14" s="332" t="str">
        <f t="shared" si="0"/>
        <v>B+</v>
      </c>
      <c r="H14" s="332">
        <v>4</v>
      </c>
      <c r="I14" s="327" t="s">
        <v>305</v>
      </c>
      <c r="J14" s="28"/>
      <c r="K14" s="387"/>
      <c r="L14" s="387"/>
      <c r="M14" s="387"/>
      <c r="N14" s="270"/>
    </row>
    <row r="15" spans="2:14" ht="49.5">
      <c r="C15" s="583"/>
      <c r="D15" s="28"/>
      <c r="E15" s="28"/>
      <c r="F15" s="588"/>
      <c r="G15" s="332" t="str">
        <f t="shared" si="0"/>
        <v>A</v>
      </c>
      <c r="H15" s="332">
        <v>5</v>
      </c>
      <c r="I15" s="327" t="s">
        <v>306</v>
      </c>
      <c r="J15" s="28"/>
      <c r="K15" s="387"/>
      <c r="L15" s="387"/>
      <c r="M15" s="387"/>
      <c r="N15" s="270"/>
    </row>
    <row r="16" spans="2:14" ht="33">
      <c r="C16" s="579" t="s">
        <v>192</v>
      </c>
      <c r="D16" s="580" t="s">
        <v>486</v>
      </c>
      <c r="E16" s="579" t="s">
        <v>487</v>
      </c>
      <c r="F16" s="332" t="s">
        <v>107</v>
      </c>
      <c r="G16" s="332" t="str">
        <f t="shared" si="0"/>
        <v>C</v>
      </c>
      <c r="H16" s="332">
        <v>1</v>
      </c>
      <c r="I16" s="14" t="str">
        <f>'Safety overall result'!H27</f>
        <v>All teammates are taking BSFA training more than annually.
(Operator)</v>
      </c>
      <c r="J16" s="28"/>
      <c r="K16" s="387"/>
      <c r="L16" s="387"/>
      <c r="M16" s="387"/>
      <c r="N16" s="270"/>
    </row>
    <row r="17" spans="3:14" ht="49.5">
      <c r="C17" s="579"/>
      <c r="D17" s="580"/>
      <c r="E17" s="579"/>
      <c r="F17" s="584" t="s">
        <v>109</v>
      </c>
      <c r="G17" s="332" t="str">
        <f t="shared" si="0"/>
        <v>C</v>
      </c>
      <c r="H17" s="332">
        <v>1</v>
      </c>
      <c r="I17" s="16" t="str">
        <f>'Safety overall result'!H28</f>
        <v>3S Documents are displayed in work areas, and there is evidence of this being followed.
And, self-check has been implemented.
(System: Operator: No.19)</v>
      </c>
      <c r="J17" s="325"/>
      <c r="K17" s="388"/>
      <c r="L17" s="389"/>
      <c r="M17" s="389"/>
      <c r="N17" s="270"/>
    </row>
    <row r="18" spans="3:14" ht="148.5">
      <c r="C18" s="579"/>
      <c r="D18" s="580"/>
      <c r="E18" s="579"/>
      <c r="F18" s="584"/>
      <c r="G18" s="332" t="str">
        <f t="shared" si="0"/>
        <v>B</v>
      </c>
      <c r="H18" s="332">
        <v>3</v>
      </c>
      <c r="I18" s="16" t="str">
        <f>'Safety overall result'!L28</f>
        <v>3S standard setting:
The 3S standard was set with considering of risk/rule compliance and work ability e.g. no necessary item place inside dangerous zone etc. 
3S onsite implementation:
All inspected work areas were cleaned (no debris on floor, no spillages) as defined in the 3S visual standard, and there were no unnecessary objects that were not currently in use in the work area.
  *work area: production area and office
(System: Operator: No.75)</v>
      </c>
      <c r="J18" s="325"/>
      <c r="K18" s="388"/>
      <c r="L18" s="389"/>
      <c r="M18" s="389"/>
      <c r="N18" s="270"/>
    </row>
    <row r="19" spans="3:14" ht="49.5">
      <c r="C19" s="579"/>
      <c r="D19" s="580"/>
      <c r="E19" s="579"/>
      <c r="F19" s="584"/>
      <c r="G19" s="332" t="str">
        <f t="shared" si="0"/>
        <v>B+</v>
      </c>
      <c r="H19" s="332">
        <v>4</v>
      </c>
      <c r="I19" s="16" t="str">
        <f>'Safety overall result'!N28</f>
        <v>3S activity for the improvement of 3S level has been  proceeded. (or Improvement of 3S level can be confirmed, or 3s level is over 4.)
(System: Operator: No.105)</v>
      </c>
      <c r="J19" s="325"/>
      <c r="K19" s="388"/>
      <c r="L19" s="389"/>
      <c r="M19" s="389"/>
      <c r="N19" s="270"/>
    </row>
    <row r="20" spans="3:14" ht="55.5" customHeight="1">
      <c r="C20" s="579"/>
      <c r="D20" s="580"/>
      <c r="E20" s="579"/>
      <c r="F20" s="584" t="s">
        <v>116</v>
      </c>
      <c r="G20" s="332" t="str">
        <f t="shared" si="0"/>
        <v>C</v>
      </c>
      <c r="H20" s="332">
        <v>1</v>
      </c>
      <c r="I20" s="16" t="str">
        <f>'Safety overall result'!H30</f>
        <v>All teammates recognize the H&amp;S risks applicable in their areas and confirmed these were addressed in trainings. 
(Teammate Engagement: Operator: No.1)</v>
      </c>
      <c r="J20" s="325"/>
      <c r="K20" s="389"/>
      <c r="L20" s="389"/>
      <c r="M20" s="389"/>
      <c r="N20" s="270"/>
    </row>
    <row r="21" spans="3:14" ht="50.25" customHeight="1">
      <c r="C21" s="579"/>
      <c r="D21" s="580"/>
      <c r="E21" s="579"/>
      <c r="F21" s="584"/>
      <c r="G21" s="332" t="str">
        <f t="shared" si="0"/>
        <v>B-</v>
      </c>
      <c r="H21" s="332">
        <v>2</v>
      </c>
      <c r="I21" s="16" t="str">
        <f>'Safety overall result'!J30</f>
        <v>A sample of 3 teammates could all state that they took the traning on residual risks based on the work standard.
(Teammate Engagement: Operator: No.11)</v>
      </c>
      <c r="J21" s="325"/>
      <c r="K21" s="389"/>
      <c r="L21" s="389"/>
      <c r="M21" s="389"/>
      <c r="N21" s="270"/>
    </row>
    <row r="22" spans="3:14" ht="49.5">
      <c r="C22" s="579"/>
      <c r="D22" s="580"/>
      <c r="E22" s="579"/>
      <c r="F22" s="584"/>
      <c r="G22" s="332" t="str">
        <f t="shared" si="0"/>
        <v>B</v>
      </c>
      <c r="H22" s="332">
        <v>3</v>
      </c>
      <c r="I22" s="16" t="str">
        <f>'Safety overall result'!L30</f>
        <v>A sample of 3 teammates could all describe and explain the greatest potential H&amp;S risks in their work, and what controls they use or are in place to mitigate these risks.
(Teammate Engagement: Operator: No.13)</v>
      </c>
      <c r="J22" s="325"/>
      <c r="K22" s="389"/>
      <c r="L22" s="389"/>
      <c r="M22" s="389"/>
      <c r="N22" s="270"/>
    </row>
    <row r="23" spans="3:14" ht="49.5">
      <c r="C23" s="579"/>
      <c r="D23" s="580"/>
      <c r="E23" s="579"/>
      <c r="F23" s="584"/>
      <c r="G23" s="332" t="str">
        <f t="shared" si="0"/>
        <v>B+</v>
      </c>
      <c r="H23" s="332">
        <v>4</v>
      </c>
      <c r="I23" s="16" t="str">
        <f>'Safety overall result'!N30</f>
        <v>In a sample of 3 teammates, at least one have participated RA process, and he/she could explain a full and accurate Risk Assessment.
(Teammate Engagement: Operator: No.14)</v>
      </c>
      <c r="J23" s="325"/>
      <c r="K23" s="389"/>
      <c r="L23" s="389"/>
      <c r="M23" s="389"/>
      <c r="N23" s="270"/>
    </row>
    <row r="24" spans="3:14" ht="33">
      <c r="C24" s="579"/>
      <c r="D24" s="580"/>
      <c r="E24" s="579"/>
      <c r="F24" s="584"/>
      <c r="G24" s="332" t="str">
        <f t="shared" si="0"/>
        <v>A</v>
      </c>
      <c r="H24" s="332">
        <v>5</v>
      </c>
      <c r="I24" s="16" t="str">
        <f>'Safety overall result'!P30</f>
        <v>H&amp;S risks/measures of other departments have been shared at the safety meeting in your department.
(Teammate Engagement: Operator: No.17)</v>
      </c>
      <c r="J24" s="325"/>
      <c r="K24" s="389"/>
      <c r="L24" s="389"/>
      <c r="M24" s="389"/>
      <c r="N24" s="270"/>
    </row>
    <row r="25" spans="3:14" ht="33">
      <c r="C25" s="579"/>
      <c r="D25" s="580"/>
      <c r="E25" s="579"/>
      <c r="F25" s="584" t="s">
        <v>118</v>
      </c>
      <c r="G25" s="332" t="str">
        <f t="shared" si="0"/>
        <v>C</v>
      </c>
      <c r="H25" s="332">
        <v>1</v>
      </c>
      <c r="I25" s="16" t="str">
        <f>'Safety overall result'!H31</f>
        <v>All operators shows understanding of the applicable All Bridgestone Safety Rules in their areas.
(System: Operator: No.13)</v>
      </c>
      <c r="J25" s="325"/>
      <c r="K25" s="389"/>
      <c r="L25" s="389"/>
      <c r="M25" s="389"/>
      <c r="N25" s="270"/>
    </row>
    <row r="26" spans="3:14" ht="49.5">
      <c r="C26" s="579"/>
      <c r="D26" s="580"/>
      <c r="E26" s="579"/>
      <c r="F26" s="584"/>
      <c r="G26" s="332" t="str">
        <f t="shared" si="0"/>
        <v>B</v>
      </c>
      <c r="H26" s="332">
        <v>3</v>
      </c>
      <c r="I26" s="16" t="str">
        <f>'Safety overall result'!L31</f>
        <v>All teammates can demonstrate knowledge of the Safety Rules and explain key points on safety in the work standard.
(System: Operator: No.70)</v>
      </c>
      <c r="J26" s="325"/>
      <c r="K26" s="389"/>
      <c r="L26" s="389"/>
      <c r="M26" s="389"/>
      <c r="N26" s="270"/>
    </row>
    <row r="27" spans="3:14" ht="82.5">
      <c r="C27" s="579"/>
      <c r="D27" s="580"/>
      <c r="E27" s="579"/>
      <c r="F27" s="584"/>
      <c r="G27" s="332" t="str">
        <f t="shared" si="0"/>
        <v>A</v>
      </c>
      <c r="H27" s="332">
        <v>5</v>
      </c>
      <c r="I27" s="16" t="str">
        <f>'Safety overall result'!P31</f>
        <v>The respondent explains that feedback is used to make tangible changes in the Safety Rules and can give at least 1 recent example. 
（Examples of FB: Responsed to proposed safety rules. Teammates can work based on the safety rules, or require changes due to dificulties to work based on the rules, etc.)
(System: Operator: No.128)</v>
      </c>
      <c r="J27" s="325"/>
      <c r="K27" s="390"/>
      <c r="L27" s="389"/>
      <c r="M27" s="389"/>
      <c r="N27" s="270"/>
    </row>
    <row r="28" spans="3:14" ht="16.5">
      <c r="C28" s="391"/>
      <c r="D28" s="391"/>
      <c r="E28" s="391"/>
      <c r="F28" s="392"/>
      <c r="G28" s="392"/>
      <c r="H28" s="392"/>
      <c r="I28" s="393"/>
      <c r="J28" s="387"/>
      <c r="K28" s="387"/>
      <c r="L28" s="387"/>
      <c r="M28" s="387"/>
    </row>
    <row r="29" spans="3:14" ht="16.5">
      <c r="C29" s="391"/>
      <c r="D29" s="391"/>
      <c r="E29" s="391"/>
      <c r="F29" s="392"/>
      <c r="G29" s="392"/>
      <c r="H29" s="392"/>
      <c r="I29" s="393"/>
      <c r="J29" s="387"/>
      <c r="K29" s="387"/>
      <c r="L29" s="387"/>
      <c r="M29" s="387"/>
    </row>
    <row r="30" spans="3:14" ht="16.5">
      <c r="C30" s="391"/>
      <c r="D30" s="391"/>
      <c r="E30" s="391"/>
      <c r="F30" s="392"/>
      <c r="G30" s="392"/>
      <c r="H30" s="392"/>
      <c r="I30" s="393"/>
      <c r="J30" s="387"/>
      <c r="K30" s="387"/>
      <c r="L30" s="387"/>
      <c r="M30" s="387"/>
    </row>
    <row r="31" spans="3:14" ht="16.5">
      <c r="C31" s="391"/>
      <c r="D31" s="391"/>
      <c r="E31" s="391"/>
      <c r="F31" s="392"/>
      <c r="G31" s="392"/>
      <c r="H31" s="392"/>
      <c r="I31" s="393"/>
      <c r="J31" s="387"/>
      <c r="K31" s="387"/>
      <c r="L31" s="387"/>
      <c r="M31" s="387"/>
    </row>
    <row r="32" spans="3:14" ht="16.5">
      <c r="C32" s="2"/>
      <c r="D32" s="2"/>
      <c r="E32" s="2"/>
      <c r="F32" s="6"/>
      <c r="G32" s="6"/>
      <c r="H32" s="6"/>
      <c r="I32" s="3"/>
      <c r="J32" s="29"/>
      <c r="K32" s="29"/>
      <c r="L32" s="29"/>
      <c r="M32" s="29"/>
    </row>
    <row r="33" spans="6:13" ht="16.5">
      <c r="F33" s="6"/>
      <c r="G33" s="6"/>
      <c r="H33" s="6"/>
      <c r="I33" s="3"/>
      <c r="J33" s="29"/>
      <c r="K33" s="29"/>
      <c r="L33" s="29"/>
      <c r="M33" s="29"/>
    </row>
    <row r="34" spans="6:13" ht="16.5" hidden="1">
      <c r="F34" s="17" t="s">
        <v>441</v>
      </c>
      <c r="G34" s="17"/>
      <c r="H34" s="17"/>
      <c r="I34" s="18" t="s">
        <v>442</v>
      </c>
      <c r="J34" s="30"/>
      <c r="K34" s="30"/>
      <c r="L34" s="30"/>
      <c r="M34" s="30"/>
    </row>
    <row r="35" spans="6:13" ht="16.5" hidden="1">
      <c r="F35" s="17"/>
      <c r="G35" s="17"/>
      <c r="H35" s="17"/>
      <c r="I35" s="18"/>
      <c r="J35" s="30"/>
      <c r="K35" s="30"/>
      <c r="L35" s="30"/>
      <c r="M35" s="30"/>
    </row>
    <row r="36" spans="6:13" ht="16.5" hidden="1">
      <c r="F36" s="17" t="s">
        <v>449</v>
      </c>
      <c r="G36" s="17"/>
      <c r="H36" s="17"/>
      <c r="I36" s="18" t="s">
        <v>450</v>
      </c>
      <c r="J36" s="30"/>
      <c r="K36" s="30"/>
      <c r="L36" s="30"/>
      <c r="M36" s="30"/>
    </row>
    <row r="37" spans="6:13" ht="16.5" hidden="1">
      <c r="F37" s="17"/>
      <c r="G37" s="17"/>
      <c r="H37" s="17"/>
      <c r="I37" s="18" t="s">
        <v>455</v>
      </c>
      <c r="J37" s="30"/>
      <c r="K37" s="30"/>
      <c r="L37" s="30"/>
      <c r="M37" s="30"/>
    </row>
    <row r="38" spans="6:13" ht="16.5" hidden="1">
      <c r="F38" s="17" t="s">
        <v>457</v>
      </c>
      <c r="G38" s="17"/>
      <c r="H38" s="17"/>
      <c r="I38" s="19"/>
      <c r="J38" s="17"/>
      <c r="K38" s="17"/>
      <c r="L38" s="17"/>
      <c r="M38" s="17"/>
    </row>
    <row r="39" spans="6:13" ht="16.5" hidden="1">
      <c r="F39" s="17"/>
      <c r="G39" s="17"/>
      <c r="H39" s="17"/>
      <c r="I39" s="18"/>
      <c r="J39" s="30"/>
      <c r="K39" s="30"/>
      <c r="L39" s="30"/>
      <c r="M39" s="30"/>
    </row>
    <row r="40" spans="6:13" ht="16.5" hidden="1">
      <c r="F40" s="17" t="s">
        <v>461</v>
      </c>
      <c r="G40" s="17"/>
      <c r="H40" s="17"/>
      <c r="I40" s="18" t="s">
        <v>462</v>
      </c>
      <c r="J40" s="30"/>
      <c r="K40" s="30"/>
      <c r="L40" s="30"/>
      <c r="M40" s="30"/>
    </row>
    <row r="41" spans="6:13" ht="16.5" hidden="1">
      <c r="F41" s="17"/>
      <c r="G41" s="17"/>
      <c r="H41" s="17"/>
      <c r="I41" s="18" t="s">
        <v>467</v>
      </c>
      <c r="J41" s="30"/>
      <c r="K41" s="30"/>
      <c r="L41" s="30"/>
      <c r="M41" s="30"/>
    </row>
    <row r="42" spans="6:13" ht="33" hidden="1">
      <c r="F42" s="20" t="s">
        <v>470</v>
      </c>
      <c r="G42" s="20"/>
      <c r="H42" s="20"/>
      <c r="I42" s="21" t="s">
        <v>471</v>
      </c>
      <c r="J42" s="31"/>
      <c r="K42" s="31"/>
      <c r="L42" s="31"/>
      <c r="M42" s="31"/>
    </row>
    <row r="43" spans="6:13" ht="16.5" hidden="1">
      <c r="F43" s="20"/>
      <c r="G43" s="20"/>
      <c r="H43" s="20"/>
      <c r="I43" s="21"/>
      <c r="J43" s="31"/>
      <c r="K43" s="31"/>
      <c r="L43" s="31"/>
      <c r="M43" s="31"/>
    </row>
    <row r="44" spans="6:13" ht="16.5">
      <c r="F44" s="6"/>
      <c r="G44" s="6"/>
      <c r="H44" s="6"/>
      <c r="I44" s="3"/>
      <c r="J44" s="29"/>
      <c r="K44" s="29"/>
      <c r="L44" s="29"/>
      <c r="M44" s="29"/>
    </row>
  </sheetData>
  <mergeCells count="15">
    <mergeCell ref="F25:F27"/>
    <mergeCell ref="F4:F8"/>
    <mergeCell ref="F9:F10"/>
    <mergeCell ref="F17:F19"/>
    <mergeCell ref="F20:F24"/>
    <mergeCell ref="F12:F15"/>
    <mergeCell ref="C16:C27"/>
    <mergeCell ref="D16:D27"/>
    <mergeCell ref="E16:E27"/>
    <mergeCell ref="C4:C10"/>
    <mergeCell ref="D4:D10"/>
    <mergeCell ref="E4:E10"/>
    <mergeCell ref="D11:D14"/>
    <mergeCell ref="E11:E14"/>
    <mergeCell ref="C11:C15"/>
  </mergeCells>
  <phoneticPr fontId="6"/>
  <conditionalFormatting sqref="O4:O27 J4:M27">
    <cfRule type="containsText" dxfId="10" priority="10" operator="containsText" text="No">
      <formula>NOT(ISERROR(SEARCH("No",J4)))</formula>
    </cfRule>
  </conditionalFormatting>
  <pageMargins left="0.7" right="0.7" top="0.75" bottom="0.75" header="0.3" footer="0.3"/>
  <pageSetup paperSize="8" scale="48" orientation="landscape" r:id="rId1"/>
  <rowBreaks count="1" manualBreakCount="1">
    <brk id="15" max="44" man="1"/>
  </rowBreaks>
  <extLst>
    <ext xmlns:x14="http://schemas.microsoft.com/office/spreadsheetml/2009/9/main" uri="{78C0D931-6437-407d-A8EE-F0AAD7539E65}">
      <x14:conditionalFormattings>
        <x14:conditionalFormatting xmlns:xm="http://schemas.microsoft.com/office/excel/2006/main">
          <x14:cfRule type="containsText" priority="9" operator="containsText" id="{60677970-C30E-408A-A259-BE1C5B6041C2}">
            <xm:f>NOT(ISERROR(SEARCH("-",O4)))</xm:f>
            <xm:f>"-"</xm:f>
            <x14:dxf>
              <fill>
                <patternFill>
                  <bgColor theme="0" tint="-0.24994659260841701"/>
                </patternFill>
              </fill>
            </x14:dxf>
          </x14:cfRule>
          <xm:sqref>O4:O27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C0BA3-8567-4718-922F-659EC1AFA872}">
  <sheetPr codeName="Sheet3">
    <tabColor rgb="FF00B050"/>
    <pageSetUpPr fitToPage="1"/>
  </sheetPr>
  <dimension ref="B1:T59"/>
  <sheetViews>
    <sheetView zoomScale="40" zoomScaleNormal="40" zoomScaleSheetLayoutView="70" workbookViewId="0">
      <pane xSplit="10" ySplit="8" topLeftCell="K27" activePane="bottomRight" state="frozen"/>
      <selection pane="bottomRight" activeCell="L27" sqref="L27:L35"/>
      <selection pane="bottomLeft" activeCell="N32" sqref="N32"/>
      <selection pane="topRight" activeCell="N32" sqref="N32"/>
    </sheetView>
  </sheetViews>
  <sheetFormatPr defaultColWidth="8.85546875" defaultRowHeight="14.45"/>
  <cols>
    <col min="1" max="1" width="1.7109375" customWidth="1"/>
    <col min="2" max="2" width="2.28515625" customWidth="1"/>
    <col min="3" max="3" width="20.5703125" customWidth="1"/>
    <col min="4" max="4" width="28.85546875" customWidth="1"/>
    <col min="5" max="5" width="19.140625" customWidth="1"/>
    <col min="6" max="7" width="20" customWidth="1"/>
    <col min="8" max="8" width="9.140625" hidden="1" customWidth="1"/>
    <col min="9" max="9" width="9.140625" style="306" customWidth="1"/>
    <col min="10" max="10" width="9.140625" customWidth="1"/>
    <col min="11" max="11" width="81.85546875" customWidth="1"/>
    <col min="12" max="12" width="101.85546875" customWidth="1"/>
    <col min="13" max="13" width="81.85546875" customWidth="1"/>
    <col min="14" max="16" width="10.5703125" customWidth="1"/>
    <col min="20" max="20" width="18.85546875" customWidth="1"/>
  </cols>
  <sheetData>
    <row r="1" spans="2:20" ht="26.1">
      <c r="B1" s="35"/>
      <c r="F1" s="36"/>
      <c r="G1" s="36"/>
      <c r="H1" s="36"/>
      <c r="I1" s="377"/>
      <c r="J1" s="37"/>
      <c r="K1" s="37"/>
      <c r="L1" s="37"/>
      <c r="M1" s="38" t="s">
        <v>45</v>
      </c>
      <c r="N1" s="531">
        <v>45128</v>
      </c>
      <c r="O1" s="532"/>
      <c r="P1" s="532"/>
    </row>
    <row r="2" spans="2:20" ht="39.6">
      <c r="B2" s="35"/>
      <c r="C2" s="40" t="s">
        <v>46</v>
      </c>
      <c r="D2" s="35"/>
      <c r="E2" s="35"/>
      <c r="F2" s="37"/>
      <c r="G2" s="37"/>
      <c r="H2" s="37"/>
      <c r="I2" s="377"/>
      <c r="J2" s="37"/>
      <c r="K2" s="37"/>
      <c r="L2" s="37"/>
      <c r="M2" s="37"/>
      <c r="N2" s="37"/>
      <c r="O2" s="37"/>
      <c r="P2" s="37"/>
    </row>
    <row r="3" spans="2:20" ht="16.5">
      <c r="B3" s="35"/>
      <c r="C3" s="35"/>
      <c r="D3" s="35"/>
    </row>
    <row r="4" spans="2:20" ht="57" customHeight="1">
      <c r="B4" s="35"/>
      <c r="C4" s="41" t="s">
        <v>47</v>
      </c>
      <c r="D4" s="550"/>
      <c r="E4" s="551"/>
      <c r="N4" s="533" t="s">
        <v>48</v>
      </c>
      <c r="O4" s="534"/>
      <c r="P4" s="534"/>
    </row>
    <row r="5" spans="2:20" ht="16.5">
      <c r="B5" s="35"/>
      <c r="C5" s="35"/>
      <c r="D5" s="35"/>
      <c r="E5" s="38"/>
      <c r="F5" s="39"/>
      <c r="G5" s="39"/>
      <c r="H5" s="39"/>
      <c r="I5" s="378"/>
      <c r="J5" s="39"/>
      <c r="K5" s="39"/>
      <c r="L5" s="39"/>
      <c r="M5" s="39"/>
      <c r="N5" s="39"/>
      <c r="O5" s="39"/>
      <c r="P5" s="39"/>
    </row>
    <row r="6" spans="2:20" ht="16.5">
      <c r="B6" s="35"/>
      <c r="C6" s="535" t="s">
        <v>144</v>
      </c>
      <c r="D6" s="536" t="s">
        <v>50</v>
      </c>
      <c r="E6" s="536" t="s">
        <v>51</v>
      </c>
      <c r="F6" s="536" t="s">
        <v>52</v>
      </c>
      <c r="G6" s="536" t="s">
        <v>53</v>
      </c>
      <c r="H6" s="545" t="s">
        <v>54</v>
      </c>
      <c r="I6" s="546"/>
      <c r="J6" s="537" t="s">
        <v>55</v>
      </c>
      <c r="K6" s="536" t="s">
        <v>56</v>
      </c>
      <c r="L6" s="535" t="s">
        <v>57</v>
      </c>
      <c r="M6" s="536" t="s">
        <v>58</v>
      </c>
      <c r="N6" s="536" t="s">
        <v>59</v>
      </c>
      <c r="O6" s="536"/>
      <c r="P6" s="536"/>
    </row>
    <row r="7" spans="2:20" ht="18" customHeight="1">
      <c r="B7" s="35"/>
      <c r="C7" s="536"/>
      <c r="D7" s="536"/>
      <c r="E7" s="536"/>
      <c r="F7" s="536"/>
      <c r="G7" s="536"/>
      <c r="H7" s="542">
        <v>2024</v>
      </c>
      <c r="I7" s="589">
        <v>2025</v>
      </c>
      <c r="J7" s="538"/>
      <c r="K7" s="536"/>
      <c r="L7" s="536"/>
      <c r="M7" s="536"/>
      <c r="N7" s="536" t="s">
        <v>60</v>
      </c>
      <c r="O7" s="535" t="s">
        <v>61</v>
      </c>
      <c r="P7" s="536" t="s">
        <v>62</v>
      </c>
    </row>
    <row r="8" spans="2:20" ht="16.5">
      <c r="B8" s="35"/>
      <c r="C8" s="536"/>
      <c r="D8" s="536"/>
      <c r="E8" s="536"/>
      <c r="F8" s="536"/>
      <c r="G8" s="536"/>
      <c r="H8" s="544"/>
      <c r="I8" s="589"/>
      <c r="J8" s="539"/>
      <c r="K8" s="536"/>
      <c r="L8" s="536"/>
      <c r="M8" s="536"/>
      <c r="N8" s="536"/>
      <c r="O8" s="536"/>
      <c r="P8" s="536"/>
    </row>
    <row r="9" spans="2:20" ht="51.75" customHeight="1">
      <c r="B9" s="35"/>
      <c r="C9" s="535" t="s">
        <v>148</v>
      </c>
      <c r="D9" s="540" t="s">
        <v>149</v>
      </c>
      <c r="E9" s="535" t="s">
        <v>150</v>
      </c>
      <c r="F9" s="74" t="s">
        <v>66</v>
      </c>
      <c r="G9" s="24" t="s">
        <v>23</v>
      </c>
      <c r="H9" s="42" t="e">
        <f>INDEX(Data!$P$4:$AA$37,MATCH('Safety Instruction.'!$F9,Data!$Q$4:$Q$37,0),MATCH('Safety Instruction.'!$D$4,Data!$P$4:$AA$4,0))</f>
        <v>#N/A</v>
      </c>
      <c r="I9" s="384" t="str">
        <f>'Safety overall result'!Z10</f>
        <v>A</v>
      </c>
      <c r="J9" s="92"/>
      <c r="K9" s="269"/>
      <c r="L9" s="269"/>
      <c r="M9" s="269"/>
      <c r="N9" s="92"/>
      <c r="O9" s="92"/>
      <c r="P9" s="92"/>
      <c r="S9" s="72" t="s">
        <v>68</v>
      </c>
      <c r="T9" s="74" t="s">
        <v>66</v>
      </c>
    </row>
    <row r="10" spans="2:20" ht="51.75" customHeight="1">
      <c r="B10" s="35"/>
      <c r="C10" s="535"/>
      <c r="D10" s="541"/>
      <c r="E10" s="535"/>
      <c r="F10" s="74" t="s">
        <v>69</v>
      </c>
      <c r="G10" s="24" t="s">
        <v>20</v>
      </c>
      <c r="H10" s="42" t="e">
        <f>INDEX(Data!$P$4:$AA$37,MATCH('Safety Instruction.'!$F10,Data!$Q$4:$Q$37,0),MATCH('Safety Instruction.'!$D$4,Data!$P$4:$AA$4,0))</f>
        <v>#N/A</v>
      </c>
      <c r="I10" s="384" t="str">
        <f>'Safety overall result'!Z11</f>
        <v>A</v>
      </c>
      <c r="J10" s="92"/>
      <c r="K10" s="269"/>
      <c r="L10" s="269"/>
      <c r="M10" s="269"/>
      <c r="N10" s="92"/>
      <c r="O10" s="92"/>
      <c r="P10" s="92"/>
      <c r="S10" s="72" t="s">
        <v>70</v>
      </c>
      <c r="T10" s="74" t="s">
        <v>69</v>
      </c>
    </row>
    <row r="11" spans="2:20" ht="51.75" customHeight="1">
      <c r="C11" s="535"/>
      <c r="D11" s="541"/>
      <c r="E11" s="535"/>
      <c r="F11" s="74" t="s">
        <v>71</v>
      </c>
      <c r="G11" s="24" t="s">
        <v>23</v>
      </c>
      <c r="H11" s="42" t="e">
        <f>INDEX(Data!$P$4:$AA$37,MATCH('Safety Instruction.'!$F11,Data!$Q$4:$Q$37,0),MATCH('Safety Instruction.'!$D$4,Data!$P$4:$AA$4,0))</f>
        <v>#N/A</v>
      </c>
      <c r="I11" s="384" t="str">
        <f>'Safety overall result'!Z12</f>
        <v>A</v>
      </c>
      <c r="J11" s="268"/>
      <c r="K11" s="269"/>
      <c r="L11" s="92"/>
      <c r="M11" s="269"/>
      <c r="N11" s="92"/>
      <c r="O11" s="92"/>
      <c r="P11" s="92"/>
      <c r="S11" s="72" t="s">
        <v>72</v>
      </c>
      <c r="T11" s="74" t="s">
        <v>71</v>
      </c>
    </row>
    <row r="12" spans="2:20" ht="51.75" customHeight="1">
      <c r="C12" s="535"/>
      <c r="D12" s="541"/>
      <c r="E12" s="535"/>
      <c r="F12" s="74" t="s">
        <v>73</v>
      </c>
      <c r="G12" s="24" t="s">
        <v>20</v>
      </c>
      <c r="H12" s="42" t="e">
        <f>INDEX(Data!$P$4:$AA$37,MATCH('Safety Instruction.'!$F12,Data!$Q$4:$Q$37,0),MATCH('Safety Instruction.'!$D$4,Data!$P$4:$AA$4,0))</f>
        <v>#N/A</v>
      </c>
      <c r="I12" s="384" t="str">
        <f>'Safety overall result'!Z13</f>
        <v>C</v>
      </c>
      <c r="J12" s="92"/>
      <c r="K12" s="269"/>
      <c r="L12" s="92"/>
      <c r="M12" s="269"/>
      <c r="N12" s="92"/>
      <c r="O12" s="92"/>
      <c r="P12" s="92"/>
      <c r="S12" s="72" t="s">
        <v>74</v>
      </c>
      <c r="T12" s="74" t="s">
        <v>73</v>
      </c>
    </row>
    <row r="13" spans="2:20" ht="51.75" customHeight="1">
      <c r="C13" s="535" t="s">
        <v>77</v>
      </c>
      <c r="D13" s="535" t="s">
        <v>76</v>
      </c>
      <c r="E13" s="535" t="s">
        <v>77</v>
      </c>
      <c r="F13" s="74" t="s">
        <v>78</v>
      </c>
      <c r="G13" s="24" t="s">
        <v>20</v>
      </c>
      <c r="H13" s="42" t="e">
        <f>INDEX(Data!$P$4:$AA$37,MATCH('Safety Instruction.'!$F13,Data!$Q$4:$Q$37,0),MATCH('Safety Instruction.'!$D$4,Data!$P$4:$AA$4,0))</f>
        <v>#N/A</v>
      </c>
      <c r="I13" s="384" t="str">
        <f>'Safety overall result'!Z14</f>
        <v>A</v>
      </c>
      <c r="J13" s="92"/>
      <c r="K13" s="269"/>
      <c r="L13" s="92"/>
      <c r="M13" s="269"/>
      <c r="N13" s="92"/>
      <c r="O13" s="92"/>
      <c r="P13" s="92"/>
      <c r="S13" s="72" t="s">
        <v>79</v>
      </c>
      <c r="T13" s="74" t="s">
        <v>78</v>
      </c>
    </row>
    <row r="14" spans="2:20" ht="51.75" customHeight="1">
      <c r="C14" s="535"/>
      <c r="D14" s="535"/>
      <c r="E14" s="535"/>
      <c r="F14" s="74" t="s">
        <v>80</v>
      </c>
      <c r="G14" s="24" t="s">
        <v>20</v>
      </c>
      <c r="H14" s="42" t="e">
        <f>INDEX(Data!$P$4:$AA$37,MATCH('Safety Instruction.'!$F14,Data!$Q$4:$Q$37,0),MATCH('Safety Instruction.'!$D$4,Data!$P$4:$AA$4,0))</f>
        <v>#N/A</v>
      </c>
      <c r="I14" s="384" t="str">
        <f>'Safety overall result'!Z15</f>
        <v>A</v>
      </c>
      <c r="J14" s="92"/>
      <c r="K14" s="269"/>
      <c r="L14" s="269"/>
      <c r="M14" s="269"/>
      <c r="N14" s="92"/>
      <c r="O14" s="92"/>
      <c r="P14" s="92"/>
      <c r="S14" s="72" t="s">
        <v>81</v>
      </c>
      <c r="T14" s="74" t="s">
        <v>80</v>
      </c>
    </row>
    <row r="15" spans="2:20" ht="51.75" customHeight="1">
      <c r="C15" s="535"/>
      <c r="D15" s="535"/>
      <c r="E15" s="535"/>
      <c r="F15" s="74" t="s">
        <v>82</v>
      </c>
      <c r="G15" s="24" t="s">
        <v>20</v>
      </c>
      <c r="H15" s="42" t="e">
        <f>INDEX(Data!$P$4:$AA$37,MATCH('Safety Instruction.'!$F15,Data!$Q$4:$Q$37,0),MATCH('Safety Instruction.'!$D$4,Data!$P$4:$AA$4,0))</f>
        <v>#N/A</v>
      </c>
      <c r="I15" s="384" t="str">
        <f>'Safety overall result'!Z16</f>
        <v>A</v>
      </c>
      <c r="J15" s="92"/>
      <c r="K15" s="269"/>
      <c r="L15" s="269"/>
      <c r="M15" s="269"/>
      <c r="N15" s="92"/>
      <c r="O15" s="92"/>
      <c r="P15" s="92"/>
      <c r="S15" s="72" t="s">
        <v>83</v>
      </c>
      <c r="T15" s="74" t="s">
        <v>82</v>
      </c>
    </row>
    <row r="16" spans="2:20" ht="51.75" customHeight="1">
      <c r="C16" s="535"/>
      <c r="D16" s="535"/>
      <c r="E16" s="535"/>
      <c r="F16" s="288" t="s">
        <v>84</v>
      </c>
      <c r="G16" s="24"/>
      <c r="H16" s="42" t="e">
        <f>INDEX(Data!$P$4:$AA$37,MATCH('Safety Instruction.'!$F16,Data!$Q$4:$Q$37,0),MATCH('Safety Instruction.'!$D$4,Data!$P$4:$AA$4,0))</f>
        <v>#N/A</v>
      </c>
      <c r="I16" s="384" t="str">
        <f>'Safety overall result'!Z17</f>
        <v>A</v>
      </c>
      <c r="J16" s="92"/>
      <c r="K16" s="269"/>
      <c r="L16" s="269"/>
      <c r="M16" s="269"/>
      <c r="N16" s="92"/>
      <c r="O16" s="92"/>
      <c r="P16" s="92"/>
      <c r="S16" s="72" t="s">
        <v>85</v>
      </c>
      <c r="T16" s="74" t="s">
        <v>86</v>
      </c>
    </row>
    <row r="17" spans="3:20" ht="100.5" customHeight="1">
      <c r="C17" s="535"/>
      <c r="D17" s="535"/>
      <c r="E17" s="535"/>
      <c r="F17" s="290" t="s">
        <v>87</v>
      </c>
      <c r="G17" s="24"/>
      <c r="H17" s="42"/>
      <c r="I17" s="384" t="str">
        <f>'Safety overall result'!Z18</f>
        <v>A</v>
      </c>
      <c r="J17" s="92"/>
      <c r="K17" s="269"/>
      <c r="L17" s="269"/>
      <c r="M17" s="269"/>
      <c r="N17" s="92"/>
      <c r="O17" s="92"/>
      <c r="P17" s="92"/>
      <c r="S17" s="72"/>
      <c r="T17" s="29"/>
    </row>
    <row r="18" spans="3:20" ht="33">
      <c r="C18" s="535"/>
      <c r="D18" s="535"/>
      <c r="E18" s="535"/>
      <c r="F18" s="290" t="s">
        <v>88</v>
      </c>
      <c r="G18" s="24"/>
      <c r="H18" s="42"/>
      <c r="I18" s="384" t="str">
        <f>'Safety overall result'!Z19</f>
        <v>A</v>
      </c>
      <c r="J18" s="92"/>
      <c r="K18" s="269"/>
      <c r="L18" s="269"/>
      <c r="M18" s="269"/>
      <c r="N18" s="92"/>
      <c r="O18" s="92"/>
      <c r="P18" s="92"/>
      <c r="S18" s="72"/>
      <c r="T18" s="29"/>
    </row>
    <row r="19" spans="3:20" ht="51.75" customHeight="1">
      <c r="C19" s="535"/>
      <c r="D19" s="535"/>
      <c r="E19" s="535"/>
      <c r="F19" s="74" t="s">
        <v>89</v>
      </c>
      <c r="G19" s="24" t="s">
        <v>22</v>
      </c>
      <c r="H19" s="42" t="e">
        <f>INDEX(Data!$P$4:$AA$37,MATCH('Safety Instruction.'!$F19,Data!$Q$4:$Q$37,0),MATCH('Safety Instruction.'!$D$4,Data!$P$4:$AA$4,0))</f>
        <v>#N/A</v>
      </c>
      <c r="I19" s="384" t="str">
        <f>'Safety overall result'!Z20</f>
        <v>A</v>
      </c>
      <c r="J19" s="92"/>
      <c r="K19" s="269"/>
      <c r="L19" s="92"/>
      <c r="M19" s="269"/>
      <c r="N19" s="92"/>
      <c r="O19" s="92"/>
      <c r="P19" s="92"/>
      <c r="S19" s="72" t="s">
        <v>90</v>
      </c>
    </row>
    <row r="20" spans="3:20" ht="51.75" customHeight="1">
      <c r="C20" s="535" t="s">
        <v>91</v>
      </c>
      <c r="D20" s="535" t="s">
        <v>92</v>
      </c>
      <c r="E20" s="536" t="s">
        <v>93</v>
      </c>
      <c r="F20" s="74" t="s">
        <v>94</v>
      </c>
      <c r="G20" s="24" t="s">
        <v>23</v>
      </c>
      <c r="H20" s="42" t="e">
        <f>INDEX(Data!$P$4:$AA$37,MATCH('Safety Instruction.'!$F20,Data!$Q$4:$Q$37,0),MATCH('Safety Instruction.'!$D$4,Data!$P$4:$AA$4,0))</f>
        <v>#N/A</v>
      </c>
      <c r="I20" s="384" t="str">
        <f>'Safety overall result'!Z21</f>
        <v>A</v>
      </c>
      <c r="J20" s="92"/>
      <c r="K20" s="271"/>
      <c r="L20" s="269"/>
      <c r="M20" s="269"/>
      <c r="N20" s="92"/>
      <c r="O20" s="92"/>
      <c r="P20" s="92"/>
      <c r="S20" s="72" t="s">
        <v>95</v>
      </c>
      <c r="T20" s="74" t="s">
        <v>89</v>
      </c>
    </row>
    <row r="21" spans="3:20" ht="51.75" customHeight="1">
      <c r="C21" s="535"/>
      <c r="D21" s="535"/>
      <c r="E21" s="536"/>
      <c r="F21" s="74" t="s">
        <v>96</v>
      </c>
      <c r="G21" s="24" t="s">
        <v>23</v>
      </c>
      <c r="H21" s="42" t="e">
        <f>INDEX(Data!$P$4:$AA$37,MATCH('Safety Instruction.'!$F21,Data!$Q$4:$Q$37,0),MATCH('Safety Instruction.'!$D$4,Data!$P$4:$AA$4,0))</f>
        <v>#N/A</v>
      </c>
      <c r="I21" s="384" t="str">
        <f>'Safety overall result'!Z22</f>
        <v>A</v>
      </c>
      <c r="J21" s="92"/>
      <c r="K21" s="271"/>
      <c r="L21" s="269"/>
      <c r="M21" s="269"/>
      <c r="N21" s="92"/>
      <c r="O21" s="92"/>
      <c r="P21" s="92"/>
      <c r="S21" s="72" t="s">
        <v>97</v>
      </c>
      <c r="T21" s="74" t="s">
        <v>94</v>
      </c>
    </row>
    <row r="22" spans="3:20" ht="51.75" customHeight="1">
      <c r="C22" s="535"/>
      <c r="D22" s="535"/>
      <c r="E22" s="536"/>
      <c r="F22" s="74" t="s">
        <v>98</v>
      </c>
      <c r="G22" s="24" t="s">
        <v>23</v>
      </c>
      <c r="H22" s="42" t="e">
        <f>INDEX(Data!$P$4:$AA$37,MATCH('Safety Instruction.'!$F22,Data!$Q$4:$Q$37,0),MATCH('Safety Instruction.'!$D$4,Data!$P$4:$AA$4,0))</f>
        <v>#N/A</v>
      </c>
      <c r="I22" s="384" t="str">
        <f>'Safety overall result'!Z23</f>
        <v>A</v>
      </c>
      <c r="J22" s="278"/>
      <c r="K22" s="269"/>
      <c r="L22" s="92"/>
      <c r="M22" s="269"/>
      <c r="N22" s="92"/>
      <c r="O22" s="92"/>
      <c r="P22" s="92"/>
      <c r="S22" s="72" t="s">
        <v>99</v>
      </c>
      <c r="T22" s="74" t="s">
        <v>96</v>
      </c>
    </row>
    <row r="23" spans="3:20" ht="51.75" customHeight="1">
      <c r="C23" s="92"/>
      <c r="D23" s="92"/>
      <c r="E23" s="294"/>
      <c r="F23" s="290" t="s">
        <v>100</v>
      </c>
      <c r="G23" s="24"/>
      <c r="H23" s="42"/>
      <c r="I23" s="384" t="str">
        <f>'Safety overall result'!Z24</f>
        <v>A</v>
      </c>
      <c r="J23" s="278"/>
      <c r="K23" s="269"/>
      <c r="L23" s="92"/>
      <c r="M23" s="269"/>
      <c r="N23" s="92"/>
      <c r="O23" s="92"/>
      <c r="P23" s="92"/>
      <c r="S23" s="72"/>
      <c r="T23" s="74"/>
    </row>
    <row r="24" spans="3:20" ht="51.75" customHeight="1">
      <c r="C24" s="92"/>
      <c r="D24" s="92"/>
      <c r="E24" s="294"/>
      <c r="F24" s="290" t="s">
        <v>102</v>
      </c>
      <c r="G24" s="24"/>
      <c r="H24" s="42"/>
      <c r="I24" s="384" t="str">
        <f>'Safety overall result'!Z25</f>
        <v>A</v>
      </c>
      <c r="J24" s="278"/>
      <c r="K24" s="269"/>
      <c r="L24" s="92"/>
      <c r="M24" s="269"/>
      <c r="N24" s="92"/>
      <c r="O24" s="92"/>
      <c r="P24" s="92"/>
      <c r="S24" s="72"/>
      <c r="T24" s="74"/>
    </row>
    <row r="25" spans="3:20" ht="51.75" customHeight="1">
      <c r="C25" s="92"/>
      <c r="D25" s="92"/>
      <c r="E25" s="294"/>
      <c r="F25" s="291" t="s">
        <v>103</v>
      </c>
      <c r="G25" s="24"/>
      <c r="H25" s="42"/>
      <c r="I25" s="384" t="str">
        <f>'Safety overall result'!Z26</f>
        <v>A</v>
      </c>
      <c r="J25" s="278"/>
      <c r="K25" s="269"/>
      <c r="L25" s="92"/>
      <c r="M25" s="269"/>
      <c r="N25" s="92"/>
      <c r="O25" s="92"/>
      <c r="P25" s="92"/>
      <c r="S25" s="72"/>
      <c r="T25" s="74"/>
    </row>
    <row r="26" spans="3:20" ht="51.75" customHeight="1">
      <c r="C26" s="535" t="s">
        <v>192</v>
      </c>
      <c r="D26" s="535" t="s">
        <v>193</v>
      </c>
      <c r="E26" s="537" t="s">
        <v>499</v>
      </c>
      <c r="F26" s="74" t="s">
        <v>107</v>
      </c>
      <c r="G26" s="24" t="s">
        <v>22</v>
      </c>
      <c r="H26" s="42" t="e">
        <f>INDEX(Data!$P$4:$AA$37,MATCH('Safety Instruction.'!$F26,Data!$Q$4:$Q$37,0),MATCH('Safety Instruction.'!$D$4,Data!$P$4:$AA$4,0))</f>
        <v>#N/A</v>
      </c>
      <c r="I26" s="384" t="str">
        <f>'Safety overall result'!Z27</f>
        <v>A</v>
      </c>
      <c r="J26" s="92"/>
      <c r="K26" s="269"/>
      <c r="L26" s="269"/>
      <c r="M26" s="269"/>
      <c r="N26" s="92"/>
      <c r="O26" s="92"/>
      <c r="P26" s="92"/>
      <c r="S26" s="72" t="s">
        <v>108</v>
      </c>
      <c r="T26" s="74" t="s">
        <v>98</v>
      </c>
    </row>
    <row r="27" spans="3:20" ht="117.95" customHeight="1">
      <c r="C27" s="535"/>
      <c r="D27" s="535"/>
      <c r="E27" s="538"/>
      <c r="F27" s="74" t="s">
        <v>109</v>
      </c>
      <c r="G27" s="24" t="s">
        <v>20</v>
      </c>
      <c r="H27" s="42" t="e">
        <f>INDEX(Data!$P$4:$AA$37,MATCH('Safety Instruction.'!$F27,Data!$Q$4:$Q$37,0),MATCH('Safety Instruction.'!$D$4,Data!$P$4:$AA$4,0))</f>
        <v>#N/A</v>
      </c>
      <c r="I27" s="384" t="str">
        <f>'Safety overall result'!Z28</f>
        <v>A</v>
      </c>
      <c r="J27" s="92"/>
      <c r="K27" s="269"/>
      <c r="L27" s="269"/>
      <c r="M27" s="269"/>
      <c r="N27" s="92"/>
      <c r="O27" s="92"/>
      <c r="P27" s="92"/>
      <c r="S27" s="72" t="s">
        <v>110</v>
      </c>
      <c r="T27" s="74" t="s">
        <v>111</v>
      </c>
    </row>
    <row r="28" spans="3:20" ht="51.75" customHeight="1">
      <c r="C28" s="535"/>
      <c r="D28" s="535"/>
      <c r="E28" s="538"/>
      <c r="F28" s="74" t="s">
        <v>112</v>
      </c>
      <c r="G28" s="24" t="s">
        <v>22</v>
      </c>
      <c r="H28" s="42" t="e">
        <f>INDEX(Data!$P$4:$AA$37,MATCH('Safety Instruction.'!$F28,Data!$Q$4:$Q$37,0),MATCH('Safety Instruction.'!$D$4,Data!$P$4:$AA$4,0))</f>
        <v>#N/A</v>
      </c>
      <c r="I28" s="384" t="str">
        <f>'Safety overall result'!Z29</f>
        <v>A</v>
      </c>
      <c r="J28" s="92"/>
      <c r="K28" s="269"/>
      <c r="L28" s="92"/>
      <c r="M28" s="269"/>
      <c r="N28" s="92"/>
      <c r="O28" s="92"/>
      <c r="P28" s="92"/>
      <c r="S28" s="72" t="s">
        <v>113</v>
      </c>
      <c r="T28" s="74" t="s">
        <v>109</v>
      </c>
    </row>
    <row r="29" spans="3:20" ht="51.75" customHeight="1">
      <c r="C29" s="535"/>
      <c r="D29" s="535"/>
      <c r="E29" s="538"/>
      <c r="F29" s="74" t="s">
        <v>116</v>
      </c>
      <c r="G29" s="24" t="s">
        <v>20</v>
      </c>
      <c r="H29" s="42" t="e">
        <f>INDEX(Data!$P$4:$AA$37,MATCH('Safety Instruction.'!$F29,Data!$Q$4:$Q$37,0),MATCH('Safety Instruction.'!$D$4,Data!$P$4:$AA$4,0))</f>
        <v>#N/A</v>
      </c>
      <c r="I29" s="384" t="str">
        <f>'Safety overall result'!Z30</f>
        <v>A</v>
      </c>
      <c r="J29" s="92"/>
      <c r="K29" s="269"/>
      <c r="L29" s="269"/>
      <c r="M29" s="269"/>
      <c r="N29" s="92"/>
      <c r="O29" s="92"/>
      <c r="P29" s="92"/>
      <c r="S29" s="72" t="s">
        <v>117</v>
      </c>
      <c r="T29" s="74" t="s">
        <v>114</v>
      </c>
    </row>
    <row r="30" spans="3:20" ht="51.75" customHeight="1">
      <c r="C30" s="535"/>
      <c r="D30" s="535"/>
      <c r="E30" s="538"/>
      <c r="F30" s="74" t="s">
        <v>118</v>
      </c>
      <c r="G30" s="24" t="s">
        <v>22</v>
      </c>
      <c r="H30" s="42" t="e">
        <f>INDEX(Data!$P$4:$AA$37,MATCH('Safety Instruction.'!$F30,Data!$Q$4:$Q$37,0),MATCH('Safety Instruction.'!$D$4,Data!$P$4:$AA$4,0))</f>
        <v>#N/A</v>
      </c>
      <c r="I30" s="384" t="str">
        <f>'Safety overall result'!Z31</f>
        <v>A</v>
      </c>
      <c r="J30" s="92"/>
      <c r="K30" s="269"/>
      <c r="L30" s="269"/>
      <c r="M30" s="269"/>
      <c r="N30" s="92"/>
      <c r="O30" s="92"/>
      <c r="P30" s="92"/>
      <c r="S30" s="72" t="s">
        <v>119</v>
      </c>
      <c r="T30" s="74" t="s">
        <v>116</v>
      </c>
    </row>
    <row r="31" spans="3:20" ht="51.75" customHeight="1">
      <c r="C31" s="535"/>
      <c r="D31" s="535"/>
      <c r="E31" s="539"/>
      <c r="F31" s="74" t="s">
        <v>120</v>
      </c>
      <c r="G31" s="24" t="s">
        <v>20</v>
      </c>
      <c r="H31" s="42" t="e">
        <f>INDEX(Data!$P$4:$AA$37,MATCH('Safety Instruction.'!$F31,Data!$Q$4:$Q$37,0),MATCH('Safety Instruction.'!$D$4,Data!$P$4:$AA$4,0))</f>
        <v>#N/A</v>
      </c>
      <c r="I31" s="384" t="str">
        <f>'Safety overall result'!Z32</f>
        <v>A</v>
      </c>
      <c r="J31" s="92"/>
      <c r="K31" s="269"/>
      <c r="L31" s="92"/>
      <c r="M31" s="269"/>
      <c r="N31" s="92"/>
      <c r="O31" s="92"/>
      <c r="P31" s="92"/>
      <c r="S31" s="72" t="s">
        <v>121</v>
      </c>
      <c r="T31" s="74" t="s">
        <v>118</v>
      </c>
    </row>
    <row r="32" spans="3:20" ht="51.75" customHeight="1">
      <c r="C32" s="535"/>
      <c r="D32" s="535"/>
      <c r="E32" s="538"/>
      <c r="F32" s="74" t="s">
        <v>122</v>
      </c>
      <c r="G32" s="24" t="s">
        <v>23</v>
      </c>
      <c r="H32" s="42" t="e">
        <f>INDEX(Data!$P$4:$AA$37,MATCH('Safety Instruction.'!$F32,Data!$Q$4:$Q$37,0),MATCH('Safety Instruction.'!$D$4,Data!$P$4:$AA$4,0))</f>
        <v>#N/A</v>
      </c>
      <c r="I32" s="384" t="str">
        <f>'Safety overall result'!Z33</f>
        <v>A</v>
      </c>
      <c r="J32" s="92"/>
      <c r="K32" s="271"/>
      <c r="L32" s="269"/>
      <c r="M32" s="269"/>
      <c r="N32" s="92"/>
      <c r="O32" s="92"/>
      <c r="P32" s="92"/>
      <c r="S32" s="72" t="s">
        <v>123</v>
      </c>
      <c r="T32" s="74" t="s">
        <v>120</v>
      </c>
    </row>
    <row r="33" spans="3:20" ht="75.75" customHeight="1">
      <c r="C33" s="535"/>
      <c r="D33" s="535"/>
      <c r="E33" s="538"/>
      <c r="F33" s="74" t="s">
        <v>124</v>
      </c>
      <c r="G33" s="24" t="s">
        <v>23</v>
      </c>
      <c r="H33" s="42" t="e">
        <f>INDEX(Data!$P$4:$AA$37,MATCH('Safety Instruction.'!$F33,Data!$Q$4:$Q$37,0),MATCH('Safety Instruction.'!$D$4,Data!$P$4:$AA$4,0))</f>
        <v>#N/A</v>
      </c>
      <c r="I33" s="384" t="str">
        <f>'Safety overall result'!Z34</f>
        <v>A</v>
      </c>
      <c r="J33" s="92"/>
      <c r="K33" s="269"/>
      <c r="L33" s="269"/>
      <c r="M33" s="269"/>
      <c r="N33" s="92"/>
      <c r="O33" s="92"/>
      <c r="P33" s="92"/>
      <c r="S33" s="72" t="s">
        <v>125</v>
      </c>
      <c r="T33" s="74" t="s">
        <v>122</v>
      </c>
    </row>
    <row r="34" spans="3:20" ht="67.5" customHeight="1">
      <c r="C34" s="535"/>
      <c r="D34" s="535"/>
      <c r="E34" s="538"/>
      <c r="F34" s="74" t="s">
        <v>126</v>
      </c>
      <c r="G34" s="24" t="s">
        <v>23</v>
      </c>
      <c r="H34" s="42" t="e">
        <f>INDEX(Data!$P$4:$AA$37,MATCH('Safety Instruction.'!$F34,Data!$Q$4:$Q$37,0),MATCH('Safety Instruction.'!$D$4,Data!$P$4:$AA$4,0))</f>
        <v>#N/A</v>
      </c>
      <c r="I34" s="384" t="str">
        <f>'Safety overall result'!Z35</f>
        <v>A</v>
      </c>
      <c r="J34" s="92"/>
      <c r="K34" s="269"/>
      <c r="L34" s="269"/>
      <c r="M34" s="269"/>
      <c r="N34" s="92"/>
      <c r="O34" s="92"/>
      <c r="P34" s="92"/>
      <c r="S34" s="72" t="s">
        <v>127</v>
      </c>
      <c r="T34" s="74" t="s">
        <v>124</v>
      </c>
    </row>
    <row r="35" spans="3:20" ht="67.5" customHeight="1">
      <c r="C35" s="535"/>
      <c r="D35" s="535"/>
      <c r="E35" s="539"/>
      <c r="F35" s="74" t="s">
        <v>128</v>
      </c>
      <c r="G35" s="24" t="s">
        <v>23</v>
      </c>
      <c r="H35" s="42" t="e">
        <f>INDEX(Data!$P$4:$AA$37,MATCH('Safety Instruction.'!$F35,Data!$Q$4:$Q$37,0),MATCH('Safety Instruction.'!$D$4,Data!$P$4:$AA$4,0))</f>
        <v>#N/A</v>
      </c>
      <c r="I35" s="384" t="str">
        <f>'Safety overall result'!Z36</f>
        <v>A</v>
      </c>
      <c r="J35" s="92"/>
      <c r="K35" s="269"/>
      <c r="L35" s="269"/>
      <c r="M35" s="269"/>
      <c r="N35" s="92"/>
      <c r="O35" s="92"/>
      <c r="P35" s="92"/>
      <c r="S35" s="72" t="s">
        <v>129</v>
      </c>
      <c r="T35" s="74" t="s">
        <v>126</v>
      </c>
    </row>
    <row r="36" spans="3:20" ht="67.5" customHeight="1">
      <c r="C36" s="535" t="s">
        <v>130</v>
      </c>
      <c r="D36" s="535" t="s">
        <v>131</v>
      </c>
      <c r="E36" s="536" t="s">
        <v>132</v>
      </c>
      <c r="F36" s="74" t="s">
        <v>133</v>
      </c>
      <c r="G36" s="24" t="s">
        <v>23</v>
      </c>
      <c r="H36" s="42" t="e">
        <f>INDEX(Data!$P$4:$AA$37,MATCH('Safety Instruction.'!$F36,Data!$Q$4:$Q$37,0),MATCH('Safety Instruction.'!$D$4,Data!$P$4:$AA$4,0))</f>
        <v>#N/A</v>
      </c>
      <c r="I36" s="384" t="str">
        <f>'Safety overall result'!Z37</f>
        <v>A</v>
      </c>
      <c r="J36" s="92"/>
      <c r="K36" s="269"/>
      <c r="L36" s="92"/>
      <c r="M36" s="269"/>
      <c r="N36" s="92"/>
      <c r="O36" s="92"/>
      <c r="P36" s="92"/>
      <c r="S36" s="72" t="s">
        <v>134</v>
      </c>
      <c r="T36" s="74" t="s">
        <v>128</v>
      </c>
    </row>
    <row r="37" spans="3:20" ht="69.95" customHeight="1">
      <c r="C37" s="535"/>
      <c r="D37" s="535"/>
      <c r="E37" s="536"/>
      <c r="F37" s="74" t="s">
        <v>135</v>
      </c>
      <c r="G37" s="24" t="s">
        <v>23</v>
      </c>
      <c r="H37" s="42" t="e">
        <f>INDEX(Data!$P$4:$AA$37,MATCH('Safety Instruction.'!$F37,Data!$Q$4:$Q$37,0),MATCH('Safety Instruction.'!$D$4,Data!$P$4:$AA$4,0))</f>
        <v>#N/A</v>
      </c>
      <c r="I37" s="384" t="str">
        <f>'Safety overall result'!Z38</f>
        <v>A</v>
      </c>
      <c r="J37" s="92"/>
      <c r="K37" s="269"/>
      <c r="L37" s="269"/>
      <c r="M37" s="269"/>
      <c r="N37" s="92"/>
      <c r="O37" s="92"/>
      <c r="P37" s="92"/>
      <c r="S37" s="72" t="s">
        <v>136</v>
      </c>
      <c r="T37" s="74" t="s">
        <v>133</v>
      </c>
    </row>
    <row r="38" spans="3:20" ht="69.95" customHeight="1">
      <c r="C38" s="535"/>
      <c r="D38" s="535"/>
      <c r="E38" s="536"/>
      <c r="F38" s="73" t="s">
        <v>137</v>
      </c>
      <c r="G38" s="24" t="s">
        <v>23</v>
      </c>
      <c r="H38" s="42" t="e">
        <f>INDEX(Data!$P$4:$AA$37,MATCH('Safety Instruction.'!$F38,Data!$Q$4:$Q$37,0),MATCH('Safety Instruction.'!$D$4,Data!$P$4:$AA$4,0))</f>
        <v>#N/A</v>
      </c>
      <c r="I38" s="384" t="str">
        <f>'Safety overall result'!Z39</f>
        <v>A</v>
      </c>
      <c r="J38" s="92"/>
      <c r="K38" s="269"/>
      <c r="L38" s="269"/>
      <c r="M38" s="269"/>
      <c r="N38" s="92"/>
      <c r="O38" s="92"/>
      <c r="P38" s="92"/>
      <c r="S38" s="72" t="s">
        <v>138</v>
      </c>
    </row>
    <row r="39" spans="3:20" ht="16.5">
      <c r="C39" s="35"/>
      <c r="D39" s="35"/>
      <c r="E39" s="35"/>
      <c r="F39" s="37"/>
      <c r="G39" s="37"/>
      <c r="H39" s="37"/>
      <c r="I39" s="377"/>
      <c r="J39" s="37"/>
      <c r="K39" s="37"/>
      <c r="L39" s="37"/>
      <c r="M39" s="37"/>
      <c r="N39" s="37"/>
      <c r="O39" s="37"/>
      <c r="P39" s="37"/>
      <c r="S39" s="72" t="s">
        <v>139</v>
      </c>
      <c r="T39" s="74" t="s">
        <v>135</v>
      </c>
    </row>
    <row r="40" spans="3:20" ht="16.5">
      <c r="C40" s="35"/>
      <c r="D40" s="35"/>
      <c r="E40" s="35"/>
      <c r="F40" s="37"/>
      <c r="G40" s="37"/>
      <c r="H40" s="37"/>
      <c r="I40" s="377"/>
      <c r="J40" s="37"/>
      <c r="K40" s="37"/>
      <c r="L40" s="37"/>
      <c r="M40" s="37"/>
      <c r="N40" s="37"/>
      <c r="O40" s="37"/>
      <c r="P40" s="37"/>
      <c r="S40" s="72" t="s">
        <v>140</v>
      </c>
      <c r="T40" s="73"/>
    </row>
    <row r="41" spans="3:20" ht="16.5">
      <c r="C41" s="35"/>
      <c r="D41" s="35"/>
      <c r="E41" s="35"/>
      <c r="F41" s="37"/>
      <c r="G41" s="37"/>
      <c r="H41" s="37"/>
      <c r="I41" s="377"/>
      <c r="J41" s="37"/>
      <c r="K41" s="37"/>
      <c r="L41" s="37"/>
      <c r="M41" s="37"/>
      <c r="N41" s="37"/>
      <c r="O41" s="37"/>
      <c r="P41" s="37"/>
      <c r="S41" s="72" t="s">
        <v>141</v>
      </c>
      <c r="T41" s="73" t="s">
        <v>137</v>
      </c>
    </row>
    <row r="42" spans="3:20" ht="16.5">
      <c r="C42" s="35"/>
      <c r="D42" s="35"/>
      <c r="E42" s="35"/>
      <c r="F42" s="37"/>
      <c r="G42" s="37"/>
      <c r="H42" s="37"/>
      <c r="I42" s="377"/>
      <c r="J42" s="37"/>
      <c r="K42" s="37"/>
      <c r="L42" s="37"/>
      <c r="M42" s="37"/>
      <c r="N42" s="37"/>
      <c r="O42" s="37"/>
      <c r="P42" s="37"/>
    </row>
    <row r="43" spans="3:20" ht="16.5">
      <c r="C43" s="35"/>
      <c r="D43" s="35"/>
      <c r="E43" s="35"/>
      <c r="F43" s="37"/>
      <c r="G43" s="37"/>
      <c r="H43" s="37"/>
      <c r="I43" s="377"/>
      <c r="J43" s="37"/>
      <c r="K43" s="37"/>
      <c r="L43" s="37"/>
      <c r="M43" s="37"/>
      <c r="N43" s="37"/>
      <c r="O43" s="37"/>
      <c r="P43" s="37"/>
    </row>
    <row r="44" spans="3:20" ht="16.5">
      <c r="C44" s="35"/>
      <c r="D44" s="35"/>
      <c r="E44" s="35"/>
      <c r="F44" s="37"/>
      <c r="G44" s="37"/>
      <c r="H44" s="37"/>
      <c r="I44" s="377"/>
      <c r="J44" s="37"/>
      <c r="K44" s="37"/>
      <c r="L44" s="37"/>
      <c r="M44" s="37"/>
      <c r="N44" s="37"/>
      <c r="O44" s="37"/>
      <c r="P44" s="37"/>
    </row>
    <row r="45" spans="3:20" ht="16.5">
      <c r="C45" s="39"/>
      <c r="D45" s="35"/>
      <c r="E45" s="35"/>
      <c r="F45" s="37"/>
      <c r="G45" s="37"/>
      <c r="H45" s="37"/>
      <c r="I45" s="377"/>
      <c r="J45" s="37"/>
      <c r="K45" s="37"/>
      <c r="L45" s="37"/>
      <c r="M45" s="37"/>
      <c r="N45" s="37"/>
      <c r="O45" s="37"/>
      <c r="P45" s="37"/>
    </row>
    <row r="46" spans="3:20" ht="16.5">
      <c r="C46" s="39"/>
      <c r="D46" s="35"/>
      <c r="E46" s="35"/>
      <c r="F46" s="37"/>
      <c r="G46" s="37"/>
      <c r="H46" s="37"/>
      <c r="I46" s="377"/>
      <c r="J46" s="37"/>
      <c r="K46" s="37"/>
      <c r="L46" s="37"/>
      <c r="M46" s="37"/>
      <c r="N46" s="37"/>
      <c r="O46" s="37"/>
      <c r="P46" s="37"/>
    </row>
    <row r="47" spans="3:20" ht="16.5">
      <c r="C47" s="35"/>
      <c r="D47" s="35"/>
      <c r="E47" s="35"/>
      <c r="F47" s="37"/>
      <c r="G47" s="37"/>
      <c r="H47" s="37"/>
      <c r="I47" s="377"/>
      <c r="J47" s="37"/>
      <c r="K47" s="37"/>
      <c r="L47" s="37"/>
      <c r="M47" s="37"/>
      <c r="N47" s="37"/>
      <c r="O47" s="37"/>
      <c r="P47" s="37"/>
    </row>
    <row r="48" spans="3:20" ht="16.5">
      <c r="F48" s="37"/>
      <c r="G48" s="37"/>
      <c r="H48" s="37"/>
      <c r="I48" s="377"/>
      <c r="J48" s="37"/>
      <c r="K48" s="37"/>
      <c r="L48" s="37"/>
      <c r="M48" s="37"/>
      <c r="N48" s="37"/>
      <c r="O48" s="37"/>
      <c r="P48" s="37"/>
    </row>
    <row r="49" spans="5:16" ht="16.5" hidden="1">
      <c r="F49" s="37"/>
      <c r="G49" s="44"/>
      <c r="H49" s="44"/>
      <c r="I49" s="379"/>
      <c r="J49" s="44"/>
      <c r="K49" s="44"/>
      <c r="L49" s="44"/>
      <c r="M49" s="44"/>
      <c r="N49" s="44"/>
      <c r="O49" s="44"/>
      <c r="P49" s="44"/>
    </row>
    <row r="50" spans="5:16" ht="16.5" hidden="1">
      <c r="F50" s="37"/>
      <c r="G50" s="44"/>
      <c r="H50" s="44"/>
      <c r="I50" s="379"/>
      <c r="J50" s="44"/>
      <c r="K50" s="44"/>
      <c r="L50" s="44"/>
      <c r="M50" s="44"/>
      <c r="N50" s="44"/>
      <c r="O50" s="44"/>
      <c r="P50" s="44"/>
    </row>
    <row r="51" spans="5:16" ht="16.5" hidden="1">
      <c r="E51" s="48"/>
      <c r="F51" s="37"/>
      <c r="G51" s="44"/>
      <c r="H51" s="44"/>
      <c r="I51" s="379"/>
      <c r="J51" s="44"/>
      <c r="K51" s="44"/>
      <c r="L51" s="44"/>
      <c r="M51" s="44"/>
      <c r="N51" s="44"/>
      <c r="O51" s="44"/>
      <c r="P51" s="44"/>
    </row>
    <row r="52" spans="5:16" ht="16.5" hidden="1">
      <c r="F52" s="37"/>
      <c r="G52" s="44"/>
      <c r="H52" s="44"/>
      <c r="I52" s="379"/>
      <c r="J52" s="44"/>
      <c r="K52" s="44"/>
      <c r="L52" s="44"/>
      <c r="M52" s="44"/>
      <c r="N52" s="44"/>
      <c r="O52" s="44"/>
      <c r="P52" s="44"/>
    </row>
    <row r="53" spans="5:16" ht="16.5" hidden="1">
      <c r="F53" s="37"/>
      <c r="G53" s="44"/>
      <c r="H53" s="44"/>
      <c r="I53" s="379"/>
      <c r="J53" s="44"/>
      <c r="K53" s="44"/>
      <c r="L53" s="44"/>
      <c r="M53" s="44"/>
      <c r="N53" s="44"/>
      <c r="O53" s="44"/>
      <c r="P53" s="44"/>
    </row>
    <row r="54" spans="5:16" ht="16.5" hidden="1">
      <c r="F54" s="37"/>
      <c r="G54" s="44"/>
      <c r="H54" s="44"/>
      <c r="I54" s="379"/>
      <c r="J54" s="44"/>
      <c r="K54" s="44"/>
      <c r="L54" s="44"/>
      <c r="M54" s="44"/>
      <c r="N54" s="44"/>
      <c r="O54" s="44"/>
      <c r="P54" s="44"/>
    </row>
    <row r="55" spans="5:16" ht="16.5" hidden="1">
      <c r="F55" s="37"/>
      <c r="G55" s="44"/>
      <c r="H55" s="44"/>
      <c r="I55" s="379"/>
      <c r="J55" s="44"/>
      <c r="K55" s="44"/>
      <c r="L55" s="44"/>
      <c r="M55" s="44"/>
      <c r="N55" s="44"/>
      <c r="O55" s="44"/>
      <c r="P55" s="44"/>
    </row>
    <row r="56" spans="5:16" ht="16.5" hidden="1">
      <c r="F56" s="37"/>
      <c r="G56" s="44"/>
      <c r="H56" s="44"/>
      <c r="I56" s="379"/>
      <c r="J56" s="44"/>
      <c r="K56" s="44"/>
      <c r="L56" s="44"/>
      <c r="M56" s="44"/>
      <c r="N56" s="44"/>
      <c r="O56" s="44"/>
      <c r="P56" s="44"/>
    </row>
    <row r="57" spans="5:16" ht="16.5" hidden="1">
      <c r="F57" s="37"/>
      <c r="G57" s="45"/>
      <c r="H57" s="45"/>
      <c r="I57" s="380"/>
      <c r="J57" s="45"/>
      <c r="K57" s="45"/>
      <c r="L57" s="45"/>
      <c r="M57" s="45"/>
      <c r="N57" s="45"/>
      <c r="O57" s="45"/>
      <c r="P57" s="45"/>
    </row>
    <row r="58" spans="5:16" ht="16.5" hidden="1">
      <c r="F58" s="37"/>
      <c r="G58" s="45"/>
      <c r="H58" s="45"/>
      <c r="I58" s="380"/>
      <c r="J58" s="45"/>
      <c r="K58" s="45"/>
      <c r="L58" s="45"/>
      <c r="M58" s="45"/>
      <c r="N58" s="45"/>
      <c r="O58" s="45"/>
      <c r="P58" s="45"/>
    </row>
    <row r="59" spans="5:16" ht="16.5">
      <c r="F59" s="37"/>
      <c r="G59" s="37"/>
      <c r="H59" s="37"/>
      <c r="I59" s="377"/>
      <c r="J59" s="37"/>
      <c r="K59" s="37"/>
      <c r="L59" s="37"/>
      <c r="M59" s="37"/>
      <c r="N59" s="37"/>
      <c r="O59" s="37"/>
      <c r="P59" s="37"/>
    </row>
  </sheetData>
  <autoFilter ref="B8:P38" xr:uid="{303C0BA3-8567-4718-922F-659EC1AFA872}"/>
  <mergeCells count="35">
    <mergeCell ref="C36:C38"/>
    <mergeCell ref="D36:D38"/>
    <mergeCell ref="E36:E38"/>
    <mergeCell ref="E26:E31"/>
    <mergeCell ref="E32:E35"/>
    <mergeCell ref="E20:E22"/>
    <mergeCell ref="C20:C22"/>
    <mergeCell ref="D26:D35"/>
    <mergeCell ref="C26:C35"/>
    <mergeCell ref="C9:C12"/>
    <mergeCell ref="D9:D12"/>
    <mergeCell ref="E9:E12"/>
    <mergeCell ref="C13:C19"/>
    <mergeCell ref="D13:D19"/>
    <mergeCell ref="E13:E19"/>
    <mergeCell ref="D20:D22"/>
    <mergeCell ref="C6:C8"/>
    <mergeCell ref="D6:D8"/>
    <mergeCell ref="E6:E8"/>
    <mergeCell ref="F6:F8"/>
    <mergeCell ref="G6:G8"/>
    <mergeCell ref="N1:P1"/>
    <mergeCell ref="N4:P4"/>
    <mergeCell ref="I7:I8"/>
    <mergeCell ref="D4:E4"/>
    <mergeCell ref="K6:K8"/>
    <mergeCell ref="L6:L8"/>
    <mergeCell ref="M6:M8"/>
    <mergeCell ref="N6:P6"/>
    <mergeCell ref="N7:N8"/>
    <mergeCell ref="O7:O8"/>
    <mergeCell ref="P7:P8"/>
    <mergeCell ref="H7:H8"/>
    <mergeCell ref="H6:I6"/>
    <mergeCell ref="J6:J8"/>
  </mergeCells>
  <phoneticPr fontId="6"/>
  <conditionalFormatting sqref="G9:G38">
    <cfRule type="containsText" dxfId="8" priority="2" operator="containsText" text="No">
      <formula>NOT(ISERROR(SEARCH("No",G9)))</formula>
    </cfRule>
  </conditionalFormatting>
  <pageMargins left="0.7" right="0.7" top="0.75" bottom="0.75" header="0.3" footer="0.3"/>
  <pageSetup paperSize="8" scale="39" orientation="landscape" r:id="rId1"/>
  <extLst>
    <ext xmlns:x14="http://schemas.microsoft.com/office/spreadsheetml/2009/9/main" uri="{78C0D931-6437-407d-A8EE-F0AAD7539E65}">
      <x14:conditionalFormattings>
        <x14:conditionalFormatting xmlns:xm="http://schemas.microsoft.com/office/excel/2006/main">
          <x14:cfRule type="containsText" priority="1" operator="containsText" id="{1E7CB50A-E7B6-41B0-85D3-72428C43B068}">
            <xm:f>NOT(ISERROR(SEARCH("-",G9)))</xm:f>
            <xm:f>"-"</xm:f>
            <x14:dxf>
              <fill>
                <patternFill>
                  <bgColor theme="0" tint="-0.24994659260841701"/>
                </patternFill>
              </fill>
            </x14:dxf>
          </x14:cfRule>
          <xm:sqref>G9:G38</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1E2DD-C7A0-4D45-840E-B3F88AAAAF53}">
  <sheetPr codeName="Sheet12">
    <tabColor theme="8" tint="0.59999389629810485"/>
  </sheetPr>
  <dimension ref="B2:Y55"/>
  <sheetViews>
    <sheetView view="pageBreakPreview" topLeftCell="A2" zoomScale="60" zoomScaleNormal="70" workbookViewId="0">
      <pane xSplit="5" ySplit="13" topLeftCell="F36" activePane="bottomRight" state="frozen"/>
      <selection pane="bottomRight" activeCell="E34" sqref="E34"/>
      <selection pane="bottomLeft" activeCell="E34" sqref="E34"/>
      <selection pane="topRight" activeCell="E34" sqref="E34"/>
    </sheetView>
  </sheetViews>
  <sheetFormatPr defaultColWidth="8.85546875" defaultRowHeight="14.45" outlineLevelCol="1"/>
  <cols>
    <col min="1" max="1" width="1.7109375" customWidth="1"/>
    <col min="3" max="3" width="15.140625" bestFit="1" customWidth="1"/>
    <col min="4" max="4" width="7.42578125" customWidth="1"/>
    <col min="5" max="5" width="12" customWidth="1"/>
    <col min="6" max="6" width="39.7109375" customWidth="1"/>
    <col min="7" max="7" width="10.140625" style="22" customWidth="1"/>
    <col min="8" max="8" width="39.7109375" customWidth="1"/>
    <col min="9" max="9" width="10.140625" style="22" customWidth="1"/>
    <col min="10" max="10" width="39.7109375" customWidth="1"/>
    <col min="11" max="11" width="10.140625" style="22" customWidth="1"/>
    <col min="12" max="12" width="39.7109375" customWidth="1"/>
    <col min="13" max="13" width="10.140625" style="22" customWidth="1"/>
    <col min="14" max="14" width="39.7109375" customWidth="1"/>
    <col min="15" max="15" width="10.140625" style="22" customWidth="1"/>
    <col min="16" max="16" width="14.42578125" bestFit="1" customWidth="1"/>
    <col min="17" max="21" width="6.42578125" style="22" customWidth="1" outlineLevel="1"/>
    <col min="22" max="22" width="6.42578125" customWidth="1" outlineLevel="1"/>
    <col min="23" max="24" width="8.85546875" customWidth="1" outlineLevel="1"/>
    <col min="25" max="25" width="11.140625" customWidth="1"/>
  </cols>
  <sheetData>
    <row r="2" spans="2:25" ht="16.5">
      <c r="B2" s="202" t="s">
        <v>500</v>
      </c>
      <c r="C2" s="203"/>
      <c r="D2" s="2"/>
      <c r="E2" s="2"/>
      <c r="F2" s="3"/>
      <c r="G2" s="29"/>
      <c r="H2" s="3"/>
      <c r="I2" s="29"/>
      <c r="J2" s="3"/>
      <c r="K2" s="29"/>
      <c r="L2" s="3"/>
      <c r="M2" s="29"/>
      <c r="N2" s="3"/>
      <c r="O2" s="29"/>
      <c r="P2" s="2"/>
    </row>
    <row r="3" spans="2:25" ht="16.5">
      <c r="B3" s="204"/>
      <c r="C3" s="203" t="s">
        <v>501</v>
      </c>
      <c r="D3" s="2"/>
      <c r="E3" s="2"/>
      <c r="F3" s="3"/>
      <c r="G3" s="29"/>
      <c r="H3" s="3"/>
      <c r="I3" s="29"/>
      <c r="J3" s="3"/>
      <c r="K3" s="29"/>
      <c r="L3" s="3"/>
      <c r="M3" s="29"/>
      <c r="N3" s="27"/>
      <c r="O3" s="29"/>
      <c r="P3" s="2"/>
    </row>
    <row r="4" spans="2:25" ht="16.5">
      <c r="B4" s="205"/>
      <c r="C4" s="203" t="s">
        <v>502</v>
      </c>
      <c r="D4" s="2"/>
      <c r="E4" s="7" t="s">
        <v>503</v>
      </c>
      <c r="F4" s="25">
        <f>COUNTA(E15:E39)</f>
        <v>25</v>
      </c>
      <c r="G4" s="6"/>
      <c r="H4" s="3"/>
      <c r="I4" s="29"/>
      <c r="J4" s="3"/>
      <c r="K4" s="29"/>
      <c r="L4" s="3"/>
      <c r="M4" s="29"/>
      <c r="N4" s="3"/>
      <c r="O4" s="29"/>
      <c r="P4" s="2"/>
    </row>
    <row r="5" spans="2:25" ht="16.5">
      <c r="E5" s="7" t="s">
        <v>504</v>
      </c>
      <c r="F5" s="26">
        <f>COUNTA(F15:N39)</f>
        <v>217</v>
      </c>
      <c r="G5" s="29"/>
    </row>
    <row r="6" spans="2:25" ht="16.5">
      <c r="B6" s="202" t="s">
        <v>505</v>
      </c>
      <c r="C6" s="203"/>
      <c r="D6" s="2"/>
      <c r="E6" s="6"/>
      <c r="F6" s="3"/>
      <c r="G6" s="29"/>
      <c r="H6" s="3"/>
      <c r="I6" s="29"/>
      <c r="J6" s="3"/>
      <c r="K6" s="29"/>
      <c r="L6" s="3"/>
      <c r="M6" s="29"/>
      <c r="N6" s="3"/>
      <c r="O6" s="29"/>
      <c r="P6" s="2"/>
    </row>
    <row r="7" spans="2:25" ht="16.5">
      <c r="B7" s="203"/>
      <c r="C7" s="203" t="s">
        <v>506</v>
      </c>
      <c r="D7" s="2"/>
      <c r="E7" s="6"/>
      <c r="F7" s="3"/>
      <c r="G7" s="29"/>
      <c r="H7" s="3"/>
      <c r="I7" s="29"/>
      <c r="J7" s="3"/>
      <c r="K7" s="29"/>
      <c r="L7" s="3"/>
      <c r="M7" s="29"/>
      <c r="N7" s="3"/>
      <c r="O7" s="29"/>
      <c r="P7" s="2"/>
    </row>
    <row r="8" spans="2:25" ht="16.5">
      <c r="B8" s="203"/>
      <c r="C8" s="203" t="s">
        <v>507</v>
      </c>
      <c r="D8" s="2"/>
      <c r="E8" s="6"/>
      <c r="F8" s="3"/>
      <c r="G8" s="29"/>
      <c r="H8" s="3"/>
      <c r="I8" s="29"/>
      <c r="J8" s="3"/>
      <c r="K8" s="29"/>
      <c r="L8" s="3"/>
      <c r="M8" s="29"/>
      <c r="N8" s="3"/>
      <c r="O8" s="29"/>
      <c r="P8" s="2"/>
    </row>
    <row r="9" spans="2:25" ht="16.5">
      <c r="B9" s="203"/>
      <c r="C9" s="203" t="s">
        <v>508</v>
      </c>
      <c r="F9" s="3"/>
      <c r="G9" s="29"/>
      <c r="H9" s="3"/>
      <c r="I9" s="29"/>
      <c r="J9" s="3"/>
      <c r="K9" s="29"/>
      <c r="L9" s="3"/>
      <c r="M9" s="29"/>
      <c r="N9" s="27" t="s">
        <v>228</v>
      </c>
      <c r="O9" s="29"/>
      <c r="P9" s="2"/>
    </row>
    <row r="10" spans="2:25" ht="16.5">
      <c r="B10" s="203"/>
      <c r="C10" s="203" t="s">
        <v>509</v>
      </c>
      <c r="F10" s="3"/>
      <c r="G10" s="29"/>
      <c r="H10" s="3"/>
      <c r="I10" s="29"/>
      <c r="J10" s="3"/>
      <c r="K10" s="29"/>
      <c r="L10" s="3"/>
      <c r="M10" s="29"/>
      <c r="N10" s="56" t="s">
        <v>231</v>
      </c>
      <c r="O10" s="29"/>
      <c r="P10" s="2"/>
    </row>
    <row r="11" spans="2:25" ht="16.5">
      <c r="B11" s="2"/>
      <c r="C11" s="2"/>
      <c r="D11" s="7"/>
      <c r="E11" s="3"/>
      <c r="F11" s="3"/>
      <c r="G11" s="29"/>
      <c r="H11" s="3"/>
      <c r="I11" s="29"/>
      <c r="J11" s="3"/>
      <c r="K11" s="29"/>
      <c r="L11" s="3"/>
      <c r="M11" s="29"/>
      <c r="N11" s="56" t="s">
        <v>234</v>
      </c>
      <c r="O11" s="29"/>
      <c r="P11" s="2"/>
    </row>
    <row r="12" spans="2:25" ht="18" customHeight="1">
      <c r="B12" s="2"/>
      <c r="C12" s="596" t="s">
        <v>49</v>
      </c>
      <c r="D12" s="599" t="s">
        <v>510</v>
      </c>
      <c r="E12" s="599" t="s">
        <v>511</v>
      </c>
      <c r="F12" s="593" t="s">
        <v>512</v>
      </c>
      <c r="G12" s="593"/>
      <c r="H12" s="593" t="s">
        <v>513</v>
      </c>
      <c r="I12" s="593"/>
      <c r="J12" s="593"/>
      <c r="K12" s="593"/>
      <c r="L12" s="593" t="s">
        <v>514</v>
      </c>
      <c r="M12" s="593"/>
      <c r="N12" s="593" t="s">
        <v>515</v>
      </c>
      <c r="O12" s="593"/>
      <c r="P12" s="2"/>
      <c r="Q12" s="553" t="s">
        <v>516</v>
      </c>
      <c r="R12" s="558" t="s">
        <v>517</v>
      </c>
      <c r="S12" s="558"/>
      <c r="T12" s="558"/>
      <c r="U12" s="558"/>
      <c r="V12" s="558"/>
      <c r="W12" s="559" t="s">
        <v>518</v>
      </c>
      <c r="X12" s="559" t="s">
        <v>519</v>
      </c>
      <c r="Y12" s="559" t="s">
        <v>520</v>
      </c>
    </row>
    <row r="13" spans="2:25" ht="16.5">
      <c r="B13" s="2"/>
      <c r="C13" s="597"/>
      <c r="D13" s="591"/>
      <c r="E13" s="591"/>
      <c r="F13" s="178">
        <v>1</v>
      </c>
      <c r="G13" s="594" t="s">
        <v>521</v>
      </c>
      <c r="H13" s="179">
        <v>2</v>
      </c>
      <c r="I13" s="594" t="s">
        <v>521</v>
      </c>
      <c r="J13" s="179">
        <v>3</v>
      </c>
      <c r="K13" s="594" t="s">
        <v>521</v>
      </c>
      <c r="L13" s="179">
        <v>4</v>
      </c>
      <c r="M13" s="594" t="s">
        <v>521</v>
      </c>
      <c r="N13" s="179">
        <v>5</v>
      </c>
      <c r="O13" s="594" t="s">
        <v>521</v>
      </c>
      <c r="P13" s="2"/>
      <c r="Q13" s="553"/>
      <c r="R13" s="23">
        <v>1</v>
      </c>
      <c r="S13" s="23">
        <v>2</v>
      </c>
      <c r="T13" s="23">
        <v>3</v>
      </c>
      <c r="U13" s="23">
        <v>4</v>
      </c>
      <c r="V13" s="23">
        <v>5</v>
      </c>
      <c r="W13" s="559"/>
      <c r="X13" s="559"/>
      <c r="Y13" s="559"/>
    </row>
    <row r="14" spans="2:25" ht="17.100000000000001" thickBot="1">
      <c r="B14" s="2"/>
      <c r="C14" s="598"/>
      <c r="D14" s="600"/>
      <c r="E14" s="600"/>
      <c r="F14" s="180" t="s">
        <v>522</v>
      </c>
      <c r="G14" s="595"/>
      <c r="H14" s="180" t="s">
        <v>523</v>
      </c>
      <c r="I14" s="595"/>
      <c r="J14" s="180" t="s">
        <v>524</v>
      </c>
      <c r="K14" s="595"/>
      <c r="L14" s="180" t="s">
        <v>525</v>
      </c>
      <c r="M14" s="595"/>
      <c r="N14" s="180" t="s">
        <v>526</v>
      </c>
      <c r="O14" s="595"/>
      <c r="P14" s="2"/>
      <c r="Q14" s="553"/>
      <c r="R14" s="23" t="s">
        <v>251</v>
      </c>
      <c r="S14" s="23" t="s">
        <v>252</v>
      </c>
      <c r="T14" s="23" t="s">
        <v>253</v>
      </c>
      <c r="U14" s="23" t="s">
        <v>254</v>
      </c>
      <c r="V14" s="23" t="s">
        <v>255</v>
      </c>
      <c r="W14" s="559"/>
      <c r="X14" s="559"/>
      <c r="Y14" s="559"/>
    </row>
    <row r="15" spans="2:25" ht="165">
      <c r="B15" s="2"/>
      <c r="C15" s="591" t="s">
        <v>29</v>
      </c>
      <c r="D15" s="181" t="s">
        <v>527</v>
      </c>
      <c r="E15" s="187" t="s">
        <v>528</v>
      </c>
      <c r="F15" s="182" t="s">
        <v>529</v>
      </c>
      <c r="G15" s="183" t="str">
        <f>'DP operator'!J4</f>
        <v>Yes</v>
      </c>
      <c r="H15" s="182" t="s">
        <v>530</v>
      </c>
      <c r="I15" s="183" t="str">
        <f>'DP operator'!J5</f>
        <v>Yes</v>
      </c>
      <c r="J15" s="182" t="s">
        <v>531</v>
      </c>
      <c r="K15" s="183" t="str">
        <f>'DP operator'!J6</f>
        <v>Yes</v>
      </c>
      <c r="L15" s="182" t="s">
        <v>532</v>
      </c>
      <c r="M15" s="183" t="str">
        <f>'DP operator'!J7</f>
        <v>Yes</v>
      </c>
      <c r="N15" s="182" t="s">
        <v>533</v>
      </c>
      <c r="O15" s="183" t="str">
        <f>'DP operator'!J8</f>
        <v>Yes</v>
      </c>
      <c r="P15" s="567"/>
      <c r="Q15" s="73" t="s">
        <v>534</v>
      </c>
      <c r="R15" s="24" t="str">
        <f t="shared" ref="R15:R41" si="0">G15</f>
        <v>Yes</v>
      </c>
      <c r="S15" s="24" t="str">
        <f t="shared" ref="S15:S41" si="1">I15</f>
        <v>Yes</v>
      </c>
      <c r="T15" s="24" t="str">
        <f t="shared" ref="T15:T41" si="2">K15</f>
        <v>Yes</v>
      </c>
      <c r="U15" s="24" t="str">
        <f t="shared" ref="U15:U41" si="3">M15</f>
        <v>Yes</v>
      </c>
      <c r="V15" s="24" t="str">
        <f t="shared" ref="V15:V41" si="4">O15</f>
        <v>Yes</v>
      </c>
      <c r="W15" s="75">
        <f>IF(R15="No",1,IF(S15="No",1,IF(T15="No",2,IF(U15="No",3,IF(V15="No",4,5)))))</f>
        <v>5</v>
      </c>
      <c r="X15" s="75" t="str">
        <f t="shared" ref="X15:X41" si="5">IF(W15&lt;2,"C",IF(W15&lt;3,"B-",IF(W15&lt;4,"B",IF(W15&lt;5,"B+",IF(W15=5,"A","")))))</f>
        <v>A</v>
      </c>
      <c r="Y15" s="81" t="s">
        <v>535</v>
      </c>
    </row>
    <row r="16" spans="2:25" ht="231">
      <c r="B16" s="2"/>
      <c r="C16" s="591"/>
      <c r="D16" s="181" t="s">
        <v>527</v>
      </c>
      <c r="E16" s="179" t="s">
        <v>536</v>
      </c>
      <c r="F16" s="182" t="s">
        <v>537</v>
      </c>
      <c r="G16" s="179" t="str">
        <f>'DP SV'!J4</f>
        <v>Yes</v>
      </c>
      <c r="H16" s="184" t="s">
        <v>538</v>
      </c>
      <c r="I16" s="179" t="str">
        <f>'DP operator'!J9</f>
        <v>Yes</v>
      </c>
      <c r="J16" s="184" t="s">
        <v>539</v>
      </c>
      <c r="K16" s="179" t="str">
        <f>'DP SV'!J5</f>
        <v>Yes</v>
      </c>
      <c r="L16" s="184" t="s">
        <v>540</v>
      </c>
      <c r="M16" s="179" t="str">
        <f>'DP operator'!J10</f>
        <v>Yes</v>
      </c>
      <c r="N16" s="184" t="s">
        <v>541</v>
      </c>
      <c r="O16" s="179" t="str">
        <f>'DP SV'!J6</f>
        <v>No</v>
      </c>
      <c r="P16" s="567"/>
      <c r="Q16" s="73" t="s">
        <v>534</v>
      </c>
      <c r="R16" s="24" t="str">
        <f t="shared" si="0"/>
        <v>Yes</v>
      </c>
      <c r="S16" s="24" t="str">
        <f t="shared" si="1"/>
        <v>Yes</v>
      </c>
      <c r="T16" s="24" t="str">
        <f t="shared" si="2"/>
        <v>Yes</v>
      </c>
      <c r="U16" s="24" t="str">
        <f t="shared" si="3"/>
        <v>Yes</v>
      </c>
      <c r="V16" s="24" t="str">
        <f t="shared" si="4"/>
        <v>No</v>
      </c>
      <c r="W16" s="75">
        <f t="shared" ref="W16:W41" si="6">IF(R16="No",1,IF(S16="No",1,IF(T16="No",2,IF(U16="No",3,IF(V16="No",4,5)))))</f>
        <v>4</v>
      </c>
      <c r="X16" s="75" t="str">
        <f t="shared" si="5"/>
        <v>B+</v>
      </c>
      <c r="Y16" s="81" t="s">
        <v>542</v>
      </c>
    </row>
    <row r="17" spans="3:25" ht="198">
      <c r="C17" s="591"/>
      <c r="D17" s="181" t="s">
        <v>527</v>
      </c>
      <c r="E17" s="186" t="s">
        <v>543</v>
      </c>
      <c r="F17" s="185" t="s">
        <v>544</v>
      </c>
      <c r="G17" s="186" t="str">
        <f>'DP manager'!J4</f>
        <v>Yes</v>
      </c>
      <c r="H17" s="185" t="s">
        <v>545</v>
      </c>
      <c r="I17" s="186" t="str">
        <f>'DP manager'!J5</f>
        <v>Yes</v>
      </c>
      <c r="J17" s="185" t="s">
        <v>546</v>
      </c>
      <c r="K17" s="186" t="str">
        <f>'DP manager'!J6</f>
        <v>Yes</v>
      </c>
      <c r="L17" s="185" t="s">
        <v>547</v>
      </c>
      <c r="M17" s="186" t="str">
        <f>'DP manager'!J7</f>
        <v>Yes</v>
      </c>
      <c r="N17" s="185" t="s">
        <v>548</v>
      </c>
      <c r="O17" s="186" t="str">
        <f>'DP manager'!J8</f>
        <v>Yes</v>
      </c>
      <c r="P17" s="567"/>
      <c r="Q17" s="73" t="s">
        <v>534</v>
      </c>
      <c r="R17" s="24" t="str">
        <f t="shared" si="0"/>
        <v>Yes</v>
      </c>
      <c r="S17" s="24" t="str">
        <f t="shared" si="1"/>
        <v>Yes</v>
      </c>
      <c r="T17" s="24" t="str">
        <f t="shared" si="2"/>
        <v>Yes</v>
      </c>
      <c r="U17" s="24" t="str">
        <f t="shared" si="3"/>
        <v>Yes</v>
      </c>
      <c r="V17" s="24" t="str">
        <f t="shared" si="4"/>
        <v>Yes</v>
      </c>
      <c r="W17" s="75">
        <f t="shared" si="6"/>
        <v>5</v>
      </c>
      <c r="X17" s="75" t="str">
        <f t="shared" si="5"/>
        <v>A</v>
      </c>
      <c r="Y17" s="81" t="s">
        <v>535</v>
      </c>
    </row>
    <row r="18" spans="3:25" ht="99">
      <c r="C18" s="592"/>
      <c r="D18" s="181" t="s">
        <v>527</v>
      </c>
      <c r="E18" s="186" t="s">
        <v>275</v>
      </c>
      <c r="F18" s="188" t="s">
        <v>549</v>
      </c>
      <c r="G18" s="186" t="str">
        <f>'DP manager'!J9</f>
        <v>Yes</v>
      </c>
      <c r="H18" s="188" t="s">
        <v>550</v>
      </c>
      <c r="I18" s="186" t="str">
        <f>'DP manager'!J10</f>
        <v>Yes</v>
      </c>
      <c r="J18" s="188" t="s">
        <v>551</v>
      </c>
      <c r="K18" s="186" t="str">
        <f>'DP manager'!J11</f>
        <v>Yes</v>
      </c>
      <c r="L18" s="188" t="s">
        <v>552</v>
      </c>
      <c r="M18" s="186" t="str">
        <f>'DP manager'!J12</f>
        <v>No</v>
      </c>
      <c r="N18" s="188" t="s">
        <v>553</v>
      </c>
      <c r="O18" s="186" t="str">
        <f>'DP manager'!J13</f>
        <v>No</v>
      </c>
      <c r="P18" s="590"/>
      <c r="Q18" s="73" t="s">
        <v>534</v>
      </c>
      <c r="R18" s="24" t="str">
        <f t="shared" si="0"/>
        <v>Yes</v>
      </c>
      <c r="S18" s="24" t="str">
        <f t="shared" si="1"/>
        <v>Yes</v>
      </c>
      <c r="T18" s="24" t="str">
        <f t="shared" si="2"/>
        <v>Yes</v>
      </c>
      <c r="U18" s="24" t="str">
        <f t="shared" si="3"/>
        <v>No</v>
      </c>
      <c r="V18" s="24" t="str">
        <f t="shared" si="4"/>
        <v>No</v>
      </c>
      <c r="W18" s="75">
        <f t="shared" si="6"/>
        <v>3</v>
      </c>
      <c r="X18" s="75" t="str">
        <f t="shared" si="5"/>
        <v>B</v>
      </c>
      <c r="Y18" s="81" t="s">
        <v>542</v>
      </c>
    </row>
    <row r="19" spans="3:25" ht="198">
      <c r="C19" s="591" t="s">
        <v>75</v>
      </c>
      <c r="D19" s="181" t="s">
        <v>527</v>
      </c>
      <c r="E19" s="186" t="s">
        <v>554</v>
      </c>
      <c r="F19" s="188" t="s">
        <v>555</v>
      </c>
      <c r="G19" s="186" t="str">
        <f>'DP manager'!J14</f>
        <v>Yes</v>
      </c>
      <c r="H19" s="188" t="s">
        <v>556</v>
      </c>
      <c r="I19" s="186" t="str">
        <f>'DP manager'!J15</f>
        <v>Yes</v>
      </c>
      <c r="J19" s="188" t="s">
        <v>557</v>
      </c>
      <c r="K19" s="186" t="str">
        <f>'DP manager'!J16</f>
        <v>Yes</v>
      </c>
      <c r="L19" s="188" t="s">
        <v>558</v>
      </c>
      <c r="M19" s="186" t="str">
        <f>'DP SV'!J8</f>
        <v>No</v>
      </c>
      <c r="N19" s="188" t="s">
        <v>559</v>
      </c>
      <c r="O19" s="186" t="str">
        <f>'DP operator'!J11</f>
        <v>No</v>
      </c>
      <c r="P19" s="567"/>
      <c r="Q19" s="73" t="s">
        <v>534</v>
      </c>
      <c r="R19" s="24" t="str">
        <f t="shared" si="0"/>
        <v>Yes</v>
      </c>
      <c r="S19" s="24" t="str">
        <f t="shared" si="1"/>
        <v>Yes</v>
      </c>
      <c r="T19" s="24" t="str">
        <f t="shared" si="2"/>
        <v>Yes</v>
      </c>
      <c r="U19" s="24" t="str">
        <f t="shared" si="3"/>
        <v>No</v>
      </c>
      <c r="V19" s="24" t="str">
        <f t="shared" si="4"/>
        <v>No</v>
      </c>
      <c r="W19" s="75">
        <f t="shared" si="6"/>
        <v>3</v>
      </c>
      <c r="X19" s="75" t="str">
        <f t="shared" si="5"/>
        <v>B</v>
      </c>
      <c r="Y19" s="81" t="s">
        <v>542</v>
      </c>
    </row>
    <row r="20" spans="3:25" ht="82.5">
      <c r="C20" s="591"/>
      <c r="D20" s="181" t="s">
        <v>527</v>
      </c>
      <c r="E20" s="186" t="s">
        <v>560</v>
      </c>
      <c r="F20" s="189" t="s">
        <v>561</v>
      </c>
      <c r="G20" s="186" t="str">
        <f>'DP manager'!J17</f>
        <v>Yes</v>
      </c>
      <c r="H20" s="189" t="s">
        <v>562</v>
      </c>
      <c r="I20" s="186" t="str">
        <f>'DP manager'!J18</f>
        <v>Yes</v>
      </c>
      <c r="J20" s="188" t="s">
        <v>563</v>
      </c>
      <c r="K20" s="186" t="str">
        <f>'DP manager'!J19</f>
        <v>Yes</v>
      </c>
      <c r="L20" s="188" t="s">
        <v>564</v>
      </c>
      <c r="M20" s="186" t="str">
        <f>'DP manager'!J20</f>
        <v>No</v>
      </c>
      <c r="N20" s="188" t="s">
        <v>565</v>
      </c>
      <c r="O20" s="186" t="str">
        <f>'DP manager'!J21</f>
        <v>No</v>
      </c>
      <c r="P20" s="567"/>
      <c r="Q20" s="73" t="s">
        <v>534</v>
      </c>
      <c r="R20" s="24" t="str">
        <f t="shared" si="0"/>
        <v>Yes</v>
      </c>
      <c r="S20" s="24" t="str">
        <f t="shared" si="1"/>
        <v>Yes</v>
      </c>
      <c r="T20" s="24" t="str">
        <f t="shared" si="2"/>
        <v>Yes</v>
      </c>
      <c r="U20" s="24" t="str">
        <f t="shared" si="3"/>
        <v>No</v>
      </c>
      <c r="V20" s="24" t="str">
        <f t="shared" si="4"/>
        <v>No</v>
      </c>
      <c r="W20" s="75">
        <f t="shared" si="6"/>
        <v>3</v>
      </c>
      <c r="X20" s="75" t="str">
        <f t="shared" si="5"/>
        <v>B</v>
      </c>
      <c r="Y20" s="81" t="s">
        <v>542</v>
      </c>
    </row>
    <row r="21" spans="3:25" ht="132">
      <c r="C21" s="591"/>
      <c r="D21" s="181" t="s">
        <v>527</v>
      </c>
      <c r="E21" s="186" t="s">
        <v>566</v>
      </c>
      <c r="F21" s="189" t="s">
        <v>567</v>
      </c>
      <c r="G21" s="190" t="str">
        <f>'DP manager'!J22</f>
        <v>Yes</v>
      </c>
      <c r="H21" s="189" t="s">
        <v>568</v>
      </c>
      <c r="I21" s="190" t="str">
        <f>'DP manager'!J23</f>
        <v>Yes</v>
      </c>
      <c r="J21" s="188" t="s">
        <v>569</v>
      </c>
      <c r="K21" s="190" t="str">
        <f>'DP manager'!J24</f>
        <v>Yes</v>
      </c>
      <c r="L21" s="188" t="s">
        <v>570</v>
      </c>
      <c r="M21" s="190" t="str">
        <f>'DP manager'!J25</f>
        <v>Yes</v>
      </c>
      <c r="N21" s="188" t="s">
        <v>571</v>
      </c>
      <c r="O21" s="190" t="str">
        <f>'DP manager'!J26</f>
        <v>Yes</v>
      </c>
      <c r="P21" s="567"/>
      <c r="Q21" s="73" t="s">
        <v>534</v>
      </c>
      <c r="R21" s="24" t="str">
        <f t="shared" si="0"/>
        <v>Yes</v>
      </c>
      <c r="S21" s="24" t="str">
        <f t="shared" si="1"/>
        <v>Yes</v>
      </c>
      <c r="T21" s="24" t="str">
        <f t="shared" si="2"/>
        <v>Yes</v>
      </c>
      <c r="U21" s="24" t="str">
        <f t="shared" si="3"/>
        <v>Yes</v>
      </c>
      <c r="V21" s="24" t="str">
        <f t="shared" si="4"/>
        <v>Yes</v>
      </c>
      <c r="W21" s="75">
        <f t="shared" si="6"/>
        <v>5</v>
      </c>
      <c r="X21" s="75" t="str">
        <f t="shared" si="5"/>
        <v>A</v>
      </c>
      <c r="Y21" s="81" t="s">
        <v>542</v>
      </c>
    </row>
    <row r="22" spans="3:25" ht="132">
      <c r="C22" s="591"/>
      <c r="D22" s="181" t="s">
        <v>527</v>
      </c>
      <c r="E22" s="186" t="s">
        <v>572</v>
      </c>
      <c r="F22" s="191" t="s">
        <v>573</v>
      </c>
      <c r="G22" s="190" t="str">
        <f>'DP manager'!J27</f>
        <v>Yes</v>
      </c>
      <c r="H22" s="188" t="s">
        <v>574</v>
      </c>
      <c r="I22" s="190" t="str">
        <f>'DP manager'!J28</f>
        <v>Yes</v>
      </c>
      <c r="J22" s="188" t="s">
        <v>575</v>
      </c>
      <c r="K22" s="190" t="str">
        <f>'DP manager'!J29</f>
        <v>Yes</v>
      </c>
      <c r="L22" s="188" t="s">
        <v>576</v>
      </c>
      <c r="M22" s="190" t="str">
        <f>'DP manager'!J30</f>
        <v>Yes</v>
      </c>
      <c r="N22" s="188" t="s">
        <v>577</v>
      </c>
      <c r="O22" s="190" t="str">
        <f>'DP manager'!J31</f>
        <v>Yes</v>
      </c>
      <c r="P22" s="567"/>
      <c r="Q22" s="73" t="s">
        <v>534</v>
      </c>
      <c r="R22" s="24" t="str">
        <f t="shared" si="0"/>
        <v>Yes</v>
      </c>
      <c r="S22" s="24" t="str">
        <f t="shared" si="1"/>
        <v>Yes</v>
      </c>
      <c r="T22" s="24" t="str">
        <f t="shared" si="2"/>
        <v>Yes</v>
      </c>
      <c r="U22" s="24" t="str">
        <f t="shared" si="3"/>
        <v>Yes</v>
      </c>
      <c r="V22" s="24" t="str">
        <f t="shared" si="4"/>
        <v>Yes</v>
      </c>
      <c r="W22" s="75">
        <f t="shared" si="6"/>
        <v>5</v>
      </c>
      <c r="X22" s="75" t="str">
        <f t="shared" si="5"/>
        <v>A</v>
      </c>
      <c r="Y22" s="81" t="s">
        <v>542</v>
      </c>
    </row>
    <row r="23" spans="3:25" ht="193.5" customHeight="1">
      <c r="C23" s="592"/>
      <c r="D23" s="192" t="s">
        <v>527</v>
      </c>
      <c r="E23" s="186" t="s">
        <v>578</v>
      </c>
      <c r="F23" s="191" t="s">
        <v>579</v>
      </c>
      <c r="G23" s="190" t="str">
        <f>'DP manager'!J32</f>
        <v>Yes</v>
      </c>
      <c r="H23" s="188" t="s">
        <v>580</v>
      </c>
      <c r="I23" s="190" t="str">
        <f>'DP manager'!J33</f>
        <v>Yes</v>
      </c>
      <c r="J23" s="188" t="s">
        <v>581</v>
      </c>
      <c r="K23" s="190" t="str">
        <f>'DP manager'!J34</f>
        <v>Yes</v>
      </c>
      <c r="L23" s="188" t="s">
        <v>582</v>
      </c>
      <c r="M23" s="190" t="str">
        <f>'DP manager'!J35</f>
        <v>Yes</v>
      </c>
      <c r="N23" s="188" t="s">
        <v>583</v>
      </c>
      <c r="O23" s="190" t="str">
        <f>'DP manager'!J36</f>
        <v>Yes</v>
      </c>
      <c r="P23" s="590"/>
      <c r="Q23" s="73" t="s">
        <v>534</v>
      </c>
      <c r="R23" s="24" t="str">
        <f t="shared" si="0"/>
        <v>Yes</v>
      </c>
      <c r="S23" s="24" t="str">
        <f t="shared" si="1"/>
        <v>Yes</v>
      </c>
      <c r="T23" s="24" t="str">
        <f t="shared" si="2"/>
        <v>Yes</v>
      </c>
      <c r="U23" s="24" t="str">
        <f t="shared" si="3"/>
        <v>Yes</v>
      </c>
      <c r="V23" s="24" t="str">
        <f t="shared" si="4"/>
        <v>Yes</v>
      </c>
      <c r="W23" s="75">
        <f t="shared" si="6"/>
        <v>5</v>
      </c>
      <c r="X23" s="75" t="str">
        <f t="shared" si="5"/>
        <v>A</v>
      </c>
      <c r="Y23" s="81" t="s">
        <v>542</v>
      </c>
    </row>
    <row r="24" spans="3:25" ht="82.5">
      <c r="C24" s="591" t="s">
        <v>584</v>
      </c>
      <c r="D24" s="181" t="s">
        <v>527</v>
      </c>
      <c r="E24" s="179" t="s">
        <v>323</v>
      </c>
      <c r="F24" s="193" t="s">
        <v>585</v>
      </c>
      <c r="G24" s="194" t="str">
        <f>'DP manager'!J37</f>
        <v>Yes</v>
      </c>
      <c r="H24" s="195" t="s">
        <v>586</v>
      </c>
      <c r="I24" s="194" t="str">
        <f>'Manager(DP)'!J4</f>
        <v>Yes</v>
      </c>
      <c r="J24" s="195" t="s">
        <v>586</v>
      </c>
      <c r="K24" s="194" t="str">
        <f>'Manager(DP)'!J5</f>
        <v>Yes</v>
      </c>
      <c r="L24" s="195" t="s">
        <v>587</v>
      </c>
      <c r="M24" s="194" t="str">
        <f>'Manager(DP)'!J6</f>
        <v>Yes</v>
      </c>
      <c r="N24" s="195" t="s">
        <v>588</v>
      </c>
      <c r="O24" s="194" t="str">
        <f>'DP manager'!J38</f>
        <v>Yes</v>
      </c>
      <c r="P24" s="567"/>
      <c r="Q24" s="73" t="s">
        <v>534</v>
      </c>
      <c r="R24" s="24" t="str">
        <f t="shared" si="0"/>
        <v>Yes</v>
      </c>
      <c r="S24" s="24" t="str">
        <f t="shared" si="1"/>
        <v>Yes</v>
      </c>
      <c r="T24" s="24" t="str">
        <f t="shared" si="2"/>
        <v>Yes</v>
      </c>
      <c r="U24" s="24" t="str">
        <f t="shared" si="3"/>
        <v>Yes</v>
      </c>
      <c r="V24" s="24" t="str">
        <f t="shared" si="4"/>
        <v>Yes</v>
      </c>
      <c r="W24" s="75">
        <f t="shared" si="6"/>
        <v>5</v>
      </c>
      <c r="X24" s="75" t="str">
        <f t="shared" si="5"/>
        <v>A</v>
      </c>
      <c r="Y24" s="81" t="s">
        <v>535</v>
      </c>
    </row>
    <row r="25" spans="3:25" ht="165">
      <c r="C25" s="591"/>
      <c r="D25" s="181" t="s">
        <v>527</v>
      </c>
      <c r="E25" s="196" t="s">
        <v>329</v>
      </c>
      <c r="F25" s="193" t="s">
        <v>585</v>
      </c>
      <c r="G25" s="194" t="str">
        <f>'DP manager'!J39</f>
        <v>Yes</v>
      </c>
      <c r="H25" s="195" t="s">
        <v>589</v>
      </c>
      <c r="I25" s="194" t="str">
        <f>'Manager(DP)'!J7</f>
        <v>Yes</v>
      </c>
      <c r="J25" s="193" t="s">
        <v>589</v>
      </c>
      <c r="K25" s="194" t="str">
        <f>'Manager(DP)'!J8</f>
        <v>Yes</v>
      </c>
      <c r="L25" s="193" t="s">
        <v>590</v>
      </c>
      <c r="M25" s="194" t="str">
        <f>'Manager(DP)'!J9</f>
        <v>No</v>
      </c>
      <c r="N25" s="193" t="s">
        <v>591</v>
      </c>
      <c r="O25" s="194" t="str">
        <f>'Manager(DP)'!J10</f>
        <v>No</v>
      </c>
      <c r="P25" s="567"/>
      <c r="Q25" s="73" t="s">
        <v>534</v>
      </c>
      <c r="R25" s="24" t="str">
        <f t="shared" si="0"/>
        <v>Yes</v>
      </c>
      <c r="S25" s="24" t="str">
        <f t="shared" si="1"/>
        <v>Yes</v>
      </c>
      <c r="T25" s="24" t="str">
        <f t="shared" si="2"/>
        <v>Yes</v>
      </c>
      <c r="U25" s="24" t="str">
        <f t="shared" si="3"/>
        <v>No</v>
      </c>
      <c r="V25" s="24" t="str">
        <f t="shared" si="4"/>
        <v>No</v>
      </c>
      <c r="W25" s="75">
        <f t="shared" si="6"/>
        <v>3</v>
      </c>
      <c r="X25" s="75" t="str">
        <f t="shared" si="5"/>
        <v>B</v>
      </c>
      <c r="Y25" s="81" t="s">
        <v>535</v>
      </c>
    </row>
    <row r="26" spans="3:25" ht="69.95" customHeight="1">
      <c r="C26" s="592"/>
      <c r="D26" s="181" t="s">
        <v>527</v>
      </c>
      <c r="E26" s="197" t="s">
        <v>188</v>
      </c>
      <c r="F26" s="185" t="s">
        <v>592</v>
      </c>
      <c r="G26" s="186" t="str">
        <f>'DP manager'!J40</f>
        <v>Yes</v>
      </c>
      <c r="H26" s="185" t="s">
        <v>593</v>
      </c>
      <c r="I26" s="186" t="str">
        <f>'DP manager'!J41</f>
        <v>Yes</v>
      </c>
      <c r="J26" s="185" t="s">
        <v>594</v>
      </c>
      <c r="K26" s="186" t="str">
        <f>'DP manager'!J42</f>
        <v>Yes</v>
      </c>
      <c r="L26" s="185" t="s">
        <v>595</v>
      </c>
      <c r="M26" s="186" t="str">
        <f>'DP manager'!J43</f>
        <v>Yes</v>
      </c>
      <c r="N26" s="185" t="s">
        <v>596</v>
      </c>
      <c r="O26" s="186" t="str">
        <f>'DP manager'!J44</f>
        <v>No</v>
      </c>
      <c r="P26" s="590"/>
      <c r="Q26" s="73" t="s">
        <v>534</v>
      </c>
      <c r="R26" s="24" t="str">
        <f t="shared" si="0"/>
        <v>Yes</v>
      </c>
      <c r="S26" s="24" t="str">
        <f t="shared" si="1"/>
        <v>Yes</v>
      </c>
      <c r="T26" s="24" t="str">
        <f t="shared" si="2"/>
        <v>Yes</v>
      </c>
      <c r="U26" s="24" t="str">
        <f t="shared" si="3"/>
        <v>Yes</v>
      </c>
      <c r="V26" s="24" t="str">
        <f t="shared" si="4"/>
        <v>No</v>
      </c>
      <c r="W26" s="75">
        <f t="shared" si="6"/>
        <v>4</v>
      </c>
      <c r="X26" s="75" t="str">
        <f t="shared" si="5"/>
        <v>B+</v>
      </c>
      <c r="Y26" s="81" t="s">
        <v>535</v>
      </c>
    </row>
    <row r="27" spans="3:25" ht="148.5">
      <c r="C27" s="547" t="s">
        <v>32</v>
      </c>
      <c r="D27" s="181" t="s">
        <v>527</v>
      </c>
      <c r="E27" s="179" t="s">
        <v>597</v>
      </c>
      <c r="F27" s="184" t="s">
        <v>598</v>
      </c>
      <c r="G27" s="183" t="str">
        <f>'DP operator'!J12</f>
        <v>Yes</v>
      </c>
      <c r="H27" s="184" t="s">
        <v>599</v>
      </c>
      <c r="I27" s="183" t="str">
        <f>'DP SV'!J9</f>
        <v>Yes</v>
      </c>
      <c r="J27" s="184" t="s">
        <v>600</v>
      </c>
      <c r="K27" s="183" t="str">
        <f>'DP operator'!J13</f>
        <v>Yes</v>
      </c>
      <c r="L27" s="184" t="s">
        <v>601</v>
      </c>
      <c r="M27" s="183" t="str">
        <f>'DP operator'!J14</f>
        <v>Yes</v>
      </c>
      <c r="N27" s="184" t="s">
        <v>602</v>
      </c>
      <c r="O27" s="183" t="str">
        <f>'DP manager'!J45</f>
        <v>No</v>
      </c>
      <c r="P27" s="567"/>
      <c r="Q27" s="73" t="s">
        <v>534</v>
      </c>
      <c r="R27" s="24" t="str">
        <f t="shared" si="0"/>
        <v>Yes</v>
      </c>
      <c r="S27" s="24" t="str">
        <f t="shared" si="1"/>
        <v>Yes</v>
      </c>
      <c r="T27" s="24" t="str">
        <f t="shared" si="2"/>
        <v>Yes</v>
      </c>
      <c r="U27" s="24" t="str">
        <f t="shared" si="3"/>
        <v>Yes</v>
      </c>
      <c r="V27" s="24" t="str">
        <f t="shared" si="4"/>
        <v>No</v>
      </c>
      <c r="W27" s="75">
        <f t="shared" si="6"/>
        <v>4</v>
      </c>
      <c r="X27" s="75" t="str">
        <f t="shared" si="5"/>
        <v>B+</v>
      </c>
      <c r="Y27" s="81" t="s">
        <v>542</v>
      </c>
    </row>
    <row r="28" spans="3:25" ht="148.5">
      <c r="C28" s="548"/>
      <c r="D28" s="181" t="s">
        <v>527</v>
      </c>
      <c r="E28" s="194" t="s">
        <v>603</v>
      </c>
      <c r="F28" s="193" t="s">
        <v>604</v>
      </c>
      <c r="G28" s="194" t="str">
        <f>'DP SV'!J10</f>
        <v>Yes</v>
      </c>
      <c r="H28" s="201" t="s">
        <v>605</v>
      </c>
      <c r="I28" s="194" t="str">
        <f>'DP SV'!J11</f>
        <v>Yes</v>
      </c>
      <c r="J28" s="201" t="s">
        <v>606</v>
      </c>
      <c r="K28" s="194" t="str">
        <f>'DP SV'!J12</f>
        <v>Yes</v>
      </c>
      <c r="L28" s="201" t="s">
        <v>607</v>
      </c>
      <c r="M28" s="194" t="str">
        <f>'DP SV'!J13</f>
        <v>Yes</v>
      </c>
      <c r="N28" s="184" t="s">
        <v>608</v>
      </c>
      <c r="O28" s="194" t="str">
        <f>'DP SV'!J14</f>
        <v>Yes</v>
      </c>
      <c r="P28" s="567"/>
      <c r="Q28" s="73" t="s">
        <v>534</v>
      </c>
      <c r="R28" s="24" t="str">
        <f t="shared" si="0"/>
        <v>Yes</v>
      </c>
      <c r="S28" s="24" t="str">
        <f t="shared" si="1"/>
        <v>Yes</v>
      </c>
      <c r="T28" s="24" t="str">
        <f t="shared" si="2"/>
        <v>Yes</v>
      </c>
      <c r="U28" s="24" t="str">
        <f t="shared" si="3"/>
        <v>Yes</v>
      </c>
      <c r="V28" s="24" t="str">
        <f t="shared" si="4"/>
        <v>Yes</v>
      </c>
      <c r="W28" s="75">
        <f t="shared" si="6"/>
        <v>5</v>
      </c>
      <c r="X28" s="75" t="str">
        <f t="shared" si="5"/>
        <v>A</v>
      </c>
      <c r="Y28" s="81" t="s">
        <v>609</v>
      </c>
    </row>
    <row r="29" spans="3:25" ht="198">
      <c r="C29" s="548"/>
      <c r="D29" s="192" t="s">
        <v>527</v>
      </c>
      <c r="E29" s="186" t="s">
        <v>610</v>
      </c>
      <c r="F29" s="185" t="s">
        <v>611</v>
      </c>
      <c r="G29" s="186" t="str">
        <f>'DP SV'!J15</f>
        <v>Yes</v>
      </c>
      <c r="H29" s="185" t="s">
        <v>612</v>
      </c>
      <c r="I29" s="186" t="str">
        <f>'DP operator'!J15</f>
        <v>Yes</v>
      </c>
      <c r="J29" s="188" t="s">
        <v>613</v>
      </c>
      <c r="K29" s="186" t="str">
        <f>'DP operator'!J16</f>
        <v>Yes</v>
      </c>
      <c r="L29" s="188" t="s">
        <v>614</v>
      </c>
      <c r="M29" s="186" t="str">
        <f>'DP operator'!J17</f>
        <v>Yes</v>
      </c>
      <c r="N29" s="188" t="s">
        <v>615</v>
      </c>
      <c r="O29" s="186" t="str">
        <f>'DP operator'!J18</f>
        <v>No</v>
      </c>
      <c r="P29" s="567"/>
      <c r="Q29" s="73" t="s">
        <v>534</v>
      </c>
      <c r="R29" s="24" t="str">
        <f t="shared" si="0"/>
        <v>Yes</v>
      </c>
      <c r="S29" s="24" t="str">
        <f t="shared" si="1"/>
        <v>Yes</v>
      </c>
      <c r="T29" s="24" t="str">
        <f t="shared" si="2"/>
        <v>Yes</v>
      </c>
      <c r="U29" s="24" t="str">
        <f t="shared" si="3"/>
        <v>Yes</v>
      </c>
      <c r="V29" s="24" t="str">
        <f t="shared" si="4"/>
        <v>No</v>
      </c>
      <c r="W29" s="75">
        <f t="shared" si="6"/>
        <v>4</v>
      </c>
      <c r="X29" s="75" t="str">
        <f t="shared" si="5"/>
        <v>B+</v>
      </c>
      <c r="Y29" s="81" t="s">
        <v>542</v>
      </c>
    </row>
    <row r="30" spans="3:25" ht="132">
      <c r="C30" s="548"/>
      <c r="D30" s="181" t="s">
        <v>527</v>
      </c>
      <c r="E30" s="197" t="s">
        <v>616</v>
      </c>
      <c r="F30" s="188" t="s">
        <v>617</v>
      </c>
      <c r="G30" s="186" t="str">
        <f>'DP SV'!J16</f>
        <v>Yes</v>
      </c>
      <c r="H30" s="188" t="s">
        <v>618</v>
      </c>
      <c r="I30" s="186" t="str">
        <f>'DP operator'!J19</f>
        <v>No</v>
      </c>
      <c r="J30" s="188" t="s">
        <v>619</v>
      </c>
      <c r="K30" s="186" t="str">
        <f>'DP operator'!J20</f>
        <v>No</v>
      </c>
      <c r="L30" s="188" t="s">
        <v>620</v>
      </c>
      <c r="M30" s="186" t="str">
        <f>'DP SV'!J17</f>
        <v>Yes</v>
      </c>
      <c r="N30" s="188" t="s">
        <v>621</v>
      </c>
      <c r="O30" s="186" t="str">
        <f>'DP operator'!J21</f>
        <v>Yes</v>
      </c>
      <c r="P30" s="567"/>
      <c r="Q30" s="73" t="s">
        <v>534</v>
      </c>
      <c r="R30" s="24" t="str">
        <f t="shared" si="0"/>
        <v>Yes</v>
      </c>
      <c r="S30" s="24" t="str">
        <f t="shared" si="1"/>
        <v>No</v>
      </c>
      <c r="T30" s="24" t="str">
        <f t="shared" si="2"/>
        <v>No</v>
      </c>
      <c r="U30" s="24" t="str">
        <f t="shared" si="3"/>
        <v>Yes</v>
      </c>
      <c r="V30" s="24" t="str">
        <f t="shared" si="4"/>
        <v>Yes</v>
      </c>
      <c r="W30" s="75">
        <f t="shared" si="6"/>
        <v>1</v>
      </c>
      <c r="X30" s="75" t="str">
        <f t="shared" si="5"/>
        <v>C</v>
      </c>
      <c r="Y30" s="81" t="s">
        <v>622</v>
      </c>
    </row>
    <row r="31" spans="3:25" ht="120.6" customHeight="1">
      <c r="C31" s="548"/>
      <c r="D31" s="181" t="s">
        <v>527</v>
      </c>
      <c r="E31" s="197" t="s">
        <v>623</v>
      </c>
      <c r="F31" s="189" t="s">
        <v>624</v>
      </c>
      <c r="G31" s="186" t="str">
        <f>'DP manager'!J46</f>
        <v>Yes</v>
      </c>
      <c r="H31" s="189" t="s">
        <v>625</v>
      </c>
      <c r="I31" s="186" t="str">
        <f>'DP manager'!J47</f>
        <v>Yes</v>
      </c>
      <c r="J31" s="188" t="s">
        <v>626</v>
      </c>
      <c r="K31" s="186" t="str">
        <f>'DP manager'!J48</f>
        <v>Yes</v>
      </c>
      <c r="L31" s="188" t="s">
        <v>627</v>
      </c>
      <c r="M31" s="186" t="str">
        <f>'DP manager'!J49</f>
        <v>Yes</v>
      </c>
      <c r="N31" s="188" t="s">
        <v>628</v>
      </c>
      <c r="O31" s="186" t="str">
        <f>'DP manager'!J50</f>
        <v>Yes</v>
      </c>
      <c r="P31" s="567"/>
      <c r="Q31" s="73" t="s">
        <v>534</v>
      </c>
      <c r="R31" s="24" t="str">
        <f t="shared" si="0"/>
        <v>Yes</v>
      </c>
      <c r="S31" s="24" t="str">
        <f t="shared" si="1"/>
        <v>Yes</v>
      </c>
      <c r="T31" s="24" t="str">
        <f t="shared" si="2"/>
        <v>Yes</v>
      </c>
      <c r="U31" s="24" t="str">
        <f t="shared" si="3"/>
        <v>Yes</v>
      </c>
      <c r="V31" s="24" t="str">
        <f t="shared" si="4"/>
        <v>Yes</v>
      </c>
      <c r="W31" s="75">
        <f t="shared" si="6"/>
        <v>5</v>
      </c>
      <c r="X31" s="75" t="str">
        <f t="shared" si="5"/>
        <v>A</v>
      </c>
      <c r="Y31" s="81" t="s">
        <v>622</v>
      </c>
    </row>
    <row r="32" spans="3:25" ht="165.95" customHeight="1">
      <c r="C32" s="548"/>
      <c r="D32" s="181" t="s">
        <v>527</v>
      </c>
      <c r="E32" s="197" t="s">
        <v>629</v>
      </c>
      <c r="F32" s="286" t="s">
        <v>630</v>
      </c>
      <c r="G32" s="186" t="str">
        <f>'DP manager'!J51</f>
        <v>Yes</v>
      </c>
      <c r="H32" s="188" t="s">
        <v>631</v>
      </c>
      <c r="I32" s="186" t="str">
        <f>'DP manager'!J52</f>
        <v>Yes</v>
      </c>
      <c r="J32" s="188" t="s">
        <v>632</v>
      </c>
      <c r="K32" s="186" t="str">
        <f>'DP manager'!J53</f>
        <v>Yes</v>
      </c>
      <c r="L32" s="188" t="s">
        <v>633</v>
      </c>
      <c r="M32" s="186" t="str">
        <f>'DP SV'!J18</f>
        <v>Yes</v>
      </c>
      <c r="N32" s="188" t="s">
        <v>634</v>
      </c>
      <c r="O32" s="186" t="str">
        <f>'DP SV'!J19</f>
        <v>Yes</v>
      </c>
      <c r="P32" s="567"/>
      <c r="Q32" s="73" t="s">
        <v>534</v>
      </c>
      <c r="R32" s="24" t="str">
        <f t="shared" si="0"/>
        <v>Yes</v>
      </c>
      <c r="S32" s="24" t="str">
        <f t="shared" si="1"/>
        <v>Yes</v>
      </c>
      <c r="T32" s="24" t="str">
        <f t="shared" si="2"/>
        <v>Yes</v>
      </c>
      <c r="U32" s="24" t="str">
        <f t="shared" si="3"/>
        <v>Yes</v>
      </c>
      <c r="V32" s="24" t="str">
        <f t="shared" si="4"/>
        <v>Yes</v>
      </c>
      <c r="W32" s="75">
        <f t="shared" si="6"/>
        <v>5</v>
      </c>
      <c r="X32" s="75" t="str">
        <f t="shared" si="5"/>
        <v>A</v>
      </c>
      <c r="Y32" s="81" t="s">
        <v>609</v>
      </c>
    </row>
    <row r="33" spans="3:25" ht="165">
      <c r="C33" s="548"/>
      <c r="D33" s="192" t="s">
        <v>527</v>
      </c>
      <c r="E33" s="197" t="s">
        <v>635</v>
      </c>
      <c r="F33" s="188" t="s">
        <v>636</v>
      </c>
      <c r="G33" s="186" t="str">
        <f>'DP SV'!J20</f>
        <v>Yes</v>
      </c>
      <c r="H33" s="188" t="s">
        <v>637</v>
      </c>
      <c r="I33" s="186" t="str">
        <f>'DP SV'!J21</f>
        <v>Yes</v>
      </c>
      <c r="J33" s="188" t="s">
        <v>638</v>
      </c>
      <c r="K33" s="186" t="str">
        <f>'DP SV'!J22</f>
        <v>Yes</v>
      </c>
      <c r="L33" s="188" t="s">
        <v>639</v>
      </c>
      <c r="M33" s="186" t="str">
        <f>'DP SV'!J23</f>
        <v>Yes</v>
      </c>
      <c r="N33" s="188" t="s">
        <v>640</v>
      </c>
      <c r="O33" s="186" t="str">
        <f>'DP SV'!J24</f>
        <v>Yes</v>
      </c>
      <c r="P33" s="567"/>
      <c r="Q33" s="73" t="s">
        <v>534</v>
      </c>
      <c r="R33" s="24" t="str">
        <f t="shared" si="0"/>
        <v>Yes</v>
      </c>
      <c r="S33" s="24" t="str">
        <f t="shared" si="1"/>
        <v>Yes</v>
      </c>
      <c r="T33" s="24" t="str">
        <f t="shared" si="2"/>
        <v>Yes</v>
      </c>
      <c r="U33" s="24" t="str">
        <f t="shared" si="3"/>
        <v>Yes</v>
      </c>
      <c r="V33" s="24" t="str">
        <f t="shared" si="4"/>
        <v>Yes</v>
      </c>
      <c r="W33" s="75">
        <f t="shared" si="6"/>
        <v>5</v>
      </c>
      <c r="X33" s="75" t="str">
        <f t="shared" si="5"/>
        <v>A</v>
      </c>
      <c r="Y33" s="81" t="s">
        <v>622</v>
      </c>
    </row>
    <row r="34" spans="3:25" ht="247.5">
      <c r="C34" s="548"/>
      <c r="D34" s="181" t="s">
        <v>527</v>
      </c>
      <c r="E34" s="197" t="s">
        <v>641</v>
      </c>
      <c r="F34" s="188" t="s">
        <v>642</v>
      </c>
      <c r="G34" s="186" t="str">
        <f>'DP manager'!J54</f>
        <v>Yes</v>
      </c>
      <c r="H34" s="188" t="s">
        <v>643</v>
      </c>
      <c r="I34" s="186" t="str">
        <f>'DP manager'!J55</f>
        <v>Yes</v>
      </c>
      <c r="J34" s="188" t="s">
        <v>644</v>
      </c>
      <c r="K34" s="186" t="str">
        <f>'DP manager'!J56</f>
        <v>Yes</v>
      </c>
      <c r="L34" s="188" t="s">
        <v>645</v>
      </c>
      <c r="M34" s="186" t="str">
        <f>'DP manager'!J57</f>
        <v>Yes</v>
      </c>
      <c r="N34" s="188" t="s">
        <v>646</v>
      </c>
      <c r="O34" s="186" t="str">
        <f>'DP manager'!J58</f>
        <v>Yes</v>
      </c>
      <c r="P34" s="567"/>
      <c r="Q34" s="73" t="s">
        <v>534</v>
      </c>
      <c r="R34" s="24" t="str">
        <f t="shared" si="0"/>
        <v>Yes</v>
      </c>
      <c r="S34" s="24" t="str">
        <f t="shared" si="1"/>
        <v>Yes</v>
      </c>
      <c r="T34" s="24" t="str">
        <f t="shared" si="2"/>
        <v>Yes</v>
      </c>
      <c r="U34" s="24" t="str">
        <f t="shared" si="3"/>
        <v>Yes</v>
      </c>
      <c r="V34" s="24" t="str">
        <f t="shared" si="4"/>
        <v>Yes</v>
      </c>
      <c r="W34" s="75">
        <f t="shared" ref="W34" si="7">IF(R34="No",1,IF(S34="No",1,IF(T34="No",2,IF(U34="No",3,IF(V34="No",4,5)))))</f>
        <v>5</v>
      </c>
      <c r="X34" s="75" t="str">
        <f t="shared" ref="X34" si="8">IF(W34&lt;2,"C",IF(W34&lt;3,"B-",IF(W34&lt;4,"B",IF(W34&lt;5,"B+",IF(W34=5,"A","")))))</f>
        <v>A</v>
      </c>
      <c r="Y34" s="81" t="s">
        <v>622</v>
      </c>
    </row>
    <row r="35" spans="3:25" ht="214.5">
      <c r="C35" s="548"/>
      <c r="D35" s="192" t="s">
        <v>527</v>
      </c>
      <c r="E35" s="197" t="s">
        <v>647</v>
      </c>
      <c r="F35" s="188" t="s">
        <v>648</v>
      </c>
      <c r="G35" s="186" t="str">
        <f>'DP manager'!J59</f>
        <v>Yes</v>
      </c>
      <c r="H35" s="188" t="s">
        <v>649</v>
      </c>
      <c r="I35" s="186" t="str">
        <f>'DP manager'!J60</f>
        <v>Yes</v>
      </c>
      <c r="J35" s="188" t="s">
        <v>650</v>
      </c>
      <c r="K35" s="186" t="str">
        <f>'DP manager'!J61</f>
        <v>Yes</v>
      </c>
      <c r="L35" s="188" t="s">
        <v>651</v>
      </c>
      <c r="M35" s="186" t="str">
        <f>'DP manager'!J62</f>
        <v>Yes</v>
      </c>
      <c r="N35" s="188" t="s">
        <v>652</v>
      </c>
      <c r="O35" s="186" t="str">
        <f>'DP manager'!J63</f>
        <v>Yes</v>
      </c>
      <c r="P35" s="567"/>
      <c r="Q35" s="73" t="s">
        <v>534</v>
      </c>
      <c r="R35" s="24" t="str">
        <f t="shared" si="0"/>
        <v>Yes</v>
      </c>
      <c r="S35" s="24" t="str">
        <f t="shared" si="1"/>
        <v>Yes</v>
      </c>
      <c r="T35" s="24" t="str">
        <f t="shared" si="2"/>
        <v>Yes</v>
      </c>
      <c r="U35" s="24" t="str">
        <f t="shared" si="3"/>
        <v>Yes</v>
      </c>
      <c r="V35" s="24" t="str">
        <f t="shared" si="4"/>
        <v>Yes</v>
      </c>
      <c r="W35" s="75">
        <f t="shared" si="6"/>
        <v>5</v>
      </c>
      <c r="X35" s="75" t="str">
        <f t="shared" si="5"/>
        <v>A</v>
      </c>
      <c r="Y35" s="81" t="s">
        <v>622</v>
      </c>
    </row>
    <row r="36" spans="3:25" ht="165">
      <c r="C36" s="548"/>
      <c r="D36" s="192" t="s">
        <v>527</v>
      </c>
      <c r="E36" s="197" t="s">
        <v>653</v>
      </c>
      <c r="F36" s="188" t="s">
        <v>654</v>
      </c>
      <c r="G36" s="186" t="str">
        <f>'DP manager'!J64</f>
        <v>Yes</v>
      </c>
      <c r="H36" s="188" t="s">
        <v>655</v>
      </c>
      <c r="I36" s="186" t="str">
        <f>'DP manager'!J65</f>
        <v>Yes</v>
      </c>
      <c r="J36" s="188" t="s">
        <v>656</v>
      </c>
      <c r="K36" s="186" t="str">
        <f>'DP manager'!J66</f>
        <v>Yes</v>
      </c>
      <c r="L36" s="188" t="s">
        <v>657</v>
      </c>
      <c r="M36" s="186" t="str">
        <f>'DP manager'!J67</f>
        <v>Yes</v>
      </c>
      <c r="N36" s="188" t="s">
        <v>658</v>
      </c>
      <c r="O36" s="186" t="str">
        <f>'DP manager'!J68</f>
        <v>Yes</v>
      </c>
      <c r="P36" s="567"/>
      <c r="Q36" s="73" t="s">
        <v>534</v>
      </c>
      <c r="R36" s="24" t="str">
        <f t="shared" si="0"/>
        <v>Yes</v>
      </c>
      <c r="S36" s="24" t="str">
        <f t="shared" si="1"/>
        <v>Yes</v>
      </c>
      <c r="T36" s="24" t="str">
        <f t="shared" si="2"/>
        <v>Yes</v>
      </c>
      <c r="U36" s="24" t="str">
        <f t="shared" si="3"/>
        <v>Yes</v>
      </c>
      <c r="V36" s="24" t="str">
        <f t="shared" si="4"/>
        <v>Yes</v>
      </c>
      <c r="W36" s="75">
        <f t="shared" si="6"/>
        <v>5</v>
      </c>
      <c r="X36" s="75" t="str">
        <f t="shared" si="5"/>
        <v>A</v>
      </c>
      <c r="Y36" s="81" t="s">
        <v>622</v>
      </c>
    </row>
    <row r="37" spans="3:25" ht="99" customHeight="1">
      <c r="C37" s="548"/>
      <c r="D37" s="73" t="s">
        <v>534</v>
      </c>
      <c r="E37" s="176" t="s">
        <v>659</v>
      </c>
      <c r="F37" s="43" t="s">
        <v>660</v>
      </c>
      <c r="G37" s="12"/>
      <c r="H37" s="43" t="s">
        <v>661</v>
      </c>
      <c r="I37" s="12"/>
      <c r="J37" s="43" t="s">
        <v>662</v>
      </c>
      <c r="K37" s="12"/>
      <c r="L37" s="43" t="s">
        <v>663</v>
      </c>
      <c r="M37" s="12"/>
      <c r="N37" s="43" t="s">
        <v>664</v>
      </c>
      <c r="O37" s="12"/>
      <c r="P37" s="567"/>
      <c r="Q37" s="73" t="s">
        <v>534</v>
      </c>
      <c r="R37" s="24"/>
      <c r="S37" s="24"/>
      <c r="T37" s="24"/>
      <c r="U37" s="24"/>
      <c r="V37" s="24"/>
      <c r="W37" s="75"/>
      <c r="X37" s="75"/>
      <c r="Y37" s="81" t="s">
        <v>622</v>
      </c>
    </row>
    <row r="38" spans="3:25" ht="82.5" customHeight="1">
      <c r="C38" s="549"/>
      <c r="D38" s="73" t="s">
        <v>534</v>
      </c>
      <c r="E38" s="176" t="s">
        <v>665</v>
      </c>
      <c r="F38" s="50" t="s">
        <v>666</v>
      </c>
      <c r="G38" s="12"/>
      <c r="H38" s="43" t="s">
        <v>667</v>
      </c>
      <c r="I38" s="12"/>
      <c r="J38" s="43" t="s">
        <v>668</v>
      </c>
      <c r="K38" s="12"/>
      <c r="L38" s="43" t="s">
        <v>669</v>
      </c>
      <c r="M38" s="12"/>
      <c r="N38" s="43" t="s">
        <v>670</v>
      </c>
      <c r="O38" s="12"/>
      <c r="P38" s="567"/>
      <c r="Q38" s="73" t="s">
        <v>534</v>
      </c>
      <c r="R38" s="24"/>
      <c r="S38" s="24"/>
      <c r="T38" s="24"/>
      <c r="U38" s="24"/>
      <c r="V38" s="24"/>
      <c r="W38" s="75"/>
      <c r="X38" s="75"/>
      <c r="Y38" s="81" t="s">
        <v>622</v>
      </c>
    </row>
    <row r="39" spans="3:25" ht="128.1" customHeight="1">
      <c r="C39" s="547" t="s">
        <v>33</v>
      </c>
      <c r="D39" s="181" t="s">
        <v>527</v>
      </c>
      <c r="E39" s="198" t="s">
        <v>671</v>
      </c>
      <c r="F39" s="200" t="s">
        <v>672</v>
      </c>
      <c r="G39" s="186" t="str">
        <f>'DP manager'!J69</f>
        <v>Yes</v>
      </c>
      <c r="H39" s="200" t="s">
        <v>673</v>
      </c>
      <c r="I39" s="186" t="str">
        <f>'DP manager'!J70</f>
        <v>Yes</v>
      </c>
      <c r="J39" s="200" t="s">
        <v>674</v>
      </c>
      <c r="K39" s="186" t="str">
        <f>'DP manager'!J71</f>
        <v>Yes</v>
      </c>
      <c r="L39" s="200" t="s">
        <v>675</v>
      </c>
      <c r="M39" s="186" t="str">
        <f>'DP manager'!J72</f>
        <v>Yes</v>
      </c>
      <c r="N39" s="200" t="s">
        <v>676</v>
      </c>
      <c r="O39" s="186" t="str">
        <f>'DP manager'!J73</f>
        <v>Yes</v>
      </c>
      <c r="P39" s="62"/>
      <c r="Q39" s="73" t="s">
        <v>534</v>
      </c>
      <c r="R39" s="24" t="str">
        <f t="shared" si="0"/>
        <v>Yes</v>
      </c>
      <c r="S39" s="24" t="str">
        <f t="shared" si="1"/>
        <v>Yes</v>
      </c>
      <c r="T39" s="24" t="str">
        <f t="shared" si="2"/>
        <v>Yes</v>
      </c>
      <c r="U39" s="24" t="str">
        <f t="shared" si="3"/>
        <v>Yes</v>
      </c>
      <c r="V39" s="24" t="str">
        <f t="shared" si="4"/>
        <v>Yes</v>
      </c>
      <c r="W39" s="75">
        <f t="shared" ref="W39" si="9">IF(R39="No",1,IF(S39="No",1,IF(T39="No",2,IF(U39="No",3,IF(V39="No",4,5)))))</f>
        <v>5</v>
      </c>
      <c r="X39" s="75" t="str">
        <f t="shared" ref="X39" si="10">IF(W39&lt;2,"C",IF(W39&lt;3,"B-",IF(W39&lt;4,"B",IF(W39&lt;5,"B+",IF(W39=5,"A","")))))</f>
        <v>A</v>
      </c>
      <c r="Y39" s="81" t="s">
        <v>535</v>
      </c>
    </row>
    <row r="40" spans="3:25" ht="128.1" customHeight="1">
      <c r="C40" s="548"/>
      <c r="D40" s="181" t="s">
        <v>677</v>
      </c>
      <c r="E40" s="198" t="s">
        <v>678</v>
      </c>
      <c r="F40" s="200"/>
      <c r="G40" s="186"/>
      <c r="H40" s="200"/>
      <c r="I40" s="186"/>
      <c r="J40" s="200"/>
      <c r="K40" s="186"/>
      <c r="L40" s="200"/>
      <c r="M40" s="186"/>
      <c r="N40" s="200"/>
      <c r="O40" s="186"/>
      <c r="P40" s="62"/>
      <c r="Q40" s="73" t="s">
        <v>534</v>
      </c>
      <c r="R40" s="24"/>
      <c r="S40" s="24"/>
      <c r="T40" s="24"/>
      <c r="U40" s="24"/>
      <c r="V40" s="24"/>
      <c r="W40" s="75"/>
      <c r="X40" s="75"/>
      <c r="Y40" s="81"/>
    </row>
    <row r="41" spans="3:25" ht="115.5">
      <c r="C41" s="549"/>
      <c r="D41" s="192" t="s">
        <v>527</v>
      </c>
      <c r="E41" s="199" t="s">
        <v>137</v>
      </c>
      <c r="F41" s="185" t="s">
        <v>679</v>
      </c>
      <c r="G41" s="186" t="str">
        <f>'Manager(DP)'!J11</f>
        <v>Yes</v>
      </c>
      <c r="H41" s="185" t="s">
        <v>680</v>
      </c>
      <c r="I41" s="186" t="str">
        <f>'Manager(DP)'!J12</f>
        <v>No</v>
      </c>
      <c r="J41" s="185" t="s">
        <v>681</v>
      </c>
      <c r="K41" s="186" t="str">
        <f>'Manager(DP)'!J13</f>
        <v>No</v>
      </c>
      <c r="L41" s="185" t="s">
        <v>682</v>
      </c>
      <c r="M41" s="186" t="str">
        <f>'Manager(DP)'!J14</f>
        <v>No</v>
      </c>
      <c r="N41" s="185" t="s">
        <v>683</v>
      </c>
      <c r="O41" s="186" t="str">
        <f>'Manager(DP)'!J15</f>
        <v>No</v>
      </c>
      <c r="P41" s="175"/>
      <c r="Q41" s="73" t="s">
        <v>534</v>
      </c>
      <c r="R41" s="24" t="str">
        <f t="shared" si="0"/>
        <v>Yes</v>
      </c>
      <c r="S41" s="24" t="str">
        <f t="shared" si="1"/>
        <v>No</v>
      </c>
      <c r="T41" s="24" t="str">
        <f t="shared" si="2"/>
        <v>No</v>
      </c>
      <c r="U41" s="24" t="str">
        <f t="shared" si="3"/>
        <v>No</v>
      </c>
      <c r="V41" s="24" t="str">
        <f t="shared" si="4"/>
        <v>No</v>
      </c>
      <c r="W41" s="75">
        <f t="shared" si="6"/>
        <v>1</v>
      </c>
      <c r="X41" s="75" t="str">
        <f t="shared" si="5"/>
        <v>C</v>
      </c>
      <c r="Y41" s="81" t="s">
        <v>535</v>
      </c>
    </row>
    <row r="42" spans="3:25" ht="16.5">
      <c r="C42" s="2"/>
      <c r="D42" s="2"/>
      <c r="E42" s="6"/>
      <c r="F42" s="3"/>
      <c r="G42" s="29"/>
      <c r="H42" s="3"/>
      <c r="I42" s="29"/>
      <c r="J42" s="3"/>
      <c r="K42" s="29"/>
      <c r="L42" s="3"/>
      <c r="M42" s="29"/>
      <c r="N42" s="3"/>
      <c r="O42" s="29"/>
    </row>
    <row r="43" spans="3:25" ht="16.5">
      <c r="C43" s="2"/>
      <c r="D43" s="2"/>
      <c r="E43" s="6"/>
      <c r="F43" s="3"/>
      <c r="G43" s="29"/>
      <c r="H43" s="3"/>
      <c r="I43" s="29"/>
      <c r="J43" s="3"/>
      <c r="K43" s="29"/>
      <c r="L43" s="3"/>
      <c r="M43" s="29"/>
      <c r="N43" s="3"/>
      <c r="O43" s="29"/>
    </row>
    <row r="44" spans="3:25" ht="16.5">
      <c r="E44" s="6"/>
      <c r="F44" s="3"/>
      <c r="G44" s="29"/>
      <c r="H44" s="3"/>
      <c r="I44" s="29"/>
      <c r="J44" s="3"/>
      <c r="K44" s="29"/>
      <c r="L44" s="3"/>
      <c r="M44" s="29"/>
      <c r="N44" s="3"/>
      <c r="O44" s="29"/>
    </row>
    <row r="45" spans="3:25" ht="49.5" hidden="1" customHeight="1">
      <c r="E45" s="17" t="s">
        <v>441</v>
      </c>
      <c r="F45" s="18" t="s">
        <v>442</v>
      </c>
      <c r="G45" s="30"/>
      <c r="H45" s="18" t="s">
        <v>443</v>
      </c>
      <c r="I45" s="30"/>
      <c r="J45" s="18" t="s">
        <v>444</v>
      </c>
      <c r="K45" s="30"/>
      <c r="L45" s="18" t="s">
        <v>445</v>
      </c>
      <c r="M45" s="30"/>
      <c r="N45" s="18" t="s">
        <v>446</v>
      </c>
      <c r="O45" s="30"/>
    </row>
    <row r="46" spans="3:25" ht="33" hidden="1" customHeight="1">
      <c r="E46" s="17"/>
      <c r="F46" s="18"/>
      <c r="G46" s="30"/>
      <c r="H46" s="18" t="s">
        <v>447</v>
      </c>
      <c r="I46" s="30"/>
      <c r="J46" s="18" t="s">
        <v>448</v>
      </c>
      <c r="K46" s="30"/>
      <c r="L46" s="18"/>
      <c r="M46" s="30"/>
      <c r="N46" s="18"/>
      <c r="O46" s="30"/>
    </row>
    <row r="47" spans="3:25" ht="82.5" hidden="1" customHeight="1">
      <c r="E47" s="17" t="s">
        <v>449</v>
      </c>
      <c r="F47" s="18" t="s">
        <v>450</v>
      </c>
      <c r="G47" s="30"/>
      <c r="H47" s="18" t="s">
        <v>451</v>
      </c>
      <c r="I47" s="30"/>
      <c r="J47" s="18" t="s">
        <v>452</v>
      </c>
      <c r="K47" s="30"/>
      <c r="L47" s="18" t="s">
        <v>453</v>
      </c>
      <c r="M47" s="30"/>
      <c r="N47" s="18" t="s">
        <v>454</v>
      </c>
      <c r="O47" s="30"/>
    </row>
    <row r="48" spans="3:25" ht="33" hidden="1" customHeight="1">
      <c r="E48" s="17"/>
      <c r="F48" s="18" t="s">
        <v>455</v>
      </c>
      <c r="G48" s="30"/>
      <c r="H48" s="18"/>
      <c r="I48" s="30"/>
      <c r="J48" s="18"/>
      <c r="K48" s="30"/>
      <c r="L48" s="18" t="s">
        <v>456</v>
      </c>
      <c r="M48" s="30"/>
      <c r="N48" s="18"/>
      <c r="O48" s="30"/>
    </row>
    <row r="49" spans="5:15" ht="49.5" hidden="1" customHeight="1">
      <c r="E49" s="17" t="s">
        <v>457</v>
      </c>
      <c r="F49" s="19"/>
      <c r="G49" s="17"/>
      <c r="H49" s="18" t="s">
        <v>458</v>
      </c>
      <c r="I49" s="30"/>
      <c r="J49" s="18"/>
      <c r="K49" s="30"/>
      <c r="L49" s="18"/>
      <c r="M49" s="30"/>
      <c r="N49" s="18"/>
      <c r="O49" s="30"/>
    </row>
    <row r="50" spans="5:15" ht="49.5" hidden="1" customHeight="1">
      <c r="E50" s="17"/>
      <c r="F50" s="18"/>
      <c r="G50" s="30"/>
      <c r="H50" s="18"/>
      <c r="I50" s="30"/>
      <c r="J50" s="18" t="s">
        <v>459</v>
      </c>
      <c r="K50" s="30"/>
      <c r="L50" s="19"/>
      <c r="M50" s="17"/>
      <c r="N50" s="18" t="s">
        <v>460</v>
      </c>
      <c r="O50" s="30"/>
    </row>
    <row r="51" spans="5:15" ht="49.5" hidden="1" customHeight="1">
      <c r="E51" s="17" t="s">
        <v>461</v>
      </c>
      <c r="F51" s="18" t="s">
        <v>462</v>
      </c>
      <c r="G51" s="30"/>
      <c r="H51" s="18" t="s">
        <v>463</v>
      </c>
      <c r="I51" s="30"/>
      <c r="J51" s="18" t="s">
        <v>464</v>
      </c>
      <c r="K51" s="30"/>
      <c r="L51" s="18" t="s">
        <v>465</v>
      </c>
      <c r="M51" s="30"/>
      <c r="N51" s="18" t="s">
        <v>466</v>
      </c>
      <c r="O51" s="30"/>
    </row>
    <row r="52" spans="5:15" ht="33" hidden="1" customHeight="1">
      <c r="E52" s="17"/>
      <c r="F52" s="18" t="s">
        <v>467</v>
      </c>
      <c r="G52" s="30"/>
      <c r="H52" s="18" t="s">
        <v>468</v>
      </c>
      <c r="I52" s="30"/>
      <c r="J52" s="18" t="s">
        <v>469</v>
      </c>
      <c r="K52" s="30"/>
      <c r="L52" s="18"/>
      <c r="M52" s="30"/>
      <c r="N52" s="18"/>
      <c r="O52" s="30"/>
    </row>
    <row r="53" spans="5:15" ht="49.5" hidden="1" customHeight="1">
      <c r="E53" s="20" t="s">
        <v>470</v>
      </c>
      <c r="F53" s="21" t="s">
        <v>471</v>
      </c>
      <c r="G53" s="31"/>
      <c r="H53" s="21" t="s">
        <v>472</v>
      </c>
      <c r="I53" s="31"/>
      <c r="J53" s="21" t="s">
        <v>473</v>
      </c>
      <c r="K53" s="31"/>
      <c r="L53" s="21" t="s">
        <v>474</v>
      </c>
      <c r="M53" s="31"/>
      <c r="N53" s="21" t="s">
        <v>475</v>
      </c>
      <c r="O53" s="31"/>
    </row>
    <row r="54" spans="5:15" ht="66" hidden="1" customHeight="1">
      <c r="E54" s="20"/>
      <c r="F54" s="21"/>
      <c r="G54" s="31"/>
      <c r="H54" s="21"/>
      <c r="I54" s="31"/>
      <c r="J54" s="21" t="s">
        <v>476</v>
      </c>
      <c r="K54" s="31"/>
      <c r="L54" s="21"/>
      <c r="M54" s="31"/>
      <c r="N54" s="21"/>
      <c r="O54" s="31"/>
    </row>
    <row r="55" spans="5:15" ht="16.5">
      <c r="E55" s="6"/>
      <c r="F55" s="3"/>
      <c r="G55" s="29"/>
      <c r="H55" s="3"/>
      <c r="I55" s="29"/>
      <c r="J55" s="3"/>
      <c r="K55" s="29"/>
      <c r="L55" s="3"/>
      <c r="M55" s="29"/>
      <c r="N55" s="3"/>
      <c r="O55" s="29"/>
    </row>
  </sheetData>
  <mergeCells count="26">
    <mergeCell ref="C12:C14"/>
    <mergeCell ref="D12:D14"/>
    <mergeCell ref="E12:E14"/>
    <mergeCell ref="H12:K12"/>
    <mergeCell ref="L12:M12"/>
    <mergeCell ref="N12:O12"/>
    <mergeCell ref="G13:G14"/>
    <mergeCell ref="I13:I14"/>
    <mergeCell ref="K13:K14"/>
    <mergeCell ref="M13:M14"/>
    <mergeCell ref="O13:O14"/>
    <mergeCell ref="F12:G12"/>
    <mergeCell ref="X12:X14"/>
    <mergeCell ref="Y12:Y14"/>
    <mergeCell ref="W12:W14"/>
    <mergeCell ref="Q12:Q14"/>
    <mergeCell ref="R12:V12"/>
    <mergeCell ref="P19:P23"/>
    <mergeCell ref="P15:P18"/>
    <mergeCell ref="C39:C41"/>
    <mergeCell ref="C27:C38"/>
    <mergeCell ref="P27:P38"/>
    <mergeCell ref="P24:P26"/>
    <mergeCell ref="C15:C18"/>
    <mergeCell ref="C19:C23"/>
    <mergeCell ref="C24:C26"/>
  </mergeCells>
  <phoneticPr fontId="6"/>
  <conditionalFormatting sqref="G15:G41 I15:I41 K15:K41 M15:M41 O15:O41">
    <cfRule type="containsText" dxfId="6" priority="10" operator="containsText" text="No">
      <formula>NOT(ISERROR(SEARCH("No",G15)))</formula>
    </cfRule>
  </conditionalFormatting>
  <pageMargins left="0.70866141732283472" right="0.70866141732283472" top="0.74803149606299213" bottom="0.74803149606299213" header="0.31496062992125984" footer="0.31496062992125984"/>
  <pageSetup paperSize="8" scale="48"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DC73D-00BC-4177-BDF1-17FDB763D52C}">
  <sheetPr codeName="Sheet13">
    <tabColor theme="8" tint="0.59999389629810485"/>
  </sheetPr>
  <dimension ref="B2:K98"/>
  <sheetViews>
    <sheetView topLeftCell="G5" zoomScale="67" zoomScaleNormal="100" workbookViewId="0">
      <selection activeCell="E34" sqref="E34"/>
    </sheetView>
  </sheetViews>
  <sheetFormatPr defaultColWidth="8.85546875" defaultRowHeight="14.45"/>
  <cols>
    <col min="1" max="1" width="1.7109375" customWidth="1"/>
    <col min="3" max="3" width="15.140625" style="48" bestFit="1" customWidth="1"/>
    <col min="4" max="4" width="28.85546875" hidden="1" customWidth="1"/>
    <col min="5" max="5" width="19.140625" hidden="1" customWidth="1"/>
    <col min="6" max="7" width="7.42578125" customWidth="1"/>
    <col min="8" max="8" width="26.42578125" customWidth="1"/>
    <col min="9" max="9" width="91.5703125" customWidth="1"/>
    <col min="10" max="10" width="10.140625" style="22" customWidth="1"/>
  </cols>
  <sheetData>
    <row r="2" spans="2:10" ht="16.5">
      <c r="B2" s="206"/>
      <c r="C2" s="207"/>
      <c r="D2" s="206"/>
      <c r="E2" s="209"/>
      <c r="F2" s="209"/>
      <c r="G2" s="209"/>
      <c r="H2" s="207"/>
      <c r="I2" s="207"/>
      <c r="J2" s="208"/>
    </row>
    <row r="3" spans="2:10" s="48" customFormat="1" ht="36.950000000000003" customHeight="1">
      <c r="B3" s="207"/>
      <c r="C3" s="212" t="s">
        <v>684</v>
      </c>
      <c r="D3" s="212" t="s">
        <v>478</v>
      </c>
      <c r="E3" s="212" t="s">
        <v>479</v>
      </c>
      <c r="F3" s="212" t="s">
        <v>8</v>
      </c>
      <c r="G3" s="212" t="s">
        <v>480</v>
      </c>
      <c r="H3" s="212" t="s">
        <v>240</v>
      </c>
      <c r="I3" s="212" t="s">
        <v>481</v>
      </c>
      <c r="J3" s="212" t="s">
        <v>242</v>
      </c>
    </row>
    <row r="4" spans="2:10" ht="33">
      <c r="C4" s="616" t="s">
        <v>29</v>
      </c>
      <c r="D4" s="601"/>
      <c r="E4" s="605"/>
      <c r="F4" s="213" t="str">
        <f>IF(G4=1,"C",IF(G4=2,"B-",IF(G4=3,"B",IF(G4=4,"B+",IF(G4=5,"A")))))</f>
        <v>C</v>
      </c>
      <c r="G4" s="214">
        <v>1</v>
      </c>
      <c r="H4" s="619" t="s">
        <v>685</v>
      </c>
      <c r="I4" s="215" t="str">
        <f>'DP cal.'!F17</f>
        <v>Issuing fire report with SBU's support.
(DP Manager)</v>
      </c>
      <c r="J4" s="216"/>
    </row>
    <row r="5" spans="2:10" ht="33">
      <c r="C5" s="617"/>
      <c r="D5" s="601"/>
      <c r="E5" s="605"/>
      <c r="F5" s="213" t="str">
        <f t="shared" ref="F5:F69" si="0">IF(G5=1,"C",IF(G5=2,"B-",IF(G5=3,"B",IF(G5=4,"B+",IF(G5=5,"A")))))</f>
        <v>B-</v>
      </c>
      <c r="G5" s="214">
        <v>2</v>
      </c>
      <c r="H5" s="620"/>
      <c r="I5" s="215" t="str">
        <f>'DP cal.'!H17</f>
        <v>Fire report is issued by plant, but there was a delay in the due date in the guideline.
(DP Manager)</v>
      </c>
      <c r="J5" s="216"/>
    </row>
    <row r="6" spans="2:10" ht="66">
      <c r="C6" s="617"/>
      <c r="D6" s="601"/>
      <c r="E6" s="605"/>
      <c r="F6" s="213" t="str">
        <f t="shared" si="0"/>
        <v>B</v>
      </c>
      <c r="G6" s="214">
        <v>3</v>
      </c>
      <c r="H6" s="620"/>
      <c r="I6" s="215" t="str">
        <f>'DP cal.'!J17</f>
        <v>Fire report is issued by plant, within the due date that is standardized in the guideline. 
And root cause analysis and its countermeasure has been completed and these report is issued within the due date as the guideline.
(DP Manager)</v>
      </c>
      <c r="J6" s="216"/>
    </row>
    <row r="7" spans="2:10" ht="99">
      <c r="C7" s="617"/>
      <c r="D7" s="601"/>
      <c r="E7" s="605"/>
      <c r="F7" s="213" t="str">
        <f t="shared" si="0"/>
        <v>B+</v>
      </c>
      <c r="G7" s="214">
        <v>4</v>
      </c>
      <c r="H7" s="620"/>
      <c r="I7" s="215" t="str">
        <f>'DP cal.'!L17</f>
        <v>Fire report is issued by plant, within the due date that is standardized in the guideline. 
And root cause analysis and its countermeasure has been completed and these report is issued within the due date as the guideline.
Also, the countermeasure has been expanded to similar machines/tasks. After the countermeasure is completed, the report to SBU has been issued. 
(DP Manager)</v>
      </c>
      <c r="J7" s="216"/>
    </row>
    <row r="8" spans="2:10" ht="82.5">
      <c r="C8" s="617"/>
      <c r="D8" s="601"/>
      <c r="E8" s="605"/>
      <c r="F8" s="213" t="str">
        <f t="shared" si="0"/>
        <v>A</v>
      </c>
      <c r="G8" s="214">
        <v>5</v>
      </c>
      <c r="H8" s="621"/>
      <c r="I8" s="217" t="str">
        <f>'DP cal.'!N17</f>
        <v>Past countermeasures have been re-checked its implementation status periodically. (Subject to DP incidents that have occurred in the past at site or their workplace.)
 *At least, need to check its progress within 1 year.
(Safety Manager)
 *Also ask SVs</v>
      </c>
      <c r="J8" s="216"/>
    </row>
    <row r="9" spans="2:10" ht="49.5">
      <c r="C9" s="617"/>
      <c r="D9" s="601"/>
      <c r="E9" s="605"/>
      <c r="F9" s="213" t="str">
        <f t="shared" si="0"/>
        <v>C</v>
      </c>
      <c r="G9" s="214">
        <v>1</v>
      </c>
      <c r="H9" s="606" t="s">
        <v>73</v>
      </c>
      <c r="I9" s="218" t="str">
        <f>'DP cal.'!F18</f>
        <v>There is no plan for countermeasures from outside of plant.
 *"Countermeasure" in this part means that is issued from BSJ7310
(DP Manager)</v>
      </c>
      <c r="J9" s="216"/>
    </row>
    <row r="10" spans="2:10" ht="49.5">
      <c r="C10" s="617"/>
      <c r="D10" s="212"/>
      <c r="E10" s="211"/>
      <c r="F10" s="213" t="str">
        <f t="shared" si="0"/>
        <v>B-</v>
      </c>
      <c r="G10" s="214">
        <v>2</v>
      </c>
      <c r="H10" s="607"/>
      <c r="I10" s="218" t="str">
        <f>'DP cal.'!H18</f>
        <v>There is a plan for countermeasure, but there is a delay in the plan. 
 *No corrective plan for delay.
(DP Manager)</v>
      </c>
      <c r="J10" s="216"/>
    </row>
    <row r="11" spans="2:10" ht="49.5">
      <c r="C11" s="617"/>
      <c r="D11" s="212"/>
      <c r="E11" s="211"/>
      <c r="F11" s="213" t="str">
        <f t="shared" si="0"/>
        <v>B</v>
      </c>
      <c r="G11" s="214">
        <v>3</v>
      </c>
      <c r="H11" s="607"/>
      <c r="I11" s="218" t="str">
        <f>'DP cal.'!J18</f>
        <v>There is a plan for countermeasure, and it is on-going to the plan, but not yet completed.
Or, there is a delay but corrective plan has been made for it, and it is on-going.
(DP Manager)</v>
      </c>
      <c r="J11" s="216"/>
    </row>
    <row r="12" spans="2:10" ht="33">
      <c r="C12" s="617"/>
      <c r="D12" s="212"/>
      <c r="E12" s="211"/>
      <c r="F12" s="213" t="str">
        <f t="shared" si="0"/>
        <v>B+</v>
      </c>
      <c r="G12" s="214">
        <v>4</v>
      </c>
      <c r="H12" s="607"/>
      <c r="I12" s="218" t="str">
        <f>'DP cal.'!L18</f>
        <v>There is a plan for countermeasure, and progressing ahead of the plan, but not yet completed.
(DP Manager)</v>
      </c>
      <c r="J12" s="216"/>
    </row>
    <row r="13" spans="2:10" ht="33">
      <c r="C13" s="618"/>
      <c r="D13" s="212"/>
      <c r="E13" s="211"/>
      <c r="F13" s="213" t="str">
        <f t="shared" si="0"/>
        <v>A</v>
      </c>
      <c r="G13" s="214">
        <v>5</v>
      </c>
      <c r="H13" s="608"/>
      <c r="I13" s="219" t="str">
        <f>'DP cal.'!N18</f>
        <v>All countermeasures have been completed.
(DP Manager)</v>
      </c>
      <c r="J13" s="216"/>
    </row>
    <row r="14" spans="2:10" ht="33">
      <c r="C14" s="616" t="s">
        <v>30</v>
      </c>
      <c r="D14" s="601"/>
      <c r="E14" s="601"/>
      <c r="F14" s="213" t="str">
        <f t="shared" si="0"/>
        <v>C</v>
      </c>
      <c r="G14" s="214">
        <v>1</v>
      </c>
      <c r="H14" s="606" t="s">
        <v>688</v>
      </c>
      <c r="I14" s="218" t="str">
        <f>'DP cal.'!F19</f>
        <v>There is a plan for BSJP Tire ver. fire prevention RA.
(DP Manager)</v>
      </c>
      <c r="J14" s="216"/>
    </row>
    <row r="15" spans="2:10" ht="49.5">
      <c r="C15" s="617"/>
      <c r="D15" s="601"/>
      <c r="E15" s="601"/>
      <c r="F15" s="213" t="str">
        <f t="shared" si="0"/>
        <v>B-</v>
      </c>
      <c r="G15" s="214">
        <v>2</v>
      </c>
      <c r="H15" s="607"/>
      <c r="I15" s="218" t="str">
        <f>'DP cal.'!H19</f>
        <v>There is a plan for BSJP Tire ver. fire prevention RA, but there is a delay in the plan. 
 *No corrective plan for the delay.
(DP Manager)</v>
      </c>
      <c r="J15" s="216"/>
    </row>
    <row r="16" spans="2:10" ht="82.5">
      <c r="C16" s="617"/>
      <c r="D16" s="601"/>
      <c r="E16" s="601"/>
      <c r="F16" s="213" t="str">
        <f t="shared" si="0"/>
        <v>B</v>
      </c>
      <c r="G16" s="214">
        <v>3</v>
      </c>
      <c r="H16" s="608"/>
      <c r="I16" s="218" t="str">
        <f>'DP cal.'!J19</f>
        <v>There is a plan for BSJP Tire ver. fire prevention RA, and it is on-going to the plan.
Or, there is a delay but corrective plan has been made for it, and it is on-going.
Or, all Fire RA have been completed.
*Confirm the contents of the assessment sheet.
(DP Manager)</v>
      </c>
      <c r="J16" s="216"/>
    </row>
    <row r="17" spans="3:11" ht="33">
      <c r="C17" s="617"/>
      <c r="D17" s="601"/>
      <c r="E17" s="601"/>
      <c r="F17" s="213" t="str">
        <f t="shared" si="0"/>
        <v>C</v>
      </c>
      <c r="G17" s="214">
        <v>1</v>
      </c>
      <c r="H17" s="606" t="s">
        <v>689</v>
      </c>
      <c r="I17" s="220" t="str">
        <f>'DP cal.'!F20</f>
        <v>There is no countermeasure plan for the detected risks by Fire RA.
(DP Manager)</v>
      </c>
      <c r="J17" s="216"/>
    </row>
    <row r="18" spans="3:11" ht="49.5">
      <c r="C18" s="617"/>
      <c r="D18" s="601"/>
      <c r="E18" s="601"/>
      <c r="F18" s="213" t="str">
        <f t="shared" si="0"/>
        <v>B-</v>
      </c>
      <c r="G18" s="214">
        <v>2</v>
      </c>
      <c r="H18" s="607"/>
      <c r="I18" s="220" t="str">
        <f>'DP cal.'!H20</f>
        <v>There is a plan for countermeasures for the fire risk, but there is a delay in the plan. 
 *No corrective plan for the delay.
(DP Manager)</v>
      </c>
      <c r="J18" s="216"/>
    </row>
    <row r="19" spans="3:11" ht="49.5">
      <c r="C19" s="617"/>
      <c r="D19" s="601"/>
      <c r="E19" s="601"/>
      <c r="F19" s="213" t="str">
        <f t="shared" si="0"/>
        <v>B</v>
      </c>
      <c r="G19" s="214">
        <v>3</v>
      </c>
      <c r="H19" s="607"/>
      <c r="I19" s="218" t="str">
        <f>'DP cal.'!J20</f>
        <v>There is a plan for countermeasures for the fire risk, and it is on-going to the plan.
Or, there is a delay but corrective plan has been made for it, and it is on-going.
(DP Manager)</v>
      </c>
      <c r="J19" s="216"/>
    </row>
    <row r="20" spans="3:11" ht="52.5" customHeight="1">
      <c r="C20" s="617"/>
      <c r="D20" s="601"/>
      <c r="E20" s="601"/>
      <c r="F20" s="213" t="str">
        <f t="shared" si="0"/>
        <v>B+</v>
      </c>
      <c r="G20" s="214">
        <v>4</v>
      </c>
      <c r="H20" s="607"/>
      <c r="I20" s="218" t="str">
        <f>'DP cal.'!L20</f>
        <v>There is a plan for countermeasures for the fire risk, and progressing ahead of the plan, but not yet completed.
(DP Manager)</v>
      </c>
      <c r="J20" s="216"/>
    </row>
    <row r="21" spans="3:11" ht="33">
      <c r="C21" s="617"/>
      <c r="D21" s="601"/>
      <c r="E21" s="601"/>
      <c r="F21" s="213" t="str">
        <f t="shared" si="0"/>
        <v>A</v>
      </c>
      <c r="G21" s="214">
        <v>5</v>
      </c>
      <c r="H21" s="608"/>
      <c r="I21" s="219" t="str">
        <f>'DP cal.'!N20</f>
        <v>All countermeasures for  fire risk III and IV have been completed. Or, there is no fire risk III and IV. 
(DP Manager)</v>
      </c>
      <c r="J21" s="216"/>
    </row>
    <row r="22" spans="3:11" ht="49.5">
      <c r="C22" s="617"/>
      <c r="D22" s="601"/>
      <c r="E22" s="601"/>
      <c r="F22" s="213" t="str">
        <f t="shared" si="0"/>
        <v>C</v>
      </c>
      <c r="G22" s="214">
        <v>1</v>
      </c>
      <c r="H22" s="606" t="s">
        <v>690</v>
      </c>
      <c r="I22" s="221" t="str">
        <f>'DP cal.'!F21</f>
        <v>Inspection items (based on legal requirements) are determined at plant and there is a plan for inspection.
(DP Manager)</v>
      </c>
      <c r="J22" s="216"/>
    </row>
    <row r="23" spans="3:11" ht="66">
      <c r="C23" s="617"/>
      <c r="D23" s="601"/>
      <c r="E23" s="601"/>
      <c r="F23" s="213" t="str">
        <f t="shared" si="0"/>
        <v>B-</v>
      </c>
      <c r="G23" s="214">
        <v>2</v>
      </c>
      <c r="H23" s="607"/>
      <c r="I23" s="220" t="str">
        <f>'DP cal.'!H21</f>
        <v>Inspection items (based on legal requirements) are determined at plant and there is a plan for inspection, but there is a delay in the plan. 
 *No corrective plan for the delay.
(DP Manager)</v>
      </c>
      <c r="J23" s="216"/>
    </row>
    <row r="24" spans="3:11" ht="66">
      <c r="C24" s="617"/>
      <c r="D24" s="601"/>
      <c r="E24" s="601"/>
      <c r="F24" s="213" t="str">
        <f t="shared" si="0"/>
        <v>B</v>
      </c>
      <c r="G24" s="214">
        <v>3</v>
      </c>
      <c r="H24" s="607"/>
      <c r="I24" s="218" t="str">
        <f>'DP cal.'!J21</f>
        <v>Inspection items (based on legal requirements) are determined at site and there is a plan for inspection. It is on-going to the plan. There is evidence that inspections were conducted as planned.
Or, there is a delay but corrective plan has been made for it, and it is on-going.
(DP Manager)</v>
      </c>
      <c r="J24" s="216"/>
    </row>
    <row r="25" spans="3:11" ht="33">
      <c r="C25" s="617"/>
      <c r="D25" s="601"/>
      <c r="E25" s="601"/>
      <c r="F25" s="213" t="str">
        <f t="shared" si="0"/>
        <v>B+</v>
      </c>
      <c r="G25" s="214">
        <v>4</v>
      </c>
      <c r="H25" s="607"/>
      <c r="I25" s="218" t="str">
        <f>'DP cal.'!L21</f>
        <v>The inspection defects have been shared in the plant through meetings, etc.
(DP Manager)</v>
      </c>
      <c r="J25" s="216"/>
    </row>
    <row r="26" spans="3:11" ht="49.5">
      <c r="C26" s="617"/>
      <c r="D26" s="601"/>
      <c r="E26" s="601"/>
      <c r="F26" s="213" t="str">
        <f t="shared" si="0"/>
        <v>A</v>
      </c>
      <c r="G26" s="214">
        <v>5</v>
      </c>
      <c r="H26" s="608"/>
      <c r="I26" s="219" t="str">
        <f>'DP cal.'!N21</f>
        <v>There are cases that inspection items (including standards and procedures) were reviewed based on the inspection results.
(DP Manager)</v>
      </c>
      <c r="J26" s="216"/>
    </row>
    <row r="27" spans="3:11" ht="66">
      <c r="C27" s="617"/>
      <c r="D27" s="601"/>
      <c r="E27" s="601"/>
      <c r="F27" s="213" t="str">
        <f t="shared" si="0"/>
        <v>C</v>
      </c>
      <c r="G27" s="214">
        <v>1</v>
      </c>
      <c r="H27" s="610" t="s">
        <v>572</v>
      </c>
      <c r="I27" s="219" t="str">
        <f>'DP cal.'!F22</f>
        <v>Inspection to find defect wiring has not been comducted by 7 seven visual check points.
Or, there is no plan to conduct it.
(including such as; outlet, plug, over capacity, tangled cords, electric drum)
(DP manager)</v>
      </c>
      <c r="J27" s="216"/>
    </row>
    <row r="28" spans="3:11" ht="66">
      <c r="C28" s="617"/>
      <c r="D28" s="601"/>
      <c r="E28" s="601"/>
      <c r="F28" s="213" t="str">
        <f t="shared" si="0"/>
        <v>B-</v>
      </c>
      <c r="G28" s="214">
        <v>2</v>
      </c>
      <c r="H28" s="611"/>
      <c r="I28" s="219" t="str">
        <f>'DP cal.'!H22</f>
        <v>Inspection has been conducted, there is a plan for it, but there is a delay in the plant.
Also, defects have been countered immediately.
 *Need to validate at least one in GENBA. 
(DP manager)</v>
      </c>
      <c r="J28" s="216"/>
    </row>
    <row r="29" spans="3:11" ht="66">
      <c r="C29" s="617"/>
      <c r="D29" s="601"/>
      <c r="E29" s="601"/>
      <c r="F29" s="213" t="str">
        <f t="shared" si="0"/>
        <v>B</v>
      </c>
      <c r="G29" s="214">
        <v>3</v>
      </c>
      <c r="H29" s="611"/>
      <c r="I29" s="219" t="str">
        <f>'DP cal.'!J22</f>
        <v>There is a plan for countermeasure from defect wiring insepection, and it is on-going to the plan.
Or, there is a delay but corrective plan has been made for it, and it is on-going.
*Confirm inspection record of electrical wiring
(DP Manager)</v>
      </c>
      <c r="J29" s="216"/>
    </row>
    <row r="30" spans="3:11" ht="49.5">
      <c r="C30" s="617"/>
      <c r="D30" s="601"/>
      <c r="E30" s="601"/>
      <c r="F30" s="213" t="str">
        <f t="shared" si="0"/>
        <v>B+</v>
      </c>
      <c r="G30" s="214">
        <v>4</v>
      </c>
      <c r="H30" s="611"/>
      <c r="I30" s="219" t="str">
        <f>'DP cal.'!L22</f>
        <v>There is a plan for countermeasure from defect wiring insepection, and progressing ahead of the plan, but not yet completed.
(DP manager)</v>
      </c>
      <c r="J30" s="216"/>
      <c r="K30" t="s">
        <v>691</v>
      </c>
    </row>
    <row r="31" spans="3:11" ht="66">
      <c r="C31" s="617"/>
      <c r="D31" s="601"/>
      <c r="E31" s="601"/>
      <c r="F31" s="213" t="str">
        <f t="shared" si="0"/>
        <v>A</v>
      </c>
      <c r="G31" s="214">
        <v>5</v>
      </c>
      <c r="H31" s="612"/>
      <c r="I31" s="219" t="str">
        <f>'DP cal.'!N22</f>
        <v>Based on the result of electrical wiring inspection, there is no defect that should be countered. (All countermeasures has been completed and the defects are not detected.)
(DP manager)
 *At least one GENBA should be validated.</v>
      </c>
      <c r="J31" s="216"/>
    </row>
    <row r="32" spans="3:11" ht="33">
      <c r="C32" s="617"/>
      <c r="D32" s="601"/>
      <c r="E32" s="601"/>
      <c r="F32" s="213" t="str">
        <f t="shared" si="0"/>
        <v>C</v>
      </c>
      <c r="G32" s="211">
        <v>1</v>
      </c>
      <c r="H32" s="613" t="s">
        <v>578</v>
      </c>
      <c r="I32" s="222" t="str">
        <f>'DP cal.'!F23</f>
        <v>Noise patrol has not been comducted, or, there is no plan to conduct it.
(DP manager)</v>
      </c>
      <c r="J32" s="212"/>
    </row>
    <row r="33" spans="3:10" ht="49.5">
      <c r="C33" s="617"/>
      <c r="D33" s="212"/>
      <c r="E33" s="212"/>
      <c r="F33" s="213" t="str">
        <f t="shared" si="0"/>
        <v>B-</v>
      </c>
      <c r="G33" s="211">
        <v>2</v>
      </c>
      <c r="H33" s="614"/>
      <c r="I33" s="222" t="str">
        <f>'DP cal.'!H23</f>
        <v>Noise patrol has been conducted, there is a plan for it, but there is a delay in the plan.
 *Need to validate at least one case in GENBA.
(DP manager)</v>
      </c>
      <c r="J33" s="212"/>
    </row>
    <row r="34" spans="3:10" ht="66">
      <c r="C34" s="617"/>
      <c r="D34" s="212"/>
      <c r="E34" s="212"/>
      <c r="F34" s="213" t="str">
        <f t="shared" si="0"/>
        <v>B</v>
      </c>
      <c r="G34" s="211">
        <v>3</v>
      </c>
      <c r="H34" s="614"/>
      <c r="I34" s="222" t="str">
        <f>'DP cal.'!J23</f>
        <v>There is a plan for countermeasure from noise insepection, and it is on-going to the plan.
Or, there is a delay but corrective plan has been made for it, and it is on-going.
Or, all Fire RA have been completed.
(DP Manager)</v>
      </c>
      <c r="J34" s="212"/>
    </row>
    <row r="35" spans="3:10" ht="49.5">
      <c r="C35" s="617"/>
      <c r="D35" s="212"/>
      <c r="E35" s="212"/>
      <c r="F35" s="213" t="str">
        <f t="shared" si="0"/>
        <v>B+</v>
      </c>
      <c r="G35" s="211">
        <v>4</v>
      </c>
      <c r="H35" s="614"/>
      <c r="I35" s="222" t="str">
        <f>'DP cal.'!L23</f>
        <v>There is a plan for countermeasure from noise insepection, and progressing ahead of the plan, but not yet completed.
(DP manager)</v>
      </c>
      <c r="J35" s="212"/>
    </row>
    <row r="36" spans="3:10" ht="66">
      <c r="C36" s="618"/>
      <c r="D36" s="212"/>
      <c r="E36" s="212"/>
      <c r="F36" s="213" t="str">
        <f t="shared" si="0"/>
        <v>A</v>
      </c>
      <c r="G36" s="211">
        <v>5</v>
      </c>
      <c r="H36" s="615"/>
      <c r="I36" s="222" t="str">
        <f>'DP cal.'!N23</f>
        <v>Based on the result of noise patrol, there is no defect that should be countered. (All countermeasures has been completed and the defects are not detected.)
(DP manager)
 *At least one GENBA should be validated.</v>
      </c>
      <c r="J36" s="212"/>
    </row>
    <row r="37" spans="3:10" ht="33">
      <c r="C37" s="616" t="s">
        <v>31</v>
      </c>
      <c r="D37" s="601"/>
      <c r="E37" s="605"/>
      <c r="F37" s="213" t="str">
        <f t="shared" si="0"/>
        <v>C</v>
      </c>
      <c r="G37" s="214">
        <v>1</v>
      </c>
      <c r="H37" s="616" t="s">
        <v>94</v>
      </c>
      <c r="I37" s="223" t="str">
        <f>'DP cal.'!F24</f>
        <v>DP policy/target has not been issued.
(DP Manager)</v>
      </c>
      <c r="J37" s="212"/>
    </row>
    <row r="38" spans="3:10" ht="33">
      <c r="C38" s="617"/>
      <c r="D38" s="601"/>
      <c r="E38" s="605"/>
      <c r="F38" s="213" t="str">
        <f t="shared" si="0"/>
        <v>A</v>
      </c>
      <c r="G38" s="214">
        <v>5</v>
      </c>
      <c r="H38" s="618"/>
      <c r="I38" s="224" t="str">
        <f>'DP cal.'!N24</f>
        <v>There is evidence of OH&amp;S benchmarking with other sites.
(System: DP Manager: No.123)</v>
      </c>
      <c r="J38" s="212"/>
    </row>
    <row r="39" spans="3:10" ht="33">
      <c r="C39" s="617"/>
      <c r="D39" s="601"/>
      <c r="E39" s="605"/>
      <c r="F39" s="213" t="str">
        <f t="shared" si="0"/>
        <v>C</v>
      </c>
      <c r="G39" s="214">
        <v>1</v>
      </c>
      <c r="H39" s="225" t="s">
        <v>96</v>
      </c>
      <c r="I39" s="226" t="str">
        <f>'DP cal.'!F25</f>
        <v>DP policy/target has not been issued.
(DP Manager)</v>
      </c>
      <c r="J39" s="225"/>
    </row>
    <row r="40" spans="3:10" ht="33">
      <c r="C40" s="617"/>
      <c r="D40" s="601"/>
      <c r="E40" s="605"/>
      <c r="F40" s="213" t="str">
        <f t="shared" si="0"/>
        <v>C</v>
      </c>
      <c r="G40" s="214">
        <v>1</v>
      </c>
      <c r="H40" s="606" t="s">
        <v>98</v>
      </c>
      <c r="I40" s="227" t="str">
        <f>'DP cal.'!F26</f>
        <v>Internal audit has not been conducted.
(DP Manager)</v>
      </c>
      <c r="J40" s="216"/>
    </row>
    <row r="41" spans="3:10" ht="33">
      <c r="C41" s="617"/>
      <c r="D41" s="212"/>
      <c r="E41" s="211"/>
      <c r="F41" s="213" t="str">
        <f t="shared" si="0"/>
        <v>B-</v>
      </c>
      <c r="G41" s="214">
        <v>2</v>
      </c>
      <c r="H41" s="607"/>
      <c r="I41" s="215" t="str">
        <f>'DP cal.'!H26</f>
        <v>Internal audit has been conducted, but its result have not been shared in plant.
(DP Manager)</v>
      </c>
      <c r="J41" s="216"/>
    </row>
    <row r="42" spans="3:10" ht="33">
      <c r="C42" s="617"/>
      <c r="D42" s="212"/>
      <c r="E42" s="211"/>
      <c r="F42" s="213" t="str">
        <f t="shared" si="0"/>
        <v>B</v>
      </c>
      <c r="G42" s="214">
        <v>3</v>
      </c>
      <c r="H42" s="607"/>
      <c r="I42" s="217" t="str">
        <f>'DP cal.'!J26</f>
        <v>Internal audit has been conducted, and its result have been shared in plant including managers.
(DP Manager)</v>
      </c>
      <c r="J42" s="216"/>
    </row>
    <row r="43" spans="3:10" ht="33">
      <c r="C43" s="617"/>
      <c r="D43" s="212"/>
      <c r="E43" s="211"/>
      <c r="F43" s="213" t="str">
        <f t="shared" si="0"/>
        <v>B+</v>
      </c>
      <c r="G43" s="214">
        <v>4</v>
      </c>
      <c r="H43" s="607"/>
      <c r="I43" s="215" t="str">
        <f>'DP cal.'!L26</f>
        <v>Based on the result of internal audit, making a plan for KAIZEN, and it is implemented as a plan.
(DP Manager)</v>
      </c>
      <c r="J43" s="216"/>
    </row>
    <row r="44" spans="3:10" ht="33">
      <c r="C44" s="618"/>
      <c r="D44" s="212"/>
      <c r="E44" s="211"/>
      <c r="F44" s="213" t="str">
        <f t="shared" si="0"/>
        <v>A</v>
      </c>
      <c r="G44" s="214">
        <v>5</v>
      </c>
      <c r="H44" s="608"/>
      <c r="I44" s="215" t="str">
        <f>'DP cal.'!N26</f>
        <v>There is no non-conformity (Major/Minor) in QM audit.
(DP Manager)</v>
      </c>
      <c r="J44" s="216"/>
    </row>
    <row r="45" spans="3:10" ht="66">
      <c r="C45" s="601" t="s">
        <v>32</v>
      </c>
      <c r="D45" s="609"/>
      <c r="E45" s="605"/>
      <c r="F45" s="213" t="str">
        <f t="shared" si="0"/>
        <v>A</v>
      </c>
      <c r="G45" s="214">
        <v>5</v>
      </c>
      <c r="H45" s="212" t="s">
        <v>692</v>
      </c>
      <c r="I45" s="222" t="str">
        <f>'DP cal.'!N27</f>
        <v>The best practices on 3S have been gathered from other plants/industry, and it has been incorporated into the site procedure. or There is a evidence of the comparison with other plants.
(System: DP Manager: No.133)</v>
      </c>
      <c r="J45" s="24"/>
    </row>
    <row r="46" spans="3:10" ht="66">
      <c r="C46" s="601"/>
      <c r="D46" s="609"/>
      <c r="E46" s="605"/>
      <c r="F46" s="213" t="str">
        <f t="shared" si="0"/>
        <v>C</v>
      </c>
      <c r="G46" s="214">
        <v>1</v>
      </c>
      <c r="H46" s="606" t="s">
        <v>693</v>
      </c>
      <c r="I46" s="220" t="str">
        <f>'DP cal.'!F31</f>
        <v>Fire extinguisher trainings have  not been given.
【Disaster prevention department】
※In case that fire extinguisher training is given, the judgement is "Yes".
In case that fire extinguisher training is not given, the judgement is "No".</v>
      </c>
      <c r="J46" s="216"/>
    </row>
    <row r="47" spans="3:10" ht="49.5">
      <c r="C47" s="601"/>
      <c r="D47" s="609"/>
      <c r="E47" s="605"/>
      <c r="F47" s="213" t="str">
        <f t="shared" si="0"/>
        <v>B-</v>
      </c>
      <c r="G47" s="214">
        <v>2</v>
      </c>
      <c r="H47" s="607"/>
      <c r="I47" s="220" t="str">
        <f>'DP cal.'!H31</f>
        <v>Fire extinguisher training has been given only to limited (not all) employees in facility. 
Water spraying drill have been given only to limited (not all) self -firefighting members in facility.
【Disaster prevention department】</v>
      </c>
      <c r="J47" s="216"/>
    </row>
    <row r="48" spans="3:10" ht="66">
      <c r="C48" s="601"/>
      <c r="D48" s="609"/>
      <c r="E48" s="605"/>
      <c r="F48" s="213" t="str">
        <f t="shared" si="0"/>
        <v>B</v>
      </c>
      <c r="G48" s="214">
        <v>3</v>
      </c>
      <c r="H48" s="607"/>
      <c r="I48" s="218" t="str">
        <f>'DP cal.'!J31</f>
        <v>Fire extinguisher training and education are given to all employees in facility once or more every year. And Water spraying drill are given to all employees appointed as self-firefighting members in facility once or more every year.
【Disaster prevention department】</v>
      </c>
      <c r="J48" s="216"/>
    </row>
    <row r="49" spans="3:10" ht="49.5">
      <c r="C49" s="601"/>
      <c r="D49" s="609"/>
      <c r="E49" s="605"/>
      <c r="F49" s="213" t="str">
        <f t="shared" si="0"/>
        <v>B+</v>
      </c>
      <c r="G49" s="214">
        <v>4</v>
      </c>
      <c r="H49" s="607"/>
      <c r="I49" s="219" t="str">
        <f>'DP cal.'!L31</f>
        <v>Water spraying drill and education are also given to employees who are not self-firefighting members in facility once or more every year.
【Disaster prevention department】</v>
      </c>
      <c r="J49" s="216"/>
    </row>
    <row r="50" spans="3:10" ht="49.5">
      <c r="C50" s="601"/>
      <c r="D50" s="609"/>
      <c r="E50" s="605"/>
      <c r="F50" s="213" t="str">
        <f t="shared" si="0"/>
        <v>A</v>
      </c>
      <c r="G50" s="214">
        <v>5</v>
      </c>
      <c r="H50" s="608"/>
      <c r="I50" s="218" t="str">
        <f>'DP cal.'!N31</f>
        <v>The site plan and carry out practical training for irregular situation such as fire at night, electric power outage, fire in holiday, sudden fire.
【Disaster prevention department】</v>
      </c>
      <c r="J50" s="216"/>
    </row>
    <row r="51" spans="3:10" ht="99">
      <c r="C51" s="601"/>
      <c r="D51" s="609"/>
      <c r="E51" s="605"/>
      <c r="F51" s="213" t="str">
        <f t="shared" si="0"/>
        <v>C</v>
      </c>
      <c r="G51" s="214">
        <v>1</v>
      </c>
      <c r="H51" s="610" t="s">
        <v>629</v>
      </c>
      <c r="I51" s="219" t="str">
        <f>'DP cal.'!F32</f>
        <v>There is no standard for hot work or hot work equipment is used without advance application, advance check*, assignment of fire watcher or checking residual fire after work. (If any one of them has defect, the judgement is "No".)
*Check presence of combustibles/flammable materials, preparation of fire extinguisher/water in bucket, prevention of spread of sparks, etc.
【Disaster prevention department】</v>
      </c>
      <c r="J51" s="216"/>
    </row>
    <row r="52" spans="3:10" ht="66">
      <c r="C52" s="601"/>
      <c r="D52" s="609"/>
      <c r="E52" s="605"/>
      <c r="F52" s="213" t="str">
        <f t="shared" si="0"/>
        <v>B-</v>
      </c>
      <c r="G52" s="211">
        <v>2</v>
      </c>
      <c r="H52" s="611"/>
      <c r="I52" s="219" t="str">
        <f>'DP cal.'!H32</f>
        <v>There are standards for hot work and hot work equipment is used with advance application. However there is defect in advance check, assignment of fire watcher, checking residual fire after work, or 3S etc.
【Disaster prevention department】</v>
      </c>
      <c r="J52" s="216"/>
    </row>
    <row r="53" spans="3:10" ht="49.5">
      <c r="C53" s="601"/>
      <c r="D53" s="609"/>
      <c r="E53" s="605"/>
      <c r="F53" s="213" t="str">
        <f t="shared" si="0"/>
        <v>B</v>
      </c>
      <c r="G53" s="211">
        <v>3</v>
      </c>
      <c r="H53" s="612"/>
      <c r="I53" s="219" t="str">
        <f>'DP cal.'!J32</f>
        <v>Hot work is controlled in accordance with the standards.
※Check min. 1 site of construction area, periodic repair area or designated hot work area. 
【Disaster prevention department】</v>
      </c>
      <c r="J53" s="216"/>
    </row>
    <row r="54" spans="3:10" ht="132">
      <c r="C54" s="601"/>
      <c r="D54" s="609"/>
      <c r="E54" s="605"/>
      <c r="F54" s="213" t="str">
        <f t="shared" si="0"/>
        <v>C</v>
      </c>
      <c r="G54" s="214">
        <v>1</v>
      </c>
      <c r="H54" s="610" t="s">
        <v>641</v>
      </c>
      <c r="I54" s="219" t="str">
        <f>'DP cal.'!F34</f>
        <v>Gasoline cement houses and flammable material storages are not inspected regularly. Or the inspection is carried out but there is no plan to solve the problems.
The standards of lock-up, pass system or controls* are not complied. (If any one of them has defect, the judgement is "No".)
*Control of required number, prevention of accumulation/spread, control of flammable gas/humidity/static electricity, strict prohibition of fire etc. 
Example: Gasoline, toluene, alcohol, diesel oil, and other liquids with a flash point of less than 60°C
(DP Manager)</v>
      </c>
      <c r="J54" s="216"/>
    </row>
    <row r="55" spans="3:10" ht="99">
      <c r="C55" s="601"/>
      <c r="D55" s="609"/>
      <c r="E55" s="605"/>
      <c r="F55" s="213" t="str">
        <f t="shared" si="0"/>
        <v>B-</v>
      </c>
      <c r="G55" s="214">
        <v>2</v>
      </c>
      <c r="H55" s="611"/>
      <c r="I55" s="219" t="str">
        <f>'DP cal.'!H34</f>
        <v>The inspection is carried out and measures to solve the problems are planned, but the plan is delayed.
The standards of lock-up, pass system or controls are complied.
※The plan is not reviewed to catch up.
※Check min. 1 site where the inspection was carried out. 
(DP Manager)</v>
      </c>
      <c r="J55" s="216"/>
    </row>
    <row r="56" spans="3:10" ht="82.5">
      <c r="C56" s="601"/>
      <c r="D56" s="609"/>
      <c r="E56" s="605"/>
      <c r="F56" s="213" t="str">
        <f t="shared" si="0"/>
        <v>B</v>
      </c>
      <c r="G56" s="214">
        <v>3</v>
      </c>
      <c r="H56" s="611"/>
      <c r="I56" s="219" t="str">
        <f>'DP cal.'!J34</f>
        <v>There is the plan to solve the problems and the measures are conducted as planed.
If the plan is delayed with adequate reason, it is reviewed and the measures are conducted according to the reviewed plan. (The measure is on-going.)
The standards of lock-up, pass system and controls are complied.
(DP Manager)</v>
      </c>
      <c r="J56" s="216"/>
    </row>
    <row r="57" spans="3:10" ht="82.5">
      <c r="C57" s="601"/>
      <c r="D57" s="609"/>
      <c r="E57" s="605"/>
      <c r="F57" s="213" t="str">
        <f t="shared" si="0"/>
        <v>B+</v>
      </c>
      <c r="G57" s="214">
        <v>4</v>
      </c>
      <c r="H57" s="611"/>
      <c r="I57" s="219" t="str">
        <f>'DP cal.'!L34</f>
        <v xml:space="preserve">When the problems are found, they are solved immediately. If it is temporary measure, permanent measure is planned and the plan is moved forward .
The standards of lock-up, pass system and controls are complied.
【Disaster prevention department】
</v>
      </c>
      <c r="J57" s="216"/>
    </row>
    <row r="58" spans="3:10" ht="66">
      <c r="C58" s="601"/>
      <c r="D58" s="609"/>
      <c r="E58" s="605"/>
      <c r="F58" s="213" t="str">
        <f t="shared" si="0"/>
        <v>A</v>
      </c>
      <c r="G58" s="214">
        <v>5</v>
      </c>
      <c r="H58" s="612"/>
      <c r="I58" s="219" t="str">
        <f>'DP cal.'!N34</f>
        <v>There is no problem or all problems have already been solved and the defects are not detected.
The standards of lock-up, pass system and controls are complied.
※Confirm min. 1 example of the completed measures on-site.
【Disaster prevention department】</v>
      </c>
      <c r="J58" s="216"/>
    </row>
    <row r="59" spans="3:10" ht="99">
      <c r="C59" s="601"/>
      <c r="D59" s="609"/>
      <c r="E59" s="605"/>
      <c r="F59" s="213" t="str">
        <f t="shared" si="0"/>
        <v>C</v>
      </c>
      <c r="G59" s="214">
        <v>1</v>
      </c>
      <c r="H59" s="610" t="s">
        <v>647</v>
      </c>
      <c r="I59" s="219" t="str">
        <f>'DP cal.'!F35</f>
        <v>Specified combustibles handling areas are not inspected regularly. Or the inspection is carried out but there is no plan to solve the problems.
There is no 3S visual standard (MAP, position, number of things, cleaning level etc.) or 3S is not conducted as the 3S standards. (If any one of them has defect, the judgement is "No".)
Example: Combustible cutting oil and Machine oil storage, and waste materials storage
(DP Manager)</v>
      </c>
      <c r="J59" s="216"/>
    </row>
    <row r="60" spans="3:10" ht="99">
      <c r="C60" s="601"/>
      <c r="D60" s="609"/>
      <c r="E60" s="605"/>
      <c r="F60" s="213" t="str">
        <f t="shared" si="0"/>
        <v>B-</v>
      </c>
      <c r="G60" s="214">
        <v>2</v>
      </c>
      <c r="H60" s="611"/>
      <c r="I60" s="219" t="str">
        <f>'DP cal.'!H35</f>
        <v>The inspection is carried out and measures to solve the problems are planned, but the plan is delayed.
3S is conducted as the 3S standards.
※The plan is not reviewed to catch up.
※Check min. 1 site where the inspection was carried out.
(DP Manager)</v>
      </c>
      <c r="J60" s="216"/>
    </row>
    <row r="61" spans="3:10" ht="82.5">
      <c r="C61" s="601"/>
      <c r="D61" s="609"/>
      <c r="E61" s="605"/>
      <c r="F61" s="213" t="str">
        <f t="shared" si="0"/>
        <v>B</v>
      </c>
      <c r="G61" s="214">
        <v>3</v>
      </c>
      <c r="H61" s="611"/>
      <c r="I61" s="219" t="str">
        <f>'DP cal.'!J35</f>
        <v>There is the plan to solve the problems and the measures are conducted as planed.
If the plan is delayed with adequate reason, it is reviewed and the measures are conducted according to the reviewed plan. (The measure is on-going.)
3S is conducted as the 3S standards.
(DP Manager)</v>
      </c>
      <c r="J61" s="216"/>
    </row>
    <row r="62" spans="3:10" ht="66">
      <c r="C62" s="601"/>
      <c r="D62" s="609"/>
      <c r="E62" s="605"/>
      <c r="F62" s="213" t="str">
        <f t="shared" si="0"/>
        <v>B+</v>
      </c>
      <c r="G62" s="214">
        <v>4</v>
      </c>
      <c r="H62" s="611"/>
      <c r="I62" s="219" t="str">
        <f>'DP cal.'!L35</f>
        <v>When the problems are found, they are solved immediately or the plan of the measure is developed and moved forward.
3S is conducted as the 3S standards.
(DP Manager)</v>
      </c>
      <c r="J62" s="216"/>
    </row>
    <row r="63" spans="3:10" ht="66">
      <c r="C63" s="601"/>
      <c r="D63" s="609"/>
      <c r="E63" s="605"/>
      <c r="F63" s="213" t="str">
        <f t="shared" si="0"/>
        <v>A</v>
      </c>
      <c r="G63" s="214">
        <v>5</v>
      </c>
      <c r="H63" s="612"/>
      <c r="I63" s="219" t="str">
        <f>'DP cal.'!N35</f>
        <v>There is no problem or all problems have already been solved and the defects are not detected.
3S is conducted as the 3S standards.
※Confirm min. 1 example of the completed measures on-site.
(DP Manager)</v>
      </c>
      <c r="J63" s="216"/>
    </row>
    <row r="64" spans="3:10" ht="99">
      <c r="C64" s="601"/>
      <c r="D64" s="609"/>
      <c r="E64" s="605"/>
      <c r="F64" s="213" t="str">
        <f t="shared" si="0"/>
        <v>C</v>
      </c>
      <c r="G64" s="214">
        <v>1</v>
      </c>
      <c r="H64" s="610" t="s">
        <v>653</v>
      </c>
      <c r="I64" s="219" t="str">
        <f>'DP cal.'!F36</f>
        <v>Unattended areas are not inspected regularly. Or the inspection is carried out but there is no plan to solve the problems.
Firefighting equipment (fire alarms, fire-extinguishing equipment) at unattended areas has defect. (If any one of them has defect, the judgement is "No".)
※Confirm where is designated as unattended areas in the site. 
(DP Manager)</v>
      </c>
      <c r="J64" s="216"/>
    </row>
    <row r="65" spans="3:10" ht="99">
      <c r="C65" s="601"/>
      <c r="D65" s="609"/>
      <c r="E65" s="605"/>
      <c r="F65" s="213" t="str">
        <f t="shared" si="0"/>
        <v>B-</v>
      </c>
      <c r="G65" s="214">
        <v>2</v>
      </c>
      <c r="H65" s="611"/>
      <c r="I65" s="219" t="str">
        <f>'DP cal.'!H36</f>
        <v>The inspection is carried out and measures to solve the problems are planned, but the plan is delayed.
Firefighting equipment at unattended areas has no defect.
※The plan is not reviewed to catch up.
※Check min. 1 site where the inspection was carried out.
(DP Manager)</v>
      </c>
      <c r="J65" s="216"/>
    </row>
    <row r="66" spans="3:10" ht="82.5">
      <c r="C66" s="601"/>
      <c r="D66" s="609"/>
      <c r="E66" s="605"/>
      <c r="F66" s="213" t="str">
        <f t="shared" si="0"/>
        <v>B</v>
      </c>
      <c r="G66" s="214">
        <v>3</v>
      </c>
      <c r="H66" s="611"/>
      <c r="I66" s="219" t="str">
        <f>'DP cal.'!J36</f>
        <v>There is the plan to solve the problems and the measures are conducted as planed.
If the plan is delayed with adequate reason, it is reviewed and the measures are conducted according to the reviewed plan. (The measure is on-going.)
Firefighting equipment at unattended areas has no defect.
(DP Manager)</v>
      </c>
      <c r="J66" s="216"/>
    </row>
    <row r="67" spans="3:10" ht="82.5">
      <c r="C67" s="601"/>
      <c r="D67" s="609"/>
      <c r="E67" s="605"/>
      <c r="F67" s="213" t="str">
        <f t="shared" si="0"/>
        <v>B+</v>
      </c>
      <c r="G67" s="214">
        <v>4</v>
      </c>
      <c r="H67" s="611"/>
      <c r="I67" s="219" t="str">
        <f>'DP cal.'!L36</f>
        <v xml:space="preserve">When the problems are found, the plan of the measure is developed and moved forward. (The measure is in-going.)
Firefighting equipment at unattended areas has no defect.
(DP Manager)
</v>
      </c>
      <c r="J67" s="216"/>
    </row>
    <row r="68" spans="3:10" ht="49.5">
      <c r="C68" s="601"/>
      <c r="D68" s="609"/>
      <c r="E68" s="605"/>
      <c r="F68" s="213" t="str">
        <f t="shared" si="0"/>
        <v>A</v>
      </c>
      <c r="G68" s="214">
        <v>5</v>
      </c>
      <c r="H68" s="612"/>
      <c r="I68" s="219" t="str">
        <f>'DP cal.'!N36</f>
        <v>There is no problem or all problems have already been solved and the defects are not detected.
※Check min. 1 example of the completed measures on-site.
(DP Manager)</v>
      </c>
      <c r="J68" s="216"/>
    </row>
    <row r="69" spans="3:10" ht="33">
      <c r="C69" s="601" t="s">
        <v>33</v>
      </c>
      <c r="D69" s="228"/>
      <c r="E69" s="211"/>
      <c r="F69" s="213" t="str">
        <f t="shared" si="0"/>
        <v>C</v>
      </c>
      <c r="G69" s="214">
        <v>1</v>
      </c>
      <c r="H69" s="602" t="s">
        <v>671</v>
      </c>
      <c r="I69" s="229" t="str">
        <f>'DP cal.'!F39</f>
        <v>There is a EHS manager.
(DP manager)</v>
      </c>
      <c r="J69" s="216"/>
    </row>
    <row r="70" spans="3:10" ht="33">
      <c r="C70" s="601"/>
      <c r="D70" s="228"/>
      <c r="E70" s="211"/>
      <c r="F70" s="213" t="str">
        <f t="shared" ref="F70:F78" si="1">IF(G70=1,"C",IF(G70=2,"B-",IF(G70=3,"B",IF(G70=4,"B+",IF(G70=5,"A")))))</f>
        <v>B-</v>
      </c>
      <c r="G70" s="214">
        <v>2</v>
      </c>
      <c r="H70" s="603"/>
      <c r="I70" s="229" t="str">
        <f>'DP cal.'!H39</f>
        <v>There is a EHS manager but he/she has multiple role.
(DP manager)</v>
      </c>
      <c r="J70" s="216"/>
    </row>
    <row r="71" spans="3:10" ht="66">
      <c r="C71" s="601"/>
      <c r="D71" s="228"/>
      <c r="E71" s="211"/>
      <c r="F71" s="213" t="str">
        <f t="shared" si="1"/>
        <v>B</v>
      </c>
      <c r="G71" s="214">
        <v>3</v>
      </c>
      <c r="H71" s="603"/>
      <c r="I71" s="229" t="str">
        <f>'DP cal.'!J39</f>
        <v>Safety/DP Manager's role is exclusive duty in plant. (Safety/DP Manager is managing only safety and DP, and no any other jobs are assigned.)
And, a safety staff is asigned in plant.
(DP Manager)</v>
      </c>
      <c r="J71" s="216"/>
    </row>
    <row r="72" spans="3:10" ht="66">
      <c r="C72" s="601"/>
      <c r="D72" s="228"/>
      <c r="E72" s="211"/>
      <c r="F72" s="213" t="str">
        <f t="shared" si="1"/>
        <v>B+</v>
      </c>
      <c r="G72" s="214">
        <v>4</v>
      </c>
      <c r="H72" s="603"/>
      <c r="I72" s="229" t="str">
        <f>'DP cal.'!L39</f>
        <v>Safety/DP Manager's role is exclusive duty in plant. (Safety/DP Manager is managing only safety and DP, and no any other jobs are assigned.)
And, a safety staff's role also exclusive duty.
(DP Manager)</v>
      </c>
      <c r="J72" s="216"/>
    </row>
    <row r="73" spans="3:10" ht="66">
      <c r="C73" s="601"/>
      <c r="D73" s="228"/>
      <c r="E73" s="211"/>
      <c r="F73" s="213" t="str">
        <f t="shared" si="1"/>
        <v>A</v>
      </c>
      <c r="G73" s="214">
        <v>5</v>
      </c>
      <c r="H73" s="604"/>
      <c r="I73" s="229" t="str">
        <f>'DP cal.'!N39</f>
        <v>Safety/DP Manager's role is exclusive duty in plant. (Safety/DP Manager is managing only safety and DP, and no any other jobs are assigned.)
And, his/her experiece is more than three years.
(DP Manager)</v>
      </c>
      <c r="J73" s="216"/>
    </row>
    <row r="74" spans="3:10" ht="16.5">
      <c r="C74" s="601"/>
      <c r="D74" s="601"/>
      <c r="E74" s="605"/>
      <c r="F74" s="213" t="str">
        <f t="shared" si="1"/>
        <v>C</v>
      </c>
      <c r="G74" s="214">
        <v>1</v>
      </c>
      <c r="H74" s="606" t="s">
        <v>694</v>
      </c>
      <c r="I74" s="215">
        <f>'DP cal.'!G40</f>
        <v>0</v>
      </c>
      <c r="J74" s="216"/>
    </row>
    <row r="75" spans="3:10" ht="16.5">
      <c r="C75" s="601"/>
      <c r="D75" s="601"/>
      <c r="E75" s="605"/>
      <c r="F75" s="213" t="str">
        <f t="shared" si="1"/>
        <v>B-</v>
      </c>
      <c r="G75" s="214">
        <v>2</v>
      </c>
      <c r="H75" s="607"/>
      <c r="I75" s="215">
        <f>'DP cal.'!H40</f>
        <v>0</v>
      </c>
      <c r="J75" s="216"/>
    </row>
    <row r="76" spans="3:10" ht="16.5">
      <c r="C76" s="601"/>
      <c r="D76" s="601"/>
      <c r="E76" s="605"/>
      <c r="F76" s="213" t="str">
        <f t="shared" si="1"/>
        <v>B</v>
      </c>
      <c r="G76" s="214">
        <v>3</v>
      </c>
      <c r="H76" s="607"/>
      <c r="I76" s="215">
        <f>'DP cal.'!J40</f>
        <v>0</v>
      </c>
      <c r="J76" s="216"/>
    </row>
    <row r="77" spans="3:10" ht="16.5">
      <c r="C77" s="601"/>
      <c r="D77" s="601"/>
      <c r="E77" s="605"/>
      <c r="F77" s="213" t="str">
        <f t="shared" si="1"/>
        <v>B+</v>
      </c>
      <c r="G77" s="214">
        <v>4</v>
      </c>
      <c r="H77" s="607"/>
      <c r="I77" s="215">
        <f>'DP cal.'!L40</f>
        <v>0</v>
      </c>
      <c r="J77" s="216"/>
    </row>
    <row r="78" spans="3:10" ht="16.5">
      <c r="C78" s="601"/>
      <c r="D78" s="601"/>
      <c r="E78" s="605"/>
      <c r="F78" s="213" t="str">
        <f t="shared" si="1"/>
        <v>A</v>
      </c>
      <c r="G78" s="214">
        <v>5</v>
      </c>
      <c r="H78" s="608"/>
      <c r="I78" s="215">
        <f>'DP cal.'!N40</f>
        <v>0</v>
      </c>
      <c r="J78" s="216"/>
    </row>
    <row r="79" spans="3:10" ht="51" customHeight="1">
      <c r="C79" s="207"/>
      <c r="D79" s="206"/>
      <c r="E79" s="206"/>
      <c r="F79" s="206"/>
      <c r="G79" s="206"/>
      <c r="H79" s="210"/>
      <c r="I79" s="207"/>
      <c r="J79" s="208"/>
    </row>
    <row r="80" spans="3:10" ht="16.5">
      <c r="C80" s="207"/>
      <c r="D80" s="206"/>
      <c r="E80" s="206"/>
      <c r="F80" s="206"/>
      <c r="G80" s="206"/>
      <c r="H80" s="210"/>
      <c r="I80" s="207"/>
      <c r="J80" s="208"/>
    </row>
    <row r="81" spans="3:10" ht="16.5">
      <c r="C81" s="207"/>
      <c r="D81" s="206"/>
      <c r="E81" s="206"/>
      <c r="F81" s="206"/>
      <c r="G81" s="206"/>
      <c r="H81" s="210"/>
      <c r="I81" s="207"/>
      <c r="J81" s="208"/>
    </row>
    <row r="82" spans="3:10" ht="16.5">
      <c r="C82" s="207"/>
      <c r="D82" s="206"/>
      <c r="E82" s="206"/>
      <c r="F82" s="206"/>
      <c r="G82" s="206"/>
      <c r="H82" s="210"/>
      <c r="I82" s="207"/>
      <c r="J82" s="208"/>
    </row>
    <row r="83" spans="3:10" ht="16.5">
      <c r="C83" s="207"/>
      <c r="D83" s="206"/>
      <c r="E83" s="206"/>
      <c r="F83" s="206"/>
      <c r="G83" s="206"/>
      <c r="H83" s="210"/>
      <c r="I83" s="207"/>
      <c r="J83" s="208"/>
    </row>
    <row r="84" spans="3:10" ht="16.5">
      <c r="C84" s="207"/>
      <c r="D84" s="206"/>
      <c r="E84" s="206"/>
      <c r="F84" s="206"/>
      <c r="G84" s="206"/>
      <c r="H84" s="210"/>
      <c r="I84" s="207"/>
      <c r="J84" s="208"/>
    </row>
    <row r="85" spans="3:10" ht="16.5">
      <c r="C85" s="207"/>
      <c r="D85" s="206"/>
      <c r="E85" s="206"/>
      <c r="F85" s="206"/>
      <c r="G85" s="206"/>
      <c r="H85" s="210"/>
      <c r="I85" s="207"/>
      <c r="J85" s="208"/>
    </row>
    <row r="86" spans="3:10" ht="16.5">
      <c r="C86" s="207"/>
      <c r="D86" s="206"/>
      <c r="E86" s="206"/>
      <c r="F86" s="206"/>
      <c r="G86" s="206"/>
      <c r="H86" s="210"/>
      <c r="I86" s="207"/>
      <c r="J86" s="208"/>
    </row>
    <row r="87" spans="3:10" ht="16.5">
      <c r="H87" s="210"/>
      <c r="I87" s="207"/>
      <c r="J87" s="208"/>
    </row>
    <row r="88" spans="3:10" ht="49.5" hidden="1" customHeight="1">
      <c r="H88" s="230" t="s">
        <v>441</v>
      </c>
      <c r="I88" s="231" t="s">
        <v>442</v>
      </c>
      <c r="J88" s="232"/>
    </row>
    <row r="89" spans="3:10" ht="33" hidden="1" customHeight="1">
      <c r="H89" s="230"/>
      <c r="I89" s="231"/>
      <c r="J89" s="232"/>
    </row>
    <row r="90" spans="3:10" ht="82.5" hidden="1" customHeight="1">
      <c r="H90" s="230" t="s">
        <v>449</v>
      </c>
      <c r="I90" s="231" t="s">
        <v>450</v>
      </c>
      <c r="J90" s="232"/>
    </row>
    <row r="91" spans="3:10" ht="33" hidden="1" customHeight="1">
      <c r="H91" s="230"/>
      <c r="I91" s="231" t="s">
        <v>455</v>
      </c>
      <c r="J91" s="232"/>
    </row>
    <row r="92" spans="3:10" ht="49.5" hidden="1" customHeight="1">
      <c r="H92" s="230" t="s">
        <v>457</v>
      </c>
      <c r="I92" s="233"/>
      <c r="J92" s="230"/>
    </row>
    <row r="93" spans="3:10" ht="49.5" hidden="1" customHeight="1">
      <c r="H93" s="230"/>
      <c r="I93" s="231"/>
      <c r="J93" s="232"/>
    </row>
    <row r="94" spans="3:10" ht="49.5" hidden="1" customHeight="1">
      <c r="H94" s="230" t="s">
        <v>461</v>
      </c>
      <c r="I94" s="231" t="s">
        <v>462</v>
      </c>
      <c r="J94" s="232"/>
    </row>
    <row r="95" spans="3:10" ht="33" hidden="1" customHeight="1">
      <c r="H95" s="230"/>
      <c r="I95" s="231" t="s">
        <v>467</v>
      </c>
      <c r="J95" s="232"/>
    </row>
    <row r="96" spans="3:10" ht="49.5" hidden="1" customHeight="1">
      <c r="H96" s="234" t="s">
        <v>470</v>
      </c>
      <c r="I96" s="235" t="s">
        <v>471</v>
      </c>
      <c r="J96" s="236"/>
    </row>
    <row r="97" spans="8:10" ht="66" hidden="1" customHeight="1">
      <c r="H97" s="234"/>
      <c r="I97" s="235"/>
      <c r="J97" s="236"/>
    </row>
    <row r="98" spans="8:10" ht="16.5">
      <c r="H98" s="210"/>
      <c r="I98" s="207"/>
      <c r="J98" s="208"/>
    </row>
  </sheetData>
  <mergeCells count="31">
    <mergeCell ref="C4:C13"/>
    <mergeCell ref="D4:D9"/>
    <mergeCell ref="E4:E9"/>
    <mergeCell ref="H4:H8"/>
    <mergeCell ref="H9:H13"/>
    <mergeCell ref="H22:H26"/>
    <mergeCell ref="H27:H31"/>
    <mergeCell ref="H32:H36"/>
    <mergeCell ref="C37:C44"/>
    <mergeCell ref="D37:D40"/>
    <mergeCell ref="E37:E40"/>
    <mergeCell ref="H37:H38"/>
    <mergeCell ref="H40:H44"/>
    <mergeCell ref="C14:C36"/>
    <mergeCell ref="D14:D32"/>
    <mergeCell ref="E14:E32"/>
    <mergeCell ref="H14:H16"/>
    <mergeCell ref="H17:H21"/>
    <mergeCell ref="C45:C68"/>
    <mergeCell ref="D45:D68"/>
    <mergeCell ref="E45:E68"/>
    <mergeCell ref="H46:H50"/>
    <mergeCell ref="H51:H53"/>
    <mergeCell ref="H54:H58"/>
    <mergeCell ref="H59:H63"/>
    <mergeCell ref="H64:H68"/>
    <mergeCell ref="C69:C78"/>
    <mergeCell ref="H69:H73"/>
    <mergeCell ref="D74:D78"/>
    <mergeCell ref="E74:E78"/>
    <mergeCell ref="H74:H78"/>
  </mergeCells>
  <phoneticPr fontId="6"/>
  <conditionalFormatting sqref="J4:J78">
    <cfRule type="containsText" dxfId="5" priority="1" operator="containsText" text="No">
      <formula>NOT(ISERROR(SEARCH("No",J4)))</formula>
    </cfRule>
  </conditionalFormatting>
  <pageMargins left="0.7" right="0.7" top="0.75" bottom="0.75" header="0.3" footer="0.3"/>
  <pageSetup paperSize="8" scale="48"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32735-0E5C-44BB-94FE-CA83BF6280F7}">
  <sheetPr codeName="Sheet14">
    <tabColor theme="8" tint="0.59999389629810485"/>
  </sheetPr>
  <dimension ref="B2:J17"/>
  <sheetViews>
    <sheetView zoomScale="78" zoomScaleNormal="100" workbookViewId="0">
      <selection activeCell="E34" sqref="E34"/>
    </sheetView>
  </sheetViews>
  <sheetFormatPr defaultColWidth="8.85546875" defaultRowHeight="14.45"/>
  <cols>
    <col min="1" max="1" width="1.7109375" customWidth="1"/>
    <col min="3" max="3" width="15.140625" bestFit="1" customWidth="1"/>
    <col min="4" max="4" width="28.85546875" hidden="1" customWidth="1"/>
    <col min="5" max="5" width="19.140625" hidden="1" customWidth="1"/>
    <col min="6" max="7" width="7.42578125" customWidth="1"/>
    <col min="8" max="8" width="15.5703125" customWidth="1"/>
    <col min="9" max="9" width="118.5703125" customWidth="1"/>
    <col min="10" max="10" width="10.140625" style="22" customWidth="1"/>
  </cols>
  <sheetData>
    <row r="2" spans="2:10" ht="16.5">
      <c r="B2" s="237"/>
      <c r="C2" s="237"/>
      <c r="D2" s="237"/>
      <c r="E2" s="240"/>
      <c r="F2" s="240"/>
      <c r="G2" s="240"/>
      <c r="H2" s="238"/>
      <c r="I2" s="238"/>
      <c r="J2" s="239"/>
    </row>
    <row r="3" spans="2:10" ht="33">
      <c r="B3" s="237"/>
      <c r="C3" s="212" t="s">
        <v>684</v>
      </c>
      <c r="D3" s="212" t="s">
        <v>478</v>
      </c>
      <c r="E3" s="212" t="s">
        <v>479</v>
      </c>
      <c r="F3" s="212" t="s">
        <v>8</v>
      </c>
      <c r="G3" s="212" t="s">
        <v>480</v>
      </c>
      <c r="H3" s="212" t="s">
        <v>240</v>
      </c>
      <c r="I3" s="212" t="s">
        <v>481</v>
      </c>
      <c r="J3" s="212" t="s">
        <v>242</v>
      </c>
    </row>
    <row r="4" spans="2:10" ht="49.5">
      <c r="C4" s="622" t="s">
        <v>31</v>
      </c>
      <c r="D4" s="622"/>
      <c r="E4" s="624"/>
      <c r="F4" s="213" t="str">
        <f>IF(G4=1,"C",IF(G4=2,"B-",IF(G4=3,"B",IF(G4=4,"B+",IF(G4=5,"A")))))</f>
        <v>B-</v>
      </c>
      <c r="G4" s="244">
        <v>2</v>
      </c>
      <c r="H4" s="622" t="s">
        <v>94</v>
      </c>
      <c r="I4" s="245" t="str">
        <f>'DP cal.'!H24</f>
        <v>Management can describe and explain the site's OH&amp;S objectives and goals.
(System: Manager: No.66)
 *Ask Manager (not safety)</v>
      </c>
      <c r="J4" s="243"/>
    </row>
    <row r="5" spans="2:10" ht="49.5">
      <c r="C5" s="622"/>
      <c r="D5" s="622"/>
      <c r="E5" s="624"/>
      <c r="F5" s="213" t="str">
        <f t="shared" ref="F5:F15" si="0">IF(G5=1,"C",IF(G5=2,"B-",IF(G5=3,"B",IF(G5=4,"B+",IF(G5=5,"A")))))</f>
        <v>B</v>
      </c>
      <c r="G5" s="244">
        <v>3</v>
      </c>
      <c r="H5" s="622"/>
      <c r="I5" s="245" t="str">
        <f>'DP cal.'!J24</f>
        <v>Management can describe and explain the site's OH&amp;S objectives and goals.
(System: Manager: No.66)
 *Ask Manager (not safety)</v>
      </c>
      <c r="J5" s="243"/>
    </row>
    <row r="6" spans="2:10" ht="49.5">
      <c r="C6" s="622"/>
      <c r="D6" s="622"/>
      <c r="E6" s="624"/>
      <c r="F6" s="213" t="str">
        <f t="shared" si="0"/>
        <v>B+</v>
      </c>
      <c r="G6" s="244">
        <v>4</v>
      </c>
      <c r="H6" s="622"/>
      <c r="I6" s="245" t="str">
        <f>'DP cal.'!L24</f>
        <v>The plan contains goals to be achieved which are relevant to the incidents and risks identified by the SBU.
(System: Manager: No.98)
 *Ask Manager (not safety)</v>
      </c>
      <c r="J6" s="243"/>
    </row>
    <row r="7" spans="2:10" ht="66">
      <c r="C7" s="622"/>
      <c r="D7" s="622"/>
      <c r="E7" s="624"/>
      <c r="F7" s="213" t="str">
        <f t="shared" si="0"/>
        <v>B-</v>
      </c>
      <c r="G7" s="244">
        <v>2</v>
      </c>
      <c r="H7" s="625" t="s">
        <v>96</v>
      </c>
      <c r="I7" s="223" t="str">
        <f>'DP cal.'!H25</f>
        <v>DP KPIs are tracked at plant, department and line level.
To solve issues on DP, site leadership follow DP KPIs, and give directions to review the DP program if necessary.
(Leadership: Plant Manager: No.6)
 *Ask Manager (not safety)</v>
      </c>
      <c r="J7" s="243"/>
    </row>
    <row r="8" spans="2:10" ht="66">
      <c r="C8" s="622"/>
      <c r="D8" s="243"/>
      <c r="E8" s="242"/>
      <c r="F8" s="213" t="str">
        <f t="shared" si="0"/>
        <v>B</v>
      </c>
      <c r="G8" s="244">
        <v>3</v>
      </c>
      <c r="H8" s="625"/>
      <c r="I8" s="223" t="str">
        <f>'DP cal.'!J25</f>
        <v>DP KPIs are tracked at plant, department and line level.
To solve issues on DP, site leadership follow DP KPIs, and give directions to review the DP program if necessary.
(Leadership: Plant Manager: No.6)
 *Ask Manager (not safety)</v>
      </c>
      <c r="J8" s="243"/>
    </row>
    <row r="9" spans="2:10" ht="99">
      <c r="C9" s="622"/>
      <c r="D9" s="243"/>
      <c r="E9" s="242"/>
      <c r="F9" s="213" t="str">
        <f t="shared" si="0"/>
        <v>B+</v>
      </c>
      <c r="G9" s="244">
        <v>4</v>
      </c>
      <c r="H9" s="625"/>
      <c r="I9" s="223" t="str">
        <f>'DP cal.'!L25</f>
        <v>DP KPIs are tracked positively at plant, department and line level - using "Leading indicators"(e.g. Completion rate of training, result of inspection, etc.)
Site leadership follow not only lagging indicator(e.g. # of fires), but also leading indicators, and give directions to review and/or improve DP programs if necessary.
(Leadership: Plant Manager: No.14)
 *Ask Manager (not safety)</v>
      </c>
      <c r="J9" s="243"/>
    </row>
    <row r="10" spans="2:10" ht="82.5">
      <c r="C10" s="622"/>
      <c r="D10" s="243"/>
      <c r="E10" s="242"/>
      <c r="F10" s="213" t="str">
        <f t="shared" si="0"/>
        <v>A</v>
      </c>
      <c r="G10" s="244">
        <v>5</v>
      </c>
      <c r="H10" s="625"/>
      <c r="I10" s="223" t="str">
        <f>'DP cal.'!N25</f>
        <v>The Plant Manager can describe his/her DP strategy and its goals, and how it will be implemented and the goals achieved.
And, the strategy has been reviewed quarterly - its progress, validity. Also, revision/instruction for the strategy result have been implemented by plant manager.
(Leadership: Plant manager: No.21)
 *Ask Manager (not safety)</v>
      </c>
      <c r="J10" s="246"/>
    </row>
    <row r="11" spans="2:10" ht="49.5">
      <c r="C11" s="622" t="s">
        <v>33</v>
      </c>
      <c r="D11" s="243"/>
      <c r="E11" s="242"/>
      <c r="F11" s="213" t="str">
        <f t="shared" si="0"/>
        <v>C</v>
      </c>
      <c r="G11" s="242">
        <v>1</v>
      </c>
      <c r="H11" s="623" t="s">
        <v>137</v>
      </c>
      <c r="I11" s="217" t="str">
        <f>'DP cal.'!F41</f>
        <v>Budget for recurrence prevention, RA countermeasure, and working hours (human resource) is not enough.
(DP Manager)
 *Ask Manager (not safety)</v>
      </c>
      <c r="J11" s="247"/>
    </row>
    <row r="12" spans="2:10" ht="49.5">
      <c r="C12" s="622"/>
      <c r="D12" s="243"/>
      <c r="E12" s="242"/>
      <c r="F12" s="213" t="str">
        <f t="shared" si="0"/>
        <v>B-</v>
      </c>
      <c r="G12" s="242">
        <v>2</v>
      </c>
      <c r="H12" s="623"/>
      <c r="I12" s="217" t="str">
        <f>'DP cal.'!H41</f>
        <v>There is a lack of budget for either recurrence prevention, RA countermeasure, and working hours(human resource).
(DP Manager)
 *Ask Manager (not safety)</v>
      </c>
      <c r="J12" s="247"/>
    </row>
    <row r="13" spans="2:10" ht="49.5">
      <c r="C13" s="622"/>
      <c r="D13" s="243"/>
      <c r="E13" s="242"/>
      <c r="F13" s="213" t="str">
        <f t="shared" si="0"/>
        <v>B</v>
      </c>
      <c r="G13" s="242">
        <v>3</v>
      </c>
      <c r="H13" s="623"/>
      <c r="I13" s="217" t="str">
        <f>'DP cal.'!J41</f>
        <v>Budget for recurrence prevention, RA countermeasure, and working hours (human resource) is prepared enough as plan.
(DP Manager)
 *Ask Manager (not safety)</v>
      </c>
      <c r="J13" s="247"/>
    </row>
    <row r="14" spans="2:10" ht="49.5">
      <c r="C14" s="622"/>
      <c r="D14" s="243"/>
      <c r="E14" s="242"/>
      <c r="F14" s="213" t="str">
        <f t="shared" si="0"/>
        <v>B+</v>
      </c>
      <c r="G14" s="242">
        <v>4</v>
      </c>
      <c r="H14" s="623"/>
      <c r="I14" s="217" t="str">
        <f>'DP cal.'!L41</f>
        <v>Budget is used for recurrence prevention, RA countermeasure, and any other activities as planed.
(DP Manager)
 *Ask Manager (not safety)</v>
      </c>
      <c r="J14" s="247"/>
    </row>
    <row r="15" spans="2:10" ht="49.5">
      <c r="C15" s="622"/>
      <c r="D15" s="243"/>
      <c r="E15" s="242"/>
      <c r="F15" s="213" t="str">
        <f t="shared" si="0"/>
        <v>A</v>
      </c>
      <c r="G15" s="242">
        <v>5</v>
      </c>
      <c r="H15" s="623"/>
      <c r="I15" s="217" t="str">
        <f>'DP cal.'!N41</f>
        <v>Budget is prepared even for sudden accidents. Or, in case of sudden accidents, additional budget is obtained, and recurrence prevention, RA countermeasure, and any other activities are implemented ahead of schedule.
(DP Manager)</v>
      </c>
      <c r="J15" s="247"/>
    </row>
    <row r="16" spans="2:10" ht="16.5">
      <c r="C16" s="237"/>
      <c r="D16" s="237"/>
      <c r="E16" s="237"/>
      <c r="F16" s="237"/>
      <c r="G16" s="237"/>
      <c r="H16" s="241"/>
      <c r="I16" s="238"/>
      <c r="J16" s="239"/>
    </row>
    <row r="17" spans="3:10" ht="16.5">
      <c r="C17" s="237"/>
      <c r="D17" s="237"/>
      <c r="E17" s="237"/>
      <c r="F17" s="237"/>
      <c r="G17" s="237"/>
      <c r="H17" s="241"/>
      <c r="I17" s="238"/>
      <c r="J17" s="239"/>
    </row>
  </sheetData>
  <mergeCells count="7">
    <mergeCell ref="C11:C15"/>
    <mergeCell ref="H11:H15"/>
    <mergeCell ref="C4:C10"/>
    <mergeCell ref="D4:D7"/>
    <mergeCell ref="E4:E7"/>
    <mergeCell ref="H4:H6"/>
    <mergeCell ref="H7:H10"/>
  </mergeCells>
  <phoneticPr fontId="6"/>
  <conditionalFormatting sqref="J4:J15">
    <cfRule type="containsText" dxfId="4" priority="1" operator="containsText" text="No">
      <formula>NOT(ISERROR(SEARCH("No",J4)))</formula>
    </cfRule>
  </conditionalFormatting>
  <pageMargins left="0.7" right="0.7" top="0.75" bottom="0.75" header="0.3" footer="0.3"/>
  <pageSetup paperSize="8" scale="48"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848F3-789F-4352-A2A7-A6C8F4073585}">
  <sheetPr codeName="Sheet15">
    <tabColor theme="8" tint="0.59999389629810485"/>
  </sheetPr>
  <dimension ref="B2:J49"/>
  <sheetViews>
    <sheetView topLeftCell="A23" zoomScale="61" zoomScaleNormal="100" workbookViewId="0">
      <selection activeCell="E34" sqref="E34"/>
    </sheetView>
  </sheetViews>
  <sheetFormatPr defaultColWidth="8.85546875" defaultRowHeight="14.45"/>
  <cols>
    <col min="1" max="1" width="1.7109375" customWidth="1"/>
    <col min="3" max="3" width="15.140625" style="48" bestFit="1" customWidth="1"/>
    <col min="4" max="4" width="28.85546875" hidden="1" customWidth="1"/>
    <col min="5" max="5" width="19.140625" hidden="1" customWidth="1"/>
    <col min="6" max="7" width="7.42578125" customWidth="1"/>
    <col min="8" max="8" width="25.42578125" customWidth="1"/>
    <col min="9" max="9" width="129.42578125" customWidth="1"/>
    <col min="10" max="10" width="10.140625" style="22" customWidth="1"/>
  </cols>
  <sheetData>
    <row r="2" spans="2:10" ht="16.5">
      <c r="H2" s="240"/>
      <c r="I2" s="248"/>
      <c r="J2" s="239"/>
    </row>
    <row r="3" spans="2:10" ht="33">
      <c r="B3" s="237"/>
      <c r="C3" s="212" t="s">
        <v>684</v>
      </c>
      <c r="D3" s="212" t="s">
        <v>478</v>
      </c>
      <c r="E3" s="212" t="s">
        <v>479</v>
      </c>
      <c r="F3" s="212" t="s">
        <v>8</v>
      </c>
      <c r="G3" s="212" t="s">
        <v>480</v>
      </c>
      <c r="H3" s="212" t="s">
        <v>240</v>
      </c>
      <c r="I3" s="212" t="s">
        <v>481</v>
      </c>
      <c r="J3" s="212" t="s">
        <v>242</v>
      </c>
    </row>
    <row r="4" spans="2:10" ht="49.5">
      <c r="B4" s="237"/>
      <c r="C4" s="622" t="s">
        <v>29</v>
      </c>
      <c r="D4" s="622"/>
      <c r="E4" s="624"/>
      <c r="F4" s="249" t="str">
        <f>IF(G4=1,"C",IF(G4=2,"B-",IF(G4=3,"B",IF(G4=4,"B+",IF(G4=5,"A")))))</f>
        <v>C</v>
      </c>
      <c r="G4" s="244">
        <v>1</v>
      </c>
      <c r="H4" s="622" t="s">
        <v>69</v>
      </c>
      <c r="I4" s="222" t="str">
        <f>'DP cal.'!F16</f>
        <v>There is evidence that actions have been taken to prevent recurring incidents. And SVs can explain it.
(System: Safety Manager: No.30)
 *ask SVs</v>
      </c>
      <c r="J4" s="243"/>
    </row>
    <row r="5" spans="2:10" ht="82.5">
      <c r="B5" s="237"/>
      <c r="C5" s="622"/>
      <c r="D5" s="622"/>
      <c r="E5" s="624"/>
      <c r="F5" s="249" t="str">
        <f t="shared" ref="F5:F31" si="0">IF(G5=1,"C",IF(G5=2,"B-",IF(G5=3,"B",IF(G5=4,"B+",IF(G5=5,"A")))))</f>
        <v>B</v>
      </c>
      <c r="G5" s="244">
        <v>3</v>
      </c>
      <c r="H5" s="622"/>
      <c r="I5" s="222" t="str">
        <f>'DP cal.'!J16</f>
        <v>SVs can explain what actions are required for recurrence prevention when occurring a DP accident.(SV can explain that measures are taken in terms of prevention, detection, and protection from the analysis.) In addition, SVs can explain how to prevent recurrence of accidents that occurred in their own processes.
(System: Safety Manager: No.86)
 *Ask SVs</v>
      </c>
      <c r="J5" s="243"/>
    </row>
    <row r="6" spans="2:10" ht="99">
      <c r="B6" s="237"/>
      <c r="C6" s="622"/>
      <c r="D6" s="622"/>
      <c r="E6" s="624"/>
      <c r="F6" s="249" t="str">
        <f t="shared" si="0"/>
        <v>A</v>
      </c>
      <c r="G6" s="244">
        <v>5</v>
      </c>
      <c r="H6" s="622"/>
      <c r="I6" s="222" t="str">
        <f>'DP cal.'!N16</f>
        <v>SVs can explain how such reviews are completed and why that method(s) is effective by 4M change exmples and so on, providing feedback to SBU and assisting in determining countermeasures. (Example: Share more valid safety measures than measures proposed by GBS/SBU)
*Subject to the countermeasures from DP incident, Near miss and defect information raised by operator.
(System: Safety Manager: No.140)
 *Ask SVs Manager: No.140)
 *Ask SVs</v>
      </c>
      <c r="J6" s="243"/>
    </row>
    <row r="7" spans="2:10" ht="82.5">
      <c r="C7" s="622"/>
      <c r="D7" s="622"/>
      <c r="E7" s="624"/>
      <c r="F7" s="249" t="str">
        <f t="shared" si="0"/>
        <v>A</v>
      </c>
      <c r="G7" s="244">
        <v>5</v>
      </c>
      <c r="H7" s="247" t="s">
        <v>696</v>
      </c>
      <c r="I7" s="217" t="str">
        <f>'DP cal.'!N17</f>
        <v>Past countermeasures have been re-checked its implementation status periodically. (Subject to DP incidents that have occurred in the past at site or their workplace.)
 *At least, need to check its progress within 1 year.
(Safety Manager)
 *Also ask SVs</v>
      </c>
      <c r="J7" s="247"/>
    </row>
    <row r="8" spans="2:10" ht="82.5">
      <c r="C8" s="243" t="s">
        <v>30</v>
      </c>
      <c r="D8" s="243"/>
      <c r="E8" s="243"/>
      <c r="F8" s="249" t="str">
        <f t="shared" si="0"/>
        <v>B+</v>
      </c>
      <c r="G8" s="244">
        <v>4</v>
      </c>
      <c r="H8" s="247" t="s">
        <v>688</v>
      </c>
      <c r="I8" s="219" t="str">
        <f>'DP cal.'!L19</f>
        <v>The result of BSJP Tire ver. fire prevention RA have been shared in the plant. 
 *Operators are informed of risk and countermeasure for gross risk III/IV. If there is no Risk III/IV, they are informed that there is none.
 *If BSJP Tire ver. fire prevention RA is being assessed, the deployment status of IMD ver. Fire RA is confirmed.
(DP Manager)
 *Ask SVs</v>
      </c>
      <c r="J8" s="247"/>
    </row>
    <row r="9" spans="2:10" ht="82.5">
      <c r="C9" s="622" t="s">
        <v>32</v>
      </c>
      <c r="D9" s="627"/>
      <c r="E9" s="624"/>
      <c r="F9" s="249" t="str">
        <f t="shared" si="0"/>
        <v>B-</v>
      </c>
      <c r="G9" s="244">
        <v>2</v>
      </c>
      <c r="H9" s="243" t="s">
        <v>692</v>
      </c>
      <c r="I9" s="222" t="str">
        <f>'DP cal.'!H27</f>
        <v>There is an officially appointed 3S leader on site. There is evidence of 3S inspections and recommended actions to improve 3S.
*3S promotion organization for own process is clear. The group members and group leader are appointed. 
(System: Safety Manager: No.44+45)
　*Ask SVs</v>
      </c>
      <c r="J9" s="24"/>
    </row>
    <row r="10" spans="2:10" ht="49.5">
      <c r="C10" s="622"/>
      <c r="D10" s="627"/>
      <c r="E10" s="624"/>
      <c r="F10" s="249" t="str">
        <f t="shared" si="0"/>
        <v>C</v>
      </c>
      <c r="G10" s="244">
        <v>1</v>
      </c>
      <c r="H10" s="625" t="s">
        <v>697</v>
      </c>
      <c r="I10" s="251" t="str">
        <f>'DP cal.'!F28</f>
        <v>KYT has not been implemented.
(Safety Manager)
　*Ask SVs</v>
      </c>
      <c r="J10" s="246"/>
    </row>
    <row r="11" spans="2:10" ht="49.5">
      <c r="C11" s="622"/>
      <c r="D11" s="627"/>
      <c r="E11" s="624"/>
      <c r="F11" s="249" t="str">
        <f t="shared" si="0"/>
        <v>B-</v>
      </c>
      <c r="G11" s="244">
        <v>2</v>
      </c>
      <c r="H11" s="625"/>
      <c r="I11" s="252" t="str">
        <f>'DP cal.'!H28</f>
        <v>There is evidence of a defined KY process that been communicated with all staff at least once in the past year.
(System: Manager: No.26)
　*Ask SVs</v>
      </c>
      <c r="J11" s="246"/>
    </row>
    <row r="12" spans="2:10" ht="49.5">
      <c r="C12" s="622"/>
      <c r="D12" s="627"/>
      <c r="E12" s="624"/>
      <c r="F12" s="249" t="str">
        <f t="shared" si="0"/>
        <v>B</v>
      </c>
      <c r="G12" s="244">
        <v>3</v>
      </c>
      <c r="H12" s="625"/>
      <c r="I12" s="253" t="str">
        <f>'DP cal.'!J28</f>
        <v>There is an officially appointed KY leader and KY representatives on site.
(System: Manager: No.55)
　*Ask SVs</v>
      </c>
      <c r="J12" s="246"/>
    </row>
    <row r="13" spans="2:10" ht="66">
      <c r="C13" s="622"/>
      <c r="D13" s="627"/>
      <c r="E13" s="624"/>
      <c r="F13" s="249" t="str">
        <f t="shared" si="0"/>
        <v>B+</v>
      </c>
      <c r="G13" s="244">
        <v>4</v>
      </c>
      <c r="H13" s="625"/>
      <c r="I13" s="253" t="str">
        <f>'DP cal.'!L28</f>
        <v>KYT records show that all teammates and temporary staff have submitted a KYT within the last 3 months.
KYT records indicate that KYT is completed periodically in accordance with SBU and/or site standard by everyone on site. 
(System: Safety Manager: No.83+112)
　*Ask SVs</v>
      </c>
      <c r="J13" s="246"/>
    </row>
    <row r="14" spans="2:10" ht="66">
      <c r="C14" s="622"/>
      <c r="D14" s="627"/>
      <c r="E14" s="624"/>
      <c r="F14" s="249" t="str">
        <f t="shared" si="0"/>
        <v>A</v>
      </c>
      <c r="G14" s="244">
        <v>5</v>
      </c>
      <c r="H14" s="625"/>
      <c r="I14" s="222" t="str">
        <f>'DP cal.'!N28</f>
        <v>The KYT activity is evaluated and opportunity for improvement is discussed with the plant manager annually. 
*SVs can indicate improvements for next year's activities based on comments and advice from plant manager.
(System: Safety Manager: No.113)
　*Ask SVs</v>
      </c>
      <c r="J14" s="246"/>
    </row>
    <row r="15" spans="2:10" ht="49.5">
      <c r="C15" s="622"/>
      <c r="D15" s="627"/>
      <c r="E15" s="624"/>
      <c r="F15" s="249" t="str">
        <f t="shared" si="0"/>
        <v>C</v>
      </c>
      <c r="G15" s="242">
        <v>1</v>
      </c>
      <c r="H15" s="247" t="s">
        <v>698</v>
      </c>
      <c r="I15" s="254" t="str">
        <f>'DP cal.'!F29</f>
        <v>Autonomously KY has not been conducted.
(SVs)</v>
      </c>
      <c r="J15" s="247"/>
    </row>
    <row r="16" spans="2:10" ht="33">
      <c r="C16" s="622"/>
      <c r="D16" s="627"/>
      <c r="E16" s="624"/>
      <c r="F16" s="249" t="str">
        <f t="shared" si="0"/>
        <v>C</v>
      </c>
      <c r="G16" s="244">
        <v>1</v>
      </c>
      <c r="H16" s="628" t="s">
        <v>699</v>
      </c>
      <c r="I16" s="255" t="str">
        <f>'DP cal.'!F30</f>
        <v>All teammates have not been received training of Common Fire Prevention Rule.
(SVs)</v>
      </c>
      <c r="J16" s="247"/>
    </row>
    <row r="17" spans="3:10" ht="66">
      <c r="C17" s="622"/>
      <c r="D17" s="627"/>
      <c r="E17" s="624"/>
      <c r="F17" s="249" t="str">
        <f t="shared" si="0"/>
        <v>B+</v>
      </c>
      <c r="G17" s="244">
        <v>4</v>
      </c>
      <c r="H17" s="628"/>
      <c r="I17" s="219" t="str">
        <f>'DP cal.'!L30</f>
        <v>Managers and SVs check GENBA by patrol or something to make teammates follow Common Fire Prevention Rule. And, give teammates feedback to operators.
*Confirmation of records indicating that checks and feedback have been conducted.
(SVs)</v>
      </c>
      <c r="J17" s="247"/>
    </row>
    <row r="18" spans="3:10" ht="66">
      <c r="C18" s="622"/>
      <c r="D18" s="627"/>
      <c r="E18" s="624"/>
      <c r="F18" s="249" t="str">
        <f t="shared" si="0"/>
        <v>B+</v>
      </c>
      <c r="G18" s="244">
        <v>4</v>
      </c>
      <c r="H18" s="626" t="s">
        <v>629</v>
      </c>
      <c r="I18" s="219" t="str">
        <f>'DP cal.'!L32</f>
        <v>Hot work at designated hot work area is controlled in accordance with the standards. 3S is conducted as 3S visual standards (MAP, position, number of things, cleaning level etc.) or 3S level is assessed as point 4 or more.
※Check min. 1 internal production site.
【supervisor】</v>
      </c>
      <c r="J18" s="247"/>
    </row>
    <row r="19" spans="3:10" ht="66">
      <c r="C19" s="622"/>
      <c r="D19" s="627"/>
      <c r="E19" s="624"/>
      <c r="F19" s="249" t="str">
        <f t="shared" si="0"/>
        <v>A</v>
      </c>
      <c r="G19" s="244">
        <v>5</v>
      </c>
      <c r="H19" s="626"/>
      <c r="I19" s="219" t="str">
        <f>'DP cal.'!N32</f>
        <v>Hot work at designated hot work area is controlled in accordance with the standards. 3S is conducted as 3S visual standards and best practices of other sites/industries are used for thier own improvement. (Or 3S level is assessed as point 5.)
※Confirm the improvement at min. 1 internal production site.
【supervisor】</v>
      </c>
      <c r="J19" s="247"/>
    </row>
    <row r="20" spans="3:10" ht="33">
      <c r="C20" s="622"/>
      <c r="D20" s="627"/>
      <c r="E20" s="624"/>
      <c r="F20" s="249" t="str">
        <f t="shared" si="0"/>
        <v>C</v>
      </c>
      <c r="G20" s="242">
        <v>1</v>
      </c>
      <c r="H20" s="626" t="s">
        <v>635</v>
      </c>
      <c r="I20" s="219" t="str">
        <f>'DP cal.'!F33</f>
        <v>Mobile equipment are not inspected/cleaned regularly. Or the inspection is carried out but there is no plan to solve the problems.
(SVs)</v>
      </c>
      <c r="J20" s="247"/>
    </row>
    <row r="21" spans="3:10" ht="66">
      <c r="C21" s="622"/>
      <c r="D21" s="627"/>
      <c r="E21" s="624"/>
      <c r="F21" s="249" t="str">
        <f t="shared" si="0"/>
        <v>B-</v>
      </c>
      <c r="G21" s="242">
        <v>2</v>
      </c>
      <c r="H21" s="626"/>
      <c r="I21" s="219" t="str">
        <f>'DP cal.'!H33</f>
        <v>The inspection is carried out and measures to solve the problems are planned, but the plan is delayed. Using the equipment that have a ploblem is prohibited.
*The daily inspection includes an item to check the socket part not only on the forklift side but also on the charger side.
(SVs)</v>
      </c>
      <c r="J21" s="247"/>
    </row>
    <row r="22" spans="3:10" ht="99">
      <c r="C22" s="622"/>
      <c r="D22" s="627"/>
      <c r="E22" s="624"/>
      <c r="F22" s="249" t="str">
        <f t="shared" si="0"/>
        <v>B</v>
      </c>
      <c r="G22" s="242">
        <v>3</v>
      </c>
      <c r="H22" s="626"/>
      <c r="I22" s="219" t="str">
        <f>'DP cal.'!J33</f>
        <v>There is the plan to solve the problems and the measures are conducted as planed. If there is a problem with mobile equipment, using it is prohibited.
If the plan is delayed with adequate reason, it is reviewed and the measures are conducted according to the reviewed plan. (The measure is on-going.)
3S is conducted as the 3S standards.
(SVs)</v>
      </c>
      <c r="J22" s="247"/>
    </row>
    <row r="23" spans="3:10" ht="49.5">
      <c r="C23" s="622"/>
      <c r="D23" s="627"/>
      <c r="E23" s="624"/>
      <c r="F23" s="249" t="str">
        <f t="shared" si="0"/>
        <v>B+</v>
      </c>
      <c r="G23" s="242">
        <v>4</v>
      </c>
      <c r="H23" s="626"/>
      <c r="I23" s="219" t="str">
        <f>'DP cal.'!L33</f>
        <v>When the problems are found, they are prohibited to use immediately, or the plan of the measure is developed and moved forward.
*If the measure is conducted on the same day, it will be judged as the same as the move forward.
(SVs)</v>
      </c>
      <c r="J23" s="247"/>
    </row>
    <row r="24" spans="3:10" ht="33">
      <c r="C24" s="622"/>
      <c r="D24" s="627"/>
      <c r="E24" s="624"/>
      <c r="F24" s="249" t="str">
        <f t="shared" si="0"/>
        <v>A</v>
      </c>
      <c r="G24" s="242">
        <v>5</v>
      </c>
      <c r="H24" s="626"/>
      <c r="I24" s="219" t="str">
        <f>'DP cal.'!N33</f>
        <v>There is no problem or all problems have already been solved.
(SVs)</v>
      </c>
      <c r="J24" s="247"/>
    </row>
    <row r="25" spans="3:10" ht="33">
      <c r="C25" s="622"/>
      <c r="D25" s="627"/>
      <c r="E25" s="624"/>
      <c r="F25" s="249" t="str">
        <f t="shared" si="0"/>
        <v>C</v>
      </c>
      <c r="G25" s="242">
        <v>1</v>
      </c>
      <c r="H25" s="626" t="s">
        <v>700</v>
      </c>
      <c r="I25" s="219" t="str">
        <f>'DP cal.'!F37</f>
        <v>Carbon MUST items have been self-checked based on annual plan. And, there is a plan for detected non-conformity items in the selfcheck.
(SVs)</v>
      </c>
      <c r="J25" s="247"/>
    </row>
    <row r="26" spans="3:10" ht="49.5">
      <c r="C26" s="622"/>
      <c r="D26" s="627"/>
      <c r="E26" s="624"/>
      <c r="F26" s="249" t="str">
        <f t="shared" si="0"/>
        <v>B-</v>
      </c>
      <c r="G26" s="242">
        <v>2</v>
      </c>
      <c r="H26" s="626"/>
      <c r="I26" s="219" t="str">
        <f>'DP cal.'!H37</f>
        <v>There is plans for the selfcheck and countermeasure, but there in a delay in the plan. 
 *there is no corrective action for the delay.
(SVs)</v>
      </c>
      <c r="J26" s="247"/>
    </row>
    <row r="27" spans="3:10" ht="49.5">
      <c r="C27" s="622"/>
      <c r="D27" s="627"/>
      <c r="E27" s="624"/>
      <c r="F27" s="249" t="str">
        <f t="shared" si="0"/>
        <v>B</v>
      </c>
      <c r="G27" s="242">
        <v>3</v>
      </c>
      <c r="H27" s="626"/>
      <c r="I27" s="219" t="str">
        <f>'DP cal.'!J37</f>
        <v>There is a plan for countermeasure from the selfcheck, and it is on-going to the plan.
Or, there is a delay but corrective plan has been made for it, and it is on-going.
(SVs)</v>
      </c>
      <c r="J27" s="247"/>
    </row>
    <row r="28" spans="3:10" ht="33">
      <c r="C28" s="622"/>
      <c r="D28" s="627"/>
      <c r="E28" s="624"/>
      <c r="F28" s="249" t="str">
        <f t="shared" si="0"/>
        <v>B+</v>
      </c>
      <c r="G28" s="242">
        <v>4</v>
      </c>
      <c r="H28" s="626"/>
      <c r="I28" s="219" t="str">
        <f>'DP cal.'!L37</f>
        <v>There is a plan for countermeasure from the selfcheck, and progressing ahead of the plan, but not yet completed.
(SVs)</v>
      </c>
      <c r="J28" s="247"/>
    </row>
    <row r="29" spans="3:10" ht="49.5">
      <c r="C29" s="622"/>
      <c r="D29" s="627"/>
      <c r="E29" s="624"/>
      <c r="F29" s="249" t="str">
        <f t="shared" si="0"/>
        <v>A</v>
      </c>
      <c r="G29" s="242">
        <v>5</v>
      </c>
      <c r="H29" s="626"/>
      <c r="I29" s="219" t="str">
        <f>'DP cal.'!N37</f>
        <v>Self-check has been completed as a plan, and  there is no defect or all findings have beem solved.
 *At least one GENBA validation required
(SVs)</v>
      </c>
      <c r="J29" s="247"/>
    </row>
    <row r="30" spans="3:10" ht="66">
      <c r="C30" s="622"/>
      <c r="D30" s="627"/>
      <c r="E30" s="624"/>
      <c r="F30" s="249" t="str">
        <f t="shared" si="0"/>
        <v>C</v>
      </c>
      <c r="G30" s="242">
        <v>1</v>
      </c>
      <c r="H30" s="626" t="s">
        <v>701</v>
      </c>
      <c r="I30" s="255" t="str">
        <f>'DP cal.'!F38</f>
        <v>カーボンMUSTにかかわる従業員にカーボンMUSTの教育を実施している。
【職長】
※教育を実施している場合は”YES”
　　　　　　していない場合は”No”で評価</v>
      </c>
      <c r="J30" s="247"/>
    </row>
    <row r="31" spans="3:10" ht="33">
      <c r="C31" s="622"/>
      <c r="D31" s="627"/>
      <c r="E31" s="624"/>
      <c r="F31" s="249" t="str">
        <f t="shared" si="0"/>
        <v>B+</v>
      </c>
      <c r="G31" s="242">
        <v>4</v>
      </c>
      <c r="H31" s="626"/>
      <c r="I31" s="219" t="str">
        <f>'DP cal.'!L38</f>
        <v>カーボンMUSTルールに関するポイントが順守されるように、製造課長・主任・職長は巡回等の現場確認を行い、技能員へ巡回結果のフィードバックを行っている。 _x000B_【職長】</v>
      </c>
      <c r="J31" s="247"/>
    </row>
    <row r="32" spans="3:10" ht="16.5">
      <c r="C32" s="238"/>
      <c r="D32" s="237"/>
      <c r="E32" s="237"/>
      <c r="F32" s="237"/>
      <c r="G32" s="237"/>
      <c r="H32" s="241"/>
      <c r="I32" s="238"/>
      <c r="J32" s="239"/>
    </row>
    <row r="33" spans="2:10" s="22" customFormat="1" ht="16.5">
      <c r="B33"/>
      <c r="C33" s="238"/>
      <c r="D33" s="237"/>
      <c r="E33" s="237"/>
      <c r="F33" s="237"/>
      <c r="G33" s="237"/>
      <c r="H33" s="241"/>
      <c r="I33" s="238"/>
      <c r="J33" s="239"/>
    </row>
    <row r="34" spans="2:10" s="22" customFormat="1" ht="16.5">
      <c r="B34"/>
      <c r="C34" s="238"/>
      <c r="D34" s="237"/>
      <c r="E34" s="237"/>
      <c r="F34" s="237"/>
      <c r="G34" s="237"/>
      <c r="H34" s="241"/>
      <c r="I34" s="238"/>
      <c r="J34" s="239"/>
    </row>
    <row r="35" spans="2:10" s="22" customFormat="1" ht="16.5">
      <c r="B35"/>
      <c r="C35" s="238"/>
      <c r="D35" s="237"/>
      <c r="E35" s="237"/>
      <c r="F35" s="237"/>
      <c r="G35" s="237"/>
      <c r="H35" s="241"/>
      <c r="I35" s="238"/>
      <c r="J35" s="239"/>
    </row>
    <row r="36" spans="2:10" s="22" customFormat="1" ht="16.5">
      <c r="B36"/>
      <c r="C36" s="238"/>
      <c r="D36" s="237"/>
      <c r="E36" s="237"/>
      <c r="F36" s="237"/>
      <c r="G36" s="237"/>
      <c r="H36" s="241"/>
      <c r="I36" s="238"/>
      <c r="J36" s="239"/>
    </row>
    <row r="37" spans="2:10" s="22" customFormat="1" ht="16.5">
      <c r="B37"/>
      <c r="C37" s="238"/>
      <c r="D37" s="237"/>
      <c r="E37" s="237"/>
      <c r="F37" s="237"/>
      <c r="G37" s="237"/>
      <c r="H37" s="241"/>
      <c r="I37" s="238"/>
      <c r="J37" s="239"/>
    </row>
    <row r="38" spans="2:10" s="22" customFormat="1" ht="16.5">
      <c r="B38"/>
      <c r="C38" s="48"/>
      <c r="D38"/>
      <c r="E38"/>
      <c r="F38"/>
      <c r="G38"/>
      <c r="H38" s="241"/>
      <c r="I38" s="238"/>
      <c r="J38" s="239"/>
    </row>
    <row r="39" spans="2:10" s="22" customFormat="1" ht="49.5" hidden="1" customHeight="1">
      <c r="B39"/>
      <c r="C39" s="48"/>
      <c r="D39"/>
      <c r="E39"/>
      <c r="F39"/>
      <c r="G39"/>
      <c r="H39" s="256" t="s">
        <v>441</v>
      </c>
      <c r="I39" s="257" t="s">
        <v>442</v>
      </c>
      <c r="J39" s="258"/>
    </row>
    <row r="40" spans="2:10" s="22" customFormat="1" ht="33" hidden="1" customHeight="1">
      <c r="B40"/>
      <c r="C40" s="48"/>
      <c r="D40"/>
      <c r="E40"/>
      <c r="F40"/>
      <c r="G40"/>
      <c r="H40" s="256"/>
      <c r="I40" s="257"/>
      <c r="J40" s="258"/>
    </row>
    <row r="41" spans="2:10" s="22" customFormat="1" ht="82.5" hidden="1" customHeight="1">
      <c r="B41"/>
      <c r="C41" s="48"/>
      <c r="D41"/>
      <c r="E41"/>
      <c r="F41"/>
      <c r="G41"/>
      <c r="H41" s="256" t="s">
        <v>449</v>
      </c>
      <c r="I41" s="257" t="s">
        <v>450</v>
      </c>
      <c r="J41" s="258"/>
    </row>
    <row r="42" spans="2:10" s="22" customFormat="1" ht="33" hidden="1" customHeight="1">
      <c r="B42"/>
      <c r="C42" s="48"/>
      <c r="D42"/>
      <c r="E42"/>
      <c r="F42"/>
      <c r="G42"/>
      <c r="H42" s="256"/>
      <c r="I42" s="257" t="s">
        <v>455</v>
      </c>
      <c r="J42" s="258"/>
    </row>
    <row r="43" spans="2:10" s="22" customFormat="1" ht="49.5" hidden="1" customHeight="1">
      <c r="B43"/>
      <c r="C43" s="48"/>
      <c r="D43"/>
      <c r="E43"/>
      <c r="F43"/>
      <c r="G43"/>
      <c r="H43" s="256" t="s">
        <v>457</v>
      </c>
      <c r="I43" s="259"/>
      <c r="J43" s="256"/>
    </row>
    <row r="44" spans="2:10" s="22" customFormat="1" ht="49.5" hidden="1" customHeight="1">
      <c r="B44"/>
      <c r="C44" s="48"/>
      <c r="D44"/>
      <c r="E44"/>
      <c r="F44"/>
      <c r="G44"/>
      <c r="H44" s="256"/>
      <c r="I44" s="257"/>
      <c r="J44" s="258"/>
    </row>
    <row r="45" spans="2:10" s="22" customFormat="1" ht="49.5" hidden="1" customHeight="1">
      <c r="B45"/>
      <c r="C45" s="48"/>
      <c r="D45"/>
      <c r="E45"/>
      <c r="F45"/>
      <c r="G45"/>
      <c r="H45" s="256" t="s">
        <v>461</v>
      </c>
      <c r="I45" s="257" t="s">
        <v>462</v>
      </c>
      <c r="J45" s="258"/>
    </row>
    <row r="46" spans="2:10" ht="33" hidden="1" customHeight="1">
      <c r="H46" s="256"/>
      <c r="I46" s="257" t="s">
        <v>467</v>
      </c>
      <c r="J46" s="258"/>
    </row>
    <row r="47" spans="2:10" ht="49.5" hidden="1" customHeight="1">
      <c r="H47" s="260" t="s">
        <v>470</v>
      </c>
      <c r="I47" s="261" t="s">
        <v>471</v>
      </c>
      <c r="J47" s="262"/>
    </row>
    <row r="48" spans="2:10" ht="66" hidden="1" customHeight="1">
      <c r="H48" s="260"/>
      <c r="I48" s="261"/>
      <c r="J48" s="262"/>
    </row>
    <row r="49" spans="8:10" ht="16.5">
      <c r="H49" s="241"/>
      <c r="I49" s="238"/>
      <c r="J49" s="239"/>
    </row>
  </sheetData>
  <mergeCells count="13">
    <mergeCell ref="H20:H24"/>
    <mergeCell ref="H25:H29"/>
    <mergeCell ref="H30:H31"/>
    <mergeCell ref="C4:C7"/>
    <mergeCell ref="D4:D7"/>
    <mergeCell ref="E4:E7"/>
    <mergeCell ref="H4:H6"/>
    <mergeCell ref="C9:C31"/>
    <mergeCell ref="D9:D31"/>
    <mergeCell ref="E9:E31"/>
    <mergeCell ref="H10:H14"/>
    <mergeCell ref="H16:H17"/>
    <mergeCell ref="H18:H19"/>
  </mergeCells>
  <phoneticPr fontId="6"/>
  <conditionalFormatting sqref="J4:J31">
    <cfRule type="containsText" dxfId="3" priority="1" operator="containsText" text="No">
      <formula>NOT(ISERROR(SEARCH("No",J4)))</formula>
    </cfRule>
  </conditionalFormatting>
  <pageMargins left="0.7" right="0.7" top="0.75" bottom="0.75" header="0.3" footer="0.3"/>
  <pageSetup paperSize="8" scale="48"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C08E1-F4FA-4815-9F33-85576D902D59}">
  <sheetPr codeName="Sheet16">
    <tabColor theme="8" tint="0.59999389629810485"/>
  </sheetPr>
  <dimension ref="B1:J39"/>
  <sheetViews>
    <sheetView topLeftCell="B18" zoomScale="80" zoomScaleNormal="100" workbookViewId="0">
      <selection activeCell="E34" sqref="E34"/>
    </sheetView>
  </sheetViews>
  <sheetFormatPr defaultColWidth="8.85546875" defaultRowHeight="14.45"/>
  <cols>
    <col min="1" max="1" width="1.7109375" customWidth="1"/>
    <col min="3" max="3" width="15.140625" style="263" bestFit="1" customWidth="1"/>
    <col min="4" max="4" width="28.85546875" hidden="1" customWidth="1"/>
    <col min="5" max="5" width="19.140625" hidden="1" customWidth="1"/>
    <col min="6" max="7" width="9.85546875" customWidth="1"/>
    <col min="8" max="8" width="12" customWidth="1"/>
    <col min="9" max="9" width="118.140625" customWidth="1"/>
    <col min="10" max="10" width="10.140625" style="22" customWidth="1"/>
  </cols>
  <sheetData>
    <row r="1" spans="2:10" ht="21.95" customHeight="1"/>
    <row r="2" spans="2:10" ht="16.5">
      <c r="H2" s="240"/>
      <c r="I2" s="248"/>
      <c r="J2" s="239"/>
    </row>
    <row r="3" spans="2:10" ht="33">
      <c r="B3" s="237"/>
      <c r="C3" s="212" t="s">
        <v>684</v>
      </c>
      <c r="D3" s="212" t="s">
        <v>478</v>
      </c>
      <c r="E3" s="212" t="s">
        <v>479</v>
      </c>
      <c r="F3" s="212" t="s">
        <v>8</v>
      </c>
      <c r="G3" s="212" t="s">
        <v>480</v>
      </c>
      <c r="H3" s="212" t="s">
        <v>240</v>
      </c>
      <c r="I3" s="212" t="s">
        <v>481</v>
      </c>
      <c r="J3" s="212" t="s">
        <v>242</v>
      </c>
    </row>
    <row r="4" spans="2:10" ht="49.5">
      <c r="B4" s="237"/>
      <c r="C4" s="635" t="s">
        <v>29</v>
      </c>
      <c r="D4" s="622"/>
      <c r="E4" s="624"/>
      <c r="F4" s="249" t="str">
        <f t="shared" ref="F4:F24" si="0">IF(G4=1,"C",IF(G4=2,"B-",IF(G4=3,"B",IF(G4=4,"B+",IF(G4=5,"A")))))</f>
        <v>C</v>
      </c>
      <c r="G4" s="242">
        <v>1</v>
      </c>
      <c r="H4" s="635" t="s">
        <v>66</v>
      </c>
      <c r="I4" s="250" t="str">
        <f>'DP cal.'!F15</f>
        <v>All teammates stated that, at least, safety manager and site leadership representative (e.g. plant manager, department manager, line manager) was involved in the root cause analysis process when a serious incident(fire incidents, etc.) occurred.
(Leadership: Operator: No.5)</v>
      </c>
      <c r="J4" s="183"/>
    </row>
    <row r="5" spans="2:10" ht="82.5">
      <c r="B5" s="237"/>
      <c r="C5" s="636"/>
      <c r="D5" s="622"/>
      <c r="E5" s="624"/>
      <c r="F5" s="249" t="str">
        <f t="shared" si="0"/>
        <v>B-</v>
      </c>
      <c r="G5" s="242">
        <v>2</v>
      </c>
      <c r="H5" s="636"/>
      <c r="I5" s="250" t="str">
        <f>'DP cal.'!H15</f>
        <v>All teammates can state that they are informed of recent D.P. related incidents (fire, near-miss, etc.) in their areas and actions have been taken to address these.
*If there has been no DP incident since the start of employment, we will confirm DP incidents that have occurred at your site in the past.
(Teammate Engagement: Operator: No.7)</v>
      </c>
      <c r="J5" s="183"/>
    </row>
    <row r="6" spans="2:10" ht="99">
      <c r="B6" s="237"/>
      <c r="C6" s="636"/>
      <c r="D6" s="622"/>
      <c r="E6" s="624"/>
      <c r="F6" s="249" t="str">
        <f t="shared" si="0"/>
        <v>B</v>
      </c>
      <c r="G6" s="242">
        <v>3</v>
      </c>
      <c r="H6" s="636"/>
      <c r="I6" s="250" t="str">
        <f>'DP cal.'!J15</f>
        <v>All teammates say that they are well informed and can explain how the information communicated contributes to secure their fire prevention.  
(System: Operator: No.64)
*information: fire, smoke, near-miss, etc.
*If there has been no DP incident since the start of employment, we will confirm DP incidents that have occurred at your site in the past.</v>
      </c>
      <c r="J6" s="183"/>
    </row>
    <row r="7" spans="2:10" ht="33">
      <c r="B7" s="237"/>
      <c r="C7" s="636"/>
      <c r="D7" s="622"/>
      <c r="E7" s="624"/>
      <c r="F7" s="249" t="str">
        <f t="shared" si="0"/>
        <v>B+</v>
      </c>
      <c r="G7" s="242">
        <v>4</v>
      </c>
      <c r="H7" s="636"/>
      <c r="I7" s="250" t="str">
        <f>'DP cal.'!L15</f>
        <v>Teammates can provide examples of fire accidents which occurred on other facilities and how that information was obtained. 
(System: Operator: No.110)</v>
      </c>
      <c r="J7" s="183"/>
    </row>
    <row r="8" spans="2:10" ht="33">
      <c r="B8" s="237"/>
      <c r="C8" s="636"/>
      <c r="D8" s="622"/>
      <c r="E8" s="624"/>
      <c r="F8" s="249" t="str">
        <f t="shared" si="0"/>
        <v>A</v>
      </c>
      <c r="G8" s="242">
        <v>5</v>
      </c>
      <c r="H8" s="637"/>
      <c r="I8" s="250" t="str">
        <f>'DP cal.'!N15</f>
        <v>DP risks/measures of other site or other departments have been shared at the safety meeting in your department.
(Teammate Engagement: Operator: No.17)</v>
      </c>
      <c r="J8" s="183"/>
    </row>
    <row r="9" spans="2:10" ht="99">
      <c r="B9" s="237"/>
      <c r="C9" s="636"/>
      <c r="D9" s="622"/>
      <c r="E9" s="624"/>
      <c r="F9" s="249" t="str">
        <f t="shared" si="0"/>
        <v>B-</v>
      </c>
      <c r="G9" s="242">
        <v>2</v>
      </c>
      <c r="H9" s="635" t="s">
        <v>69</v>
      </c>
      <c r="I9" s="222" t="str">
        <f>'DP cal.'!H16</f>
        <v>A sample of 3 teammates, at least 1 (more than 33%) said they take part in the actions required to prevent DP accidents and provide feedback if these actions are not appropriate or useful. 
*If there has been no DP incident since the start of employment, a sample of 3 teammates, at least 1 (more than 33%) commented on the need for improvement based on the problems and defects of DP.
(Teammate Engagement: Operator: No.6)</v>
      </c>
      <c r="J9" s="243"/>
    </row>
    <row r="10" spans="2:10" ht="49.5">
      <c r="B10" s="237"/>
      <c r="C10" s="637"/>
      <c r="D10" s="243"/>
      <c r="E10" s="242"/>
      <c r="F10" s="249" t="str">
        <f t="shared" si="0"/>
        <v>B+</v>
      </c>
      <c r="G10" s="242">
        <v>4</v>
      </c>
      <c r="H10" s="637"/>
      <c r="I10" s="222" t="str">
        <f>'DP cal.'!L16</f>
        <v>All teammates stated that management had taken specific actions to address hazards they reported, and these actions have been communicated to them. (DP point of view)
(Organization: Operator: No.16)</v>
      </c>
      <c r="J10" s="243"/>
    </row>
    <row r="11" spans="2:10" ht="82.5">
      <c r="C11" s="243" t="s">
        <v>30</v>
      </c>
      <c r="D11" s="243"/>
      <c r="E11" s="243"/>
      <c r="F11" s="249" t="str">
        <f t="shared" si="0"/>
        <v>A</v>
      </c>
      <c r="G11" s="243">
        <v>5</v>
      </c>
      <c r="H11" s="247" t="s">
        <v>688</v>
      </c>
      <c r="I11" s="219" t="str">
        <f>'DP cal.'!N19</f>
        <v>The result of BSJP Tire ver. fire prevention RA have been shared in the plant, and all teammates have been understood.
 *Operators are informed of risk and countermeasure for gross risk III/IV. If there is no risk III/IV, operators understand the high risk area in their plant or process in Risk I/II.
 *If BSJP Tire ver. fire prevention RA is being assessed, the deployment status of IMD ver. Fire RA is confirmed.
(Operators)</v>
      </c>
      <c r="J11" s="247"/>
    </row>
    <row r="12" spans="2:10" ht="66">
      <c r="C12" s="622" t="s">
        <v>32</v>
      </c>
      <c r="D12" s="627"/>
      <c r="E12" s="624"/>
      <c r="F12" s="249" t="str">
        <f t="shared" si="0"/>
        <v>C</v>
      </c>
      <c r="G12" s="242">
        <v>1</v>
      </c>
      <c r="H12" s="635" t="s">
        <v>194</v>
      </c>
      <c r="I12" s="264" t="str">
        <f>'DP cal.'!F27</f>
        <v>3S Documents are displayed in flammable/combastible material storage, chemical storage and paint strage, and there is evidence of this being followed.
And, self-check has been implemented.
(System: Operator: No.19)</v>
      </c>
      <c r="J12" s="24"/>
    </row>
    <row r="13" spans="2:10" ht="66">
      <c r="C13" s="622"/>
      <c r="D13" s="627"/>
      <c r="E13" s="624"/>
      <c r="F13" s="249" t="str">
        <f t="shared" si="0"/>
        <v>B</v>
      </c>
      <c r="G13" s="242">
        <v>3</v>
      </c>
      <c r="H13" s="636"/>
      <c r="I13" s="222" t="str">
        <f>'DP cal.'!J27</f>
        <v>The 3S Visual Standard was prepared and all inspected work areas were cleaned (no debris on floor, no spillages) as defined in the 3S visual standard, and there were no unnecessary objects that were not currently in use in the work area.
  *work area: production area and office
(System: Operator: No.75)</v>
      </c>
      <c r="J13" s="24"/>
    </row>
    <row r="14" spans="2:10" ht="49.5">
      <c r="C14" s="622"/>
      <c r="D14" s="627"/>
      <c r="E14" s="624"/>
      <c r="F14" s="249" t="str">
        <f t="shared" si="0"/>
        <v>B+</v>
      </c>
      <c r="G14" s="242">
        <v>4</v>
      </c>
      <c r="H14" s="637"/>
      <c r="I14" s="222" t="str">
        <f>'DP cal.'!L27</f>
        <v>3S activity for the improvement of 3S level has been  proceeded. (or Improvement of 3S level can be confirmed, or 3s level is over 4.)
(System: Operator: No.105)</v>
      </c>
      <c r="J14" s="24"/>
    </row>
    <row r="15" spans="2:10" ht="33">
      <c r="C15" s="622"/>
      <c r="D15" s="627"/>
      <c r="E15" s="624"/>
      <c r="F15" s="249" t="str">
        <f t="shared" si="0"/>
        <v>B-</v>
      </c>
      <c r="G15" s="242">
        <v>2</v>
      </c>
      <c r="H15" s="629" t="s">
        <v>610</v>
      </c>
      <c r="I15" s="219" t="str">
        <f>'DP cal.'!H29</f>
        <v>Autonomously KY has been conducted but it is conducted by group. (not individual)
(Operator)</v>
      </c>
      <c r="J15" s="247"/>
    </row>
    <row r="16" spans="2:10" ht="49.5">
      <c r="C16" s="622"/>
      <c r="D16" s="627"/>
      <c r="E16" s="624"/>
      <c r="F16" s="249" t="str">
        <f t="shared" si="0"/>
        <v>B</v>
      </c>
      <c r="G16" s="242">
        <v>3</v>
      </c>
      <c r="H16" s="630"/>
      <c r="I16" s="219" t="str">
        <f>'DP cal.'!J29</f>
        <v>All teammates conduct autonomously KY everyday, decide KY point and its action to avoid.
(need to check evidence)
(Operator)</v>
      </c>
      <c r="J16" s="247"/>
    </row>
    <row r="17" spans="2:10" ht="33">
      <c r="C17" s="622"/>
      <c r="D17" s="627"/>
      <c r="E17" s="624"/>
      <c r="F17" s="249" t="str">
        <f t="shared" si="0"/>
        <v>B+</v>
      </c>
      <c r="G17" s="242">
        <v>4</v>
      </c>
      <c r="H17" s="630"/>
      <c r="I17" s="219" t="str">
        <f>'DP cal.'!L29</f>
        <v>SVs or leaders conduct GENBA patrol to confirm autonomously KY result, and instruct teammates if needed.
(Operator)</v>
      </c>
      <c r="J17" s="247"/>
    </row>
    <row r="18" spans="2:10" ht="82.5">
      <c r="C18" s="622"/>
      <c r="D18" s="627"/>
      <c r="E18" s="624"/>
      <c r="F18" s="249" t="str">
        <f t="shared" si="0"/>
        <v>A</v>
      </c>
      <c r="G18" s="242">
        <v>5</v>
      </c>
      <c r="H18" s="631"/>
      <c r="I18" s="219" t="str">
        <f>'DP cal.'!N29</f>
        <v>Visualized the reslut of autonomously KY (making a map), promoted KAIZEN activity besed on the result.
Operators can explain an example of KAIZEN activity that is based on autononously KY.
 *update safety rule, machinery update, etc.
 *if the site has the system to manage bottom up KAIZEN cycle as from KY activity, this item could be judged "Yes"
(Operator)</v>
      </c>
      <c r="J18" s="247"/>
    </row>
    <row r="19" spans="2:10" ht="33">
      <c r="C19" s="622"/>
      <c r="D19" s="627"/>
      <c r="E19" s="624"/>
      <c r="F19" s="249" t="str">
        <f t="shared" si="0"/>
        <v>B-</v>
      </c>
      <c r="G19" s="242">
        <v>2</v>
      </c>
      <c r="H19" s="629" t="s">
        <v>699</v>
      </c>
      <c r="I19" s="219" t="str">
        <f>'DP cal.'!H30</f>
        <v>All teammates have been received the training once a year.
(Operator)</v>
      </c>
      <c r="J19" s="247"/>
    </row>
    <row r="20" spans="2:10" ht="66">
      <c r="C20" s="622"/>
      <c r="D20" s="627"/>
      <c r="E20" s="624"/>
      <c r="F20" s="249" t="str">
        <f t="shared" si="0"/>
        <v>B</v>
      </c>
      <c r="G20" s="242">
        <v>3</v>
      </c>
      <c r="H20" s="630"/>
      <c r="I20" s="219" t="str">
        <f>'DP cal.'!J30</f>
        <v>All teammates understand Common Fire Prevention Rule, and can explain what is the point of it in SOP to prevent fire.(At least 2 items)
(Operator)</v>
      </c>
      <c r="J20" s="247"/>
    </row>
    <row r="21" spans="2:10" ht="82.5">
      <c r="C21" s="622"/>
      <c r="D21" s="627"/>
      <c r="E21" s="624"/>
      <c r="F21" s="249" t="str">
        <f t="shared" si="0"/>
        <v>A</v>
      </c>
      <c r="G21" s="242">
        <v>5</v>
      </c>
      <c r="H21" s="631"/>
      <c r="I21" s="219" t="str">
        <f>'DP cal.'!N30</f>
        <v>All teammates can explain an example of KAIZEN activity from DP point of view.
 *For example;
   - Update SOP to follow the DP rule.
   - Hardware update to follow the DP rule.
(Operator)</v>
      </c>
      <c r="J21" s="247"/>
    </row>
    <row r="22" spans="2:10" ht="64.5" customHeight="1">
      <c r="C22" s="622"/>
      <c r="D22" s="627"/>
      <c r="E22" s="624"/>
      <c r="F22" s="249" t="str">
        <f t="shared" si="0"/>
        <v>B-</v>
      </c>
      <c r="G22" s="242">
        <v>2</v>
      </c>
      <c r="H22" s="632" t="s">
        <v>701</v>
      </c>
      <c r="I22" s="219" t="s">
        <v>667</v>
      </c>
      <c r="J22" s="247"/>
    </row>
    <row r="23" spans="2:10" ht="64.5" customHeight="1">
      <c r="C23" s="622"/>
      <c r="D23" s="222"/>
      <c r="E23" s="242"/>
      <c r="F23" s="249" t="str">
        <f t="shared" si="0"/>
        <v>B</v>
      </c>
      <c r="G23" s="242">
        <v>3</v>
      </c>
      <c r="H23" s="633"/>
      <c r="I23" s="219" t="s">
        <v>668</v>
      </c>
      <c r="J23" s="247"/>
    </row>
    <row r="24" spans="2:10" ht="64.5" customHeight="1">
      <c r="C24" s="622"/>
      <c r="D24" s="222"/>
      <c r="E24" s="242"/>
      <c r="F24" s="249" t="str">
        <f t="shared" si="0"/>
        <v>A</v>
      </c>
      <c r="G24" s="242">
        <v>5</v>
      </c>
      <c r="H24" s="634"/>
      <c r="I24" s="219" t="s">
        <v>670</v>
      </c>
      <c r="J24" s="247"/>
    </row>
    <row r="25" spans="2:10" ht="16.5">
      <c r="C25" s="239"/>
      <c r="D25" s="237"/>
      <c r="E25" s="237"/>
      <c r="F25" s="237"/>
      <c r="G25" s="237"/>
      <c r="H25" s="241"/>
      <c r="I25" s="238"/>
      <c r="J25" s="239"/>
    </row>
    <row r="26" spans="2:10" s="22" customFormat="1" ht="16.5">
      <c r="B26"/>
      <c r="C26" s="239"/>
      <c r="D26" s="237"/>
      <c r="E26" s="237"/>
      <c r="F26" s="237"/>
      <c r="G26" s="237"/>
      <c r="H26" s="241"/>
      <c r="I26" s="238"/>
      <c r="J26" s="239"/>
    </row>
    <row r="27" spans="2:10" s="22" customFormat="1" ht="16.5">
      <c r="B27"/>
      <c r="C27" s="239"/>
      <c r="D27" s="237"/>
      <c r="E27" s="237"/>
      <c r="F27" s="237"/>
      <c r="G27" s="237"/>
      <c r="H27" s="241"/>
      <c r="I27" s="238"/>
      <c r="J27" s="239"/>
    </row>
    <row r="28" spans="2:10" s="22" customFormat="1" ht="16.5">
      <c r="B28"/>
      <c r="C28" s="263"/>
      <c r="D28"/>
      <c r="E28"/>
      <c r="F28"/>
      <c r="G28"/>
      <c r="H28" s="241"/>
      <c r="I28" s="238"/>
      <c r="J28" s="239"/>
    </row>
    <row r="29" spans="2:10" s="22" customFormat="1" ht="49.5" hidden="1" customHeight="1">
      <c r="B29"/>
      <c r="C29" s="263"/>
      <c r="D29"/>
      <c r="E29"/>
      <c r="F29"/>
      <c r="G29"/>
      <c r="H29" s="256" t="s">
        <v>441</v>
      </c>
      <c r="I29" s="257" t="s">
        <v>442</v>
      </c>
      <c r="J29" s="258"/>
    </row>
    <row r="30" spans="2:10" s="22" customFormat="1" ht="33" hidden="1" customHeight="1">
      <c r="B30"/>
      <c r="C30" s="263"/>
      <c r="D30"/>
      <c r="E30"/>
      <c r="F30"/>
      <c r="G30"/>
      <c r="H30" s="256"/>
      <c r="I30" s="257"/>
      <c r="J30" s="258"/>
    </row>
    <row r="31" spans="2:10" s="22" customFormat="1" ht="82.5" hidden="1" customHeight="1">
      <c r="B31"/>
      <c r="C31" s="263"/>
      <c r="D31"/>
      <c r="E31"/>
      <c r="F31"/>
      <c r="G31"/>
      <c r="H31" s="256" t="s">
        <v>449</v>
      </c>
      <c r="I31" s="257" t="s">
        <v>450</v>
      </c>
      <c r="J31" s="258"/>
    </row>
    <row r="32" spans="2:10" s="22" customFormat="1" ht="33" hidden="1" customHeight="1">
      <c r="B32"/>
      <c r="C32" s="263"/>
      <c r="D32"/>
      <c r="E32"/>
      <c r="F32"/>
      <c r="G32"/>
      <c r="H32" s="256"/>
      <c r="I32" s="257" t="s">
        <v>455</v>
      </c>
      <c r="J32" s="258"/>
    </row>
    <row r="33" spans="2:10" s="22" customFormat="1" ht="49.5" hidden="1" customHeight="1">
      <c r="B33"/>
      <c r="C33" s="263"/>
      <c r="D33"/>
      <c r="E33"/>
      <c r="F33"/>
      <c r="G33"/>
      <c r="H33" s="256" t="s">
        <v>457</v>
      </c>
      <c r="I33" s="259"/>
      <c r="J33" s="256"/>
    </row>
    <row r="34" spans="2:10" s="22" customFormat="1" ht="49.5" hidden="1" customHeight="1">
      <c r="B34"/>
      <c r="C34" s="263"/>
      <c r="D34"/>
      <c r="E34"/>
      <c r="F34"/>
      <c r="G34"/>
      <c r="H34" s="256"/>
      <c r="I34" s="257"/>
      <c r="J34" s="258"/>
    </row>
    <row r="35" spans="2:10" s="22" customFormat="1" ht="49.5" hidden="1" customHeight="1">
      <c r="B35"/>
      <c r="C35" s="263"/>
      <c r="D35"/>
      <c r="E35"/>
      <c r="F35"/>
      <c r="G35"/>
      <c r="H35" s="256" t="s">
        <v>461</v>
      </c>
      <c r="I35" s="257" t="s">
        <v>462</v>
      </c>
      <c r="J35" s="258"/>
    </row>
    <row r="36" spans="2:10" ht="33" hidden="1" customHeight="1">
      <c r="H36" s="256"/>
      <c r="I36" s="257" t="s">
        <v>467</v>
      </c>
      <c r="J36" s="258"/>
    </row>
    <row r="37" spans="2:10" ht="49.5" hidden="1" customHeight="1">
      <c r="H37" s="260" t="s">
        <v>470</v>
      </c>
      <c r="I37" s="261" t="s">
        <v>471</v>
      </c>
      <c r="J37" s="262"/>
    </row>
    <row r="38" spans="2:10" ht="66" hidden="1" customHeight="1">
      <c r="H38" s="260"/>
      <c r="I38" s="261"/>
      <c r="J38" s="262"/>
    </row>
    <row r="39" spans="2:10" ht="16.5">
      <c r="H39" s="241"/>
      <c r="I39" s="238"/>
      <c r="J39" s="239"/>
    </row>
  </sheetData>
  <mergeCells count="12">
    <mergeCell ref="H19:H21"/>
    <mergeCell ref="H22:H24"/>
    <mergeCell ref="C4:C10"/>
    <mergeCell ref="D4:D9"/>
    <mergeCell ref="E4:E9"/>
    <mergeCell ref="H4:H8"/>
    <mergeCell ref="H9:H10"/>
    <mergeCell ref="C12:C24"/>
    <mergeCell ref="D12:D22"/>
    <mergeCell ref="E12:E22"/>
    <mergeCell ref="H12:H14"/>
    <mergeCell ref="H15:H18"/>
  </mergeCells>
  <phoneticPr fontId="6"/>
  <conditionalFormatting sqref="J4:J24">
    <cfRule type="containsText" dxfId="2" priority="1" operator="containsText" text="No">
      <formula>NOT(ISERROR(SEARCH("No",J4)))</formula>
    </cfRule>
  </conditionalFormatting>
  <pageMargins left="0.7" right="0.7" top="0.75" bottom="0.75" header="0.3" footer="0.3"/>
  <pageSetup paperSize="8" scale="48"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33AAD-7A4A-453E-87D2-75576E95C4C0}">
  <sheetPr codeName="Sheet17">
    <tabColor rgb="FFFFC000"/>
  </sheetPr>
  <dimension ref="B2:AT51"/>
  <sheetViews>
    <sheetView zoomScale="70" zoomScaleNormal="70" workbookViewId="0">
      <selection activeCell="O7" sqref="O7"/>
    </sheetView>
  </sheetViews>
  <sheetFormatPr defaultColWidth="8.5703125" defaultRowHeight="14.45"/>
  <cols>
    <col min="1" max="1" width="8.5703125" style="57"/>
    <col min="2" max="2" width="17.28515625" style="57" bestFit="1" customWidth="1"/>
    <col min="3" max="3" width="24.85546875" style="57" customWidth="1"/>
    <col min="4" max="4" width="16" style="57" customWidth="1"/>
    <col min="5" max="16" width="8.5703125" style="57"/>
    <col min="17" max="17" width="25.140625" style="57" customWidth="1"/>
    <col min="18" max="30" width="8.5703125" style="57"/>
    <col min="31" max="31" width="14.140625" style="57" bestFit="1" customWidth="1"/>
    <col min="32" max="36" width="8.5703125" style="57"/>
    <col min="37" max="37" width="16.85546875" style="57" customWidth="1"/>
    <col min="38" max="16384" width="8.5703125" style="57"/>
  </cols>
  <sheetData>
    <row r="2" spans="2:46">
      <c r="B2" s="57" t="s">
        <v>429</v>
      </c>
      <c r="E2" s="86"/>
      <c r="F2" s="86"/>
      <c r="G2" s="86"/>
      <c r="H2" s="86"/>
      <c r="I2" s="86"/>
      <c r="J2" s="86"/>
      <c r="K2" s="86"/>
      <c r="L2" s="86"/>
      <c r="M2" s="86"/>
    </row>
    <row r="3" spans="2:46">
      <c r="B3" s="57">
        <v>2024</v>
      </c>
      <c r="E3" s="86"/>
      <c r="F3" s="86"/>
      <c r="G3" s="86"/>
      <c r="H3" s="86"/>
      <c r="I3" s="86"/>
      <c r="J3" s="86"/>
      <c r="K3" s="86"/>
      <c r="L3" s="86"/>
      <c r="M3" s="86"/>
    </row>
    <row r="4" spans="2:46">
      <c r="B4" s="72"/>
      <c r="C4" s="72"/>
      <c r="D4" s="72"/>
      <c r="E4" s="80"/>
      <c r="F4" s="80"/>
      <c r="G4" s="80"/>
      <c r="H4" s="80"/>
      <c r="I4" s="80"/>
      <c r="J4" s="80"/>
      <c r="K4" s="80"/>
      <c r="L4" s="80"/>
      <c r="M4" s="80"/>
      <c r="P4" s="72"/>
      <c r="Q4" s="72"/>
      <c r="R4" s="72"/>
      <c r="S4" s="80"/>
      <c r="T4" s="80"/>
      <c r="U4" s="80"/>
      <c r="V4" s="80"/>
      <c r="W4" s="80"/>
      <c r="X4" s="80"/>
      <c r="Y4" s="80"/>
      <c r="Z4" s="80"/>
      <c r="AA4" s="80" t="s">
        <v>711</v>
      </c>
      <c r="AK4" s="72"/>
      <c r="AL4" s="80"/>
      <c r="AM4" s="80"/>
      <c r="AN4" s="80"/>
      <c r="AO4" s="80"/>
      <c r="AP4" s="80"/>
      <c r="AQ4" s="80"/>
      <c r="AR4" s="80"/>
      <c r="AS4" s="80"/>
      <c r="AT4" s="80" t="s">
        <v>711</v>
      </c>
    </row>
    <row r="5" spans="2:46" ht="16.5">
      <c r="B5" s="72" t="s">
        <v>712</v>
      </c>
      <c r="C5" s="74" t="s">
        <v>66</v>
      </c>
      <c r="D5" s="72" t="s">
        <v>535</v>
      </c>
      <c r="E5" s="72"/>
      <c r="F5" s="72"/>
      <c r="G5" s="72"/>
      <c r="H5" s="72"/>
      <c r="I5" s="72"/>
      <c r="J5" s="72"/>
      <c r="K5" s="72"/>
      <c r="L5" s="72"/>
      <c r="M5" s="72"/>
      <c r="P5" s="72" t="s">
        <v>712</v>
      </c>
      <c r="Q5" s="74" t="s">
        <v>66</v>
      </c>
      <c r="R5" s="72" t="s">
        <v>535</v>
      </c>
      <c r="S5" s="88" t="str">
        <f>IF(E5=1,"C",IF(E5=2,"B-",IF(E5=3,"B",IF(E5=4,"B+",IF(E5=5,"A","-")))))</f>
        <v>-</v>
      </c>
      <c r="T5" s="88" t="str">
        <f t="shared" ref="T5:AA24" si="0">IF(F5=1,"C",IF(F5=2,"B-",IF(F5=3,"B",IF(F5=4,"B+",IF(F5=5,"A","-")))))</f>
        <v>-</v>
      </c>
      <c r="U5" s="88" t="str">
        <f t="shared" si="0"/>
        <v>-</v>
      </c>
      <c r="V5" s="88" t="str">
        <f t="shared" si="0"/>
        <v>-</v>
      </c>
      <c r="W5" s="88" t="str">
        <f t="shared" si="0"/>
        <v>-</v>
      </c>
      <c r="X5" s="88" t="str">
        <f t="shared" si="0"/>
        <v>-</v>
      </c>
      <c r="Y5" s="88" t="str">
        <f t="shared" si="0"/>
        <v>-</v>
      </c>
      <c r="Z5" s="88" t="str">
        <f t="shared" si="0"/>
        <v>-</v>
      </c>
      <c r="AA5" s="88" t="str">
        <f t="shared" si="0"/>
        <v>-</v>
      </c>
      <c r="AK5" s="72" t="s">
        <v>712</v>
      </c>
      <c r="AL5" s="87" t="e">
        <f t="shared" ref="AL5:AT5" si="1">AVERAGE(E5:E7)</f>
        <v>#DIV/0!</v>
      </c>
      <c r="AM5" s="87" t="e">
        <f t="shared" si="1"/>
        <v>#DIV/0!</v>
      </c>
      <c r="AN5" s="87" t="e">
        <f t="shared" si="1"/>
        <v>#DIV/0!</v>
      </c>
      <c r="AO5" s="87" t="e">
        <f t="shared" si="1"/>
        <v>#DIV/0!</v>
      </c>
      <c r="AP5" s="87" t="e">
        <f t="shared" si="1"/>
        <v>#DIV/0!</v>
      </c>
      <c r="AQ5" s="87" t="e">
        <f t="shared" si="1"/>
        <v>#DIV/0!</v>
      </c>
      <c r="AR5" s="87" t="e">
        <f t="shared" si="1"/>
        <v>#DIV/0!</v>
      </c>
      <c r="AS5" s="87" t="e">
        <f t="shared" si="1"/>
        <v>#DIV/0!</v>
      </c>
      <c r="AT5" s="87" t="e">
        <f t="shared" si="1"/>
        <v>#DIV/0!</v>
      </c>
    </row>
    <row r="6" spans="2:46" ht="33">
      <c r="B6" s="72"/>
      <c r="C6" s="74" t="s">
        <v>69</v>
      </c>
      <c r="D6" s="72" t="s">
        <v>542</v>
      </c>
      <c r="E6" s="72"/>
      <c r="F6" s="72"/>
      <c r="G6" s="72"/>
      <c r="H6" s="72"/>
      <c r="I6" s="72"/>
      <c r="J6" s="72"/>
      <c r="K6" s="72"/>
      <c r="L6" s="72"/>
      <c r="M6" s="72"/>
      <c r="P6" s="72"/>
      <c r="Q6" s="74" t="s">
        <v>69</v>
      </c>
      <c r="R6" s="72" t="s">
        <v>542</v>
      </c>
      <c r="S6" s="88" t="str">
        <f t="shared" ref="S6:S37" si="2">IF(E6=1,"C",IF(E6=2,"B-",IF(E6=3,"B",IF(E6=4,"B+",IF(E6=5,"A","-")))))</f>
        <v>-</v>
      </c>
      <c r="T6" s="88" t="str">
        <f t="shared" si="0"/>
        <v>-</v>
      </c>
      <c r="U6" s="88" t="str">
        <f t="shared" si="0"/>
        <v>-</v>
      </c>
      <c r="V6" s="88" t="str">
        <f t="shared" si="0"/>
        <v>-</v>
      </c>
      <c r="W6" s="88" t="str">
        <f t="shared" si="0"/>
        <v>-</v>
      </c>
      <c r="X6" s="88" t="str">
        <f t="shared" si="0"/>
        <v>-</v>
      </c>
      <c r="Y6" s="88" t="str">
        <f t="shared" si="0"/>
        <v>-</v>
      </c>
      <c r="Z6" s="88" t="str">
        <f t="shared" si="0"/>
        <v>-</v>
      </c>
      <c r="AA6" s="88" t="str">
        <f t="shared" si="0"/>
        <v>-</v>
      </c>
      <c r="AK6" s="72" t="s">
        <v>713</v>
      </c>
      <c r="AL6" s="87" t="e">
        <f t="shared" ref="AL6:AT6" si="3">AVERAGE(E8:E15)</f>
        <v>#DIV/0!</v>
      </c>
      <c r="AM6" s="87" t="e">
        <f t="shared" si="3"/>
        <v>#DIV/0!</v>
      </c>
      <c r="AN6" s="87" t="e">
        <f t="shared" si="3"/>
        <v>#DIV/0!</v>
      </c>
      <c r="AO6" s="87" t="e">
        <f t="shared" si="3"/>
        <v>#DIV/0!</v>
      </c>
      <c r="AP6" s="87" t="e">
        <f t="shared" si="3"/>
        <v>#DIV/0!</v>
      </c>
      <c r="AQ6" s="87" t="e">
        <f t="shared" si="3"/>
        <v>#DIV/0!</v>
      </c>
      <c r="AR6" s="87" t="e">
        <f t="shared" si="3"/>
        <v>#DIV/0!</v>
      </c>
      <c r="AS6" s="87" t="e">
        <f t="shared" si="3"/>
        <v>#DIV/0!</v>
      </c>
      <c r="AT6" s="87" t="e">
        <f t="shared" si="3"/>
        <v>#DIV/0!</v>
      </c>
    </row>
    <row r="7" spans="2:46" ht="33">
      <c r="B7" s="72"/>
      <c r="C7" s="74" t="s">
        <v>71</v>
      </c>
      <c r="D7" s="72" t="s">
        <v>535</v>
      </c>
      <c r="E7" s="72"/>
      <c r="F7" s="72"/>
      <c r="G7" s="72"/>
      <c r="H7" s="72"/>
      <c r="I7" s="72"/>
      <c r="J7" s="72"/>
      <c r="K7" s="72"/>
      <c r="L7" s="72"/>
      <c r="M7" s="72"/>
      <c r="P7" s="72"/>
      <c r="Q7" s="74" t="s">
        <v>71</v>
      </c>
      <c r="R7" s="72" t="s">
        <v>535</v>
      </c>
      <c r="S7" s="88" t="str">
        <f t="shared" si="2"/>
        <v>-</v>
      </c>
      <c r="T7" s="88" t="str">
        <f t="shared" si="0"/>
        <v>-</v>
      </c>
      <c r="U7" s="88" t="str">
        <f t="shared" si="0"/>
        <v>-</v>
      </c>
      <c r="V7" s="88" t="str">
        <f t="shared" si="0"/>
        <v>-</v>
      </c>
      <c r="W7" s="88" t="str">
        <f t="shared" si="0"/>
        <v>-</v>
      </c>
      <c r="X7" s="88" t="str">
        <f t="shared" si="0"/>
        <v>-</v>
      </c>
      <c r="Y7" s="88" t="str">
        <f t="shared" si="0"/>
        <v>-</v>
      </c>
      <c r="Z7" s="88" t="str">
        <f t="shared" si="0"/>
        <v>-</v>
      </c>
      <c r="AA7" s="88" t="str">
        <f t="shared" si="0"/>
        <v>-</v>
      </c>
      <c r="AK7" s="72" t="s">
        <v>714</v>
      </c>
      <c r="AL7" s="87" t="e">
        <f t="shared" ref="AL7:AT7" si="4">AVERAGE(E16:E18)</f>
        <v>#DIV/0!</v>
      </c>
      <c r="AM7" s="87" t="e">
        <f t="shared" si="4"/>
        <v>#DIV/0!</v>
      </c>
      <c r="AN7" s="87" t="e">
        <f t="shared" si="4"/>
        <v>#DIV/0!</v>
      </c>
      <c r="AO7" s="87" t="e">
        <f t="shared" si="4"/>
        <v>#DIV/0!</v>
      </c>
      <c r="AP7" s="87" t="e">
        <f t="shared" si="4"/>
        <v>#DIV/0!</v>
      </c>
      <c r="AQ7" s="87" t="e">
        <f t="shared" si="4"/>
        <v>#DIV/0!</v>
      </c>
      <c r="AR7" s="87" t="e">
        <f t="shared" si="4"/>
        <v>#DIV/0!</v>
      </c>
      <c r="AS7" s="87" t="e">
        <f t="shared" si="4"/>
        <v>#DIV/0!</v>
      </c>
      <c r="AT7" s="87" t="e">
        <f t="shared" si="4"/>
        <v>#DIV/0!</v>
      </c>
    </row>
    <row r="8" spans="2:46" ht="49.5">
      <c r="B8" s="72" t="s">
        <v>713</v>
      </c>
      <c r="C8" s="74" t="s">
        <v>73</v>
      </c>
      <c r="D8" s="72" t="s">
        <v>542</v>
      </c>
      <c r="E8" s="72"/>
      <c r="F8" s="72"/>
      <c r="G8" s="72"/>
      <c r="H8" s="72"/>
      <c r="I8" s="72"/>
      <c r="J8" s="72"/>
      <c r="K8" s="72"/>
      <c r="L8" s="72"/>
      <c r="M8" s="72"/>
      <c r="P8" s="72" t="s">
        <v>713</v>
      </c>
      <c r="Q8" s="74" t="s">
        <v>73</v>
      </c>
      <c r="R8" s="72" t="s">
        <v>542</v>
      </c>
      <c r="S8" s="88" t="str">
        <f t="shared" si="2"/>
        <v>-</v>
      </c>
      <c r="T8" s="88" t="str">
        <f t="shared" si="0"/>
        <v>-</v>
      </c>
      <c r="U8" s="88" t="str">
        <f t="shared" si="0"/>
        <v>-</v>
      </c>
      <c r="V8" s="88" t="str">
        <f t="shared" si="0"/>
        <v>-</v>
      </c>
      <c r="W8" s="88" t="str">
        <f t="shared" si="0"/>
        <v>-</v>
      </c>
      <c r="X8" s="88" t="str">
        <f t="shared" si="0"/>
        <v>-</v>
      </c>
      <c r="Y8" s="88" t="str">
        <f t="shared" si="0"/>
        <v>-</v>
      </c>
      <c r="Z8" s="88" t="str">
        <f t="shared" si="0"/>
        <v>-</v>
      </c>
      <c r="AA8" s="88" t="str">
        <f t="shared" si="0"/>
        <v>-</v>
      </c>
      <c r="AK8" s="72" t="s">
        <v>715</v>
      </c>
      <c r="AL8" s="87" t="e">
        <f t="shared" ref="AL8:AT8" si="5">AVERAGE(E22:E32)</f>
        <v>#DIV/0!</v>
      </c>
      <c r="AM8" s="87" t="e">
        <f t="shared" si="5"/>
        <v>#DIV/0!</v>
      </c>
      <c r="AN8" s="87" t="e">
        <f t="shared" si="5"/>
        <v>#DIV/0!</v>
      </c>
      <c r="AO8" s="87" t="e">
        <f t="shared" si="5"/>
        <v>#DIV/0!</v>
      </c>
      <c r="AP8" s="87" t="e">
        <f t="shared" si="5"/>
        <v>#DIV/0!</v>
      </c>
      <c r="AQ8" s="87" t="e">
        <f t="shared" si="5"/>
        <v>#DIV/0!</v>
      </c>
      <c r="AR8" s="87" t="e">
        <f t="shared" si="5"/>
        <v>#DIV/0!</v>
      </c>
      <c r="AS8" s="87" t="e">
        <f t="shared" si="5"/>
        <v>#DIV/0!</v>
      </c>
      <c r="AT8" s="87" t="e">
        <f t="shared" si="5"/>
        <v>#DIV/0!</v>
      </c>
    </row>
    <row r="9" spans="2:46" ht="33">
      <c r="B9" s="72"/>
      <c r="C9" s="74" t="s">
        <v>78</v>
      </c>
      <c r="D9" s="72" t="s">
        <v>542</v>
      </c>
      <c r="E9" s="72"/>
      <c r="F9" s="72"/>
      <c r="G9" s="72"/>
      <c r="H9" s="72"/>
      <c r="I9" s="72"/>
      <c r="J9" s="72"/>
      <c r="K9" s="72"/>
      <c r="L9" s="72"/>
      <c r="M9" s="72"/>
      <c r="P9" s="72"/>
      <c r="Q9" s="74" t="s">
        <v>78</v>
      </c>
      <c r="R9" s="72" t="s">
        <v>542</v>
      </c>
      <c r="S9" s="88" t="str">
        <f t="shared" si="2"/>
        <v>-</v>
      </c>
      <c r="T9" s="88" t="str">
        <f t="shared" si="0"/>
        <v>-</v>
      </c>
      <c r="U9" s="88" t="str">
        <f t="shared" si="0"/>
        <v>-</v>
      </c>
      <c r="V9" s="88" t="str">
        <f t="shared" si="0"/>
        <v>-</v>
      </c>
      <c r="W9" s="88" t="str">
        <f t="shared" si="0"/>
        <v>-</v>
      </c>
      <c r="X9" s="88" t="str">
        <f t="shared" si="0"/>
        <v>-</v>
      </c>
      <c r="Y9" s="88" t="str">
        <f t="shared" si="0"/>
        <v>-</v>
      </c>
      <c r="Z9" s="88" t="str">
        <f t="shared" si="0"/>
        <v>-</v>
      </c>
      <c r="AA9" s="88" t="str">
        <f t="shared" si="0"/>
        <v>-</v>
      </c>
      <c r="AK9" s="72" t="s">
        <v>716</v>
      </c>
      <c r="AL9" s="87" t="e">
        <f t="shared" ref="AL9:AT9" si="6">AVERAGE(E33:E37)</f>
        <v>#DIV/0!</v>
      </c>
      <c r="AM9" s="87" t="e">
        <f t="shared" si="6"/>
        <v>#DIV/0!</v>
      </c>
      <c r="AN9" s="87" t="e">
        <f t="shared" si="6"/>
        <v>#DIV/0!</v>
      </c>
      <c r="AO9" s="87" t="e">
        <f t="shared" si="6"/>
        <v>#DIV/0!</v>
      </c>
      <c r="AP9" s="87" t="e">
        <f t="shared" si="6"/>
        <v>#DIV/0!</v>
      </c>
      <c r="AQ9" s="87" t="e">
        <f t="shared" si="6"/>
        <v>#DIV/0!</v>
      </c>
      <c r="AR9" s="87" t="e">
        <f t="shared" si="6"/>
        <v>#DIV/0!</v>
      </c>
      <c r="AS9" s="87" t="e">
        <f t="shared" si="6"/>
        <v>#DIV/0!</v>
      </c>
      <c r="AT9" s="87" t="e">
        <f t="shared" si="6"/>
        <v>#DIV/0!</v>
      </c>
    </row>
    <row r="10" spans="2:46" ht="16.5">
      <c r="B10" s="72"/>
      <c r="C10" s="74" t="s">
        <v>80</v>
      </c>
      <c r="D10" s="72" t="s">
        <v>542</v>
      </c>
      <c r="E10" s="72"/>
      <c r="F10" s="72"/>
      <c r="G10" s="72"/>
      <c r="H10" s="72"/>
      <c r="I10" s="72"/>
      <c r="J10" s="72"/>
      <c r="K10" s="72"/>
      <c r="L10" s="72"/>
      <c r="M10" s="72"/>
      <c r="P10" s="72"/>
      <c r="Q10" s="74" t="s">
        <v>80</v>
      </c>
      <c r="R10" s="72" t="s">
        <v>542</v>
      </c>
      <c r="S10" s="88" t="str">
        <f t="shared" si="2"/>
        <v>-</v>
      </c>
      <c r="T10" s="88" t="str">
        <f t="shared" si="0"/>
        <v>-</v>
      </c>
      <c r="U10" s="88" t="str">
        <f t="shared" si="0"/>
        <v>-</v>
      </c>
      <c r="V10" s="88" t="str">
        <f t="shared" si="0"/>
        <v>-</v>
      </c>
      <c r="W10" s="88" t="str">
        <f t="shared" si="0"/>
        <v>-</v>
      </c>
      <c r="X10" s="88" t="str">
        <f t="shared" si="0"/>
        <v>-</v>
      </c>
      <c r="Y10" s="88" t="str">
        <f t="shared" si="0"/>
        <v>-</v>
      </c>
      <c r="Z10" s="88" t="str">
        <f t="shared" si="0"/>
        <v>-</v>
      </c>
      <c r="AA10" s="88" t="str">
        <f t="shared" si="0"/>
        <v>-</v>
      </c>
      <c r="AK10" s="72" t="s">
        <v>717</v>
      </c>
      <c r="AL10" s="87" t="e">
        <f>AVERAGE(AL5:AL9)</f>
        <v>#DIV/0!</v>
      </c>
      <c r="AM10" s="87" t="e">
        <f t="shared" ref="AM10:AT10" si="7">AVERAGE(AM5:AM9)</f>
        <v>#DIV/0!</v>
      </c>
      <c r="AN10" s="87" t="e">
        <f t="shared" si="7"/>
        <v>#DIV/0!</v>
      </c>
      <c r="AO10" s="87" t="e">
        <f t="shared" si="7"/>
        <v>#DIV/0!</v>
      </c>
      <c r="AP10" s="87" t="e">
        <f t="shared" si="7"/>
        <v>#DIV/0!</v>
      </c>
      <c r="AQ10" s="87" t="e">
        <f t="shared" si="7"/>
        <v>#DIV/0!</v>
      </c>
      <c r="AR10" s="87" t="e">
        <f t="shared" si="7"/>
        <v>#DIV/0!</v>
      </c>
      <c r="AS10" s="87" t="e">
        <f t="shared" si="7"/>
        <v>#DIV/0!</v>
      </c>
      <c r="AT10" s="87" t="e">
        <f t="shared" si="7"/>
        <v>#DIV/0!</v>
      </c>
    </row>
    <row r="11" spans="2:46" ht="16.5">
      <c r="B11" s="72"/>
      <c r="C11" s="74" t="s">
        <v>82</v>
      </c>
      <c r="D11" s="72" t="s">
        <v>542</v>
      </c>
      <c r="E11" s="72"/>
      <c r="F11" s="72"/>
      <c r="G11" s="72"/>
      <c r="H11" s="72"/>
      <c r="I11" s="72"/>
      <c r="J11" s="72"/>
      <c r="K11" s="72"/>
      <c r="L11" s="72"/>
      <c r="M11" s="72"/>
      <c r="P11" s="72"/>
      <c r="Q11" s="74" t="s">
        <v>82</v>
      </c>
      <c r="R11" s="72" t="s">
        <v>542</v>
      </c>
      <c r="S11" s="88" t="str">
        <f t="shared" si="2"/>
        <v>-</v>
      </c>
      <c r="T11" s="88" t="str">
        <f t="shared" si="0"/>
        <v>-</v>
      </c>
      <c r="U11" s="88" t="str">
        <f t="shared" si="0"/>
        <v>-</v>
      </c>
      <c r="V11" s="88" t="str">
        <f t="shared" si="0"/>
        <v>-</v>
      </c>
      <c r="W11" s="88" t="str">
        <f t="shared" si="0"/>
        <v>-</v>
      </c>
      <c r="X11" s="88" t="str">
        <f t="shared" si="0"/>
        <v>-</v>
      </c>
      <c r="Y11" s="88" t="str">
        <f t="shared" si="0"/>
        <v>-</v>
      </c>
      <c r="Z11" s="88" t="str">
        <f t="shared" si="0"/>
        <v>-</v>
      </c>
      <c r="AA11" s="88" t="str">
        <f t="shared" si="0"/>
        <v>-</v>
      </c>
    </row>
    <row r="12" spans="2:46" ht="16.5">
      <c r="B12" s="72"/>
      <c r="C12" s="74" t="s">
        <v>86</v>
      </c>
      <c r="D12" s="72" t="s">
        <v>609</v>
      </c>
      <c r="E12" s="72"/>
      <c r="F12" s="72"/>
      <c r="G12" s="72"/>
      <c r="H12" s="72"/>
      <c r="I12" s="72"/>
      <c r="J12" s="72"/>
      <c r="K12" s="72"/>
      <c r="L12" s="72"/>
      <c r="M12" s="72"/>
      <c r="P12" s="72"/>
      <c r="Q12" s="74" t="s">
        <v>86</v>
      </c>
      <c r="R12" s="72" t="s">
        <v>609</v>
      </c>
      <c r="S12" s="88" t="str">
        <f t="shared" si="2"/>
        <v>-</v>
      </c>
      <c r="T12" s="88" t="str">
        <f t="shared" si="0"/>
        <v>-</v>
      </c>
      <c r="U12" s="88" t="str">
        <f t="shared" si="0"/>
        <v>-</v>
      </c>
      <c r="V12" s="88" t="str">
        <f t="shared" si="0"/>
        <v>-</v>
      </c>
      <c r="W12" s="88" t="str">
        <f t="shared" si="0"/>
        <v>-</v>
      </c>
      <c r="X12" s="88" t="str">
        <f t="shared" si="0"/>
        <v>-</v>
      </c>
      <c r="Y12" s="88" t="str">
        <f t="shared" si="0"/>
        <v>-</v>
      </c>
      <c r="Z12" s="88" t="str">
        <f t="shared" si="0"/>
        <v>-</v>
      </c>
      <c r="AA12" s="88" t="str">
        <f t="shared" si="0"/>
        <v>-</v>
      </c>
    </row>
    <row r="13" spans="2:46" ht="16.5">
      <c r="B13" s="72"/>
      <c r="C13" s="290" t="s">
        <v>87</v>
      </c>
      <c r="D13" s="320" t="s">
        <v>609</v>
      </c>
      <c r="E13" s="72"/>
      <c r="F13" s="72"/>
      <c r="G13" s="72"/>
      <c r="H13" s="72"/>
      <c r="I13" s="72"/>
      <c r="J13" s="72"/>
      <c r="K13" s="72"/>
      <c r="L13" s="72"/>
      <c r="M13" s="72"/>
      <c r="P13" s="72"/>
      <c r="Q13" s="29"/>
      <c r="R13" s="72"/>
      <c r="S13" s="88"/>
      <c r="T13" s="88"/>
      <c r="U13" s="88"/>
      <c r="V13" s="88"/>
      <c r="W13" s="88"/>
      <c r="X13" s="88"/>
      <c r="Y13" s="88"/>
      <c r="Z13" s="88"/>
      <c r="AA13" s="88"/>
    </row>
    <row r="14" spans="2:46" ht="16.5">
      <c r="B14" s="72"/>
      <c r="C14" s="290" t="s">
        <v>88</v>
      </c>
      <c r="D14" s="320" t="s">
        <v>609</v>
      </c>
      <c r="E14" s="72"/>
      <c r="F14" s="72"/>
      <c r="G14" s="72"/>
      <c r="H14" s="72"/>
      <c r="I14" s="72"/>
      <c r="J14" s="72"/>
      <c r="K14" s="72"/>
      <c r="L14" s="72"/>
      <c r="M14" s="72"/>
      <c r="P14" s="72"/>
      <c r="Q14"/>
      <c r="R14" s="72" t="s">
        <v>609</v>
      </c>
      <c r="S14" s="88" t="str">
        <f t="shared" si="2"/>
        <v>-</v>
      </c>
      <c r="T14" s="88" t="str">
        <f t="shared" si="0"/>
        <v>-</v>
      </c>
      <c r="U14" s="88" t="str">
        <f t="shared" si="0"/>
        <v>-</v>
      </c>
      <c r="V14" s="88" t="str">
        <f t="shared" si="0"/>
        <v>-</v>
      </c>
      <c r="W14" s="88" t="str">
        <f t="shared" si="0"/>
        <v>-</v>
      </c>
      <c r="X14" s="88" t="str">
        <f t="shared" si="0"/>
        <v>-</v>
      </c>
      <c r="Y14" s="88" t="str">
        <f t="shared" si="0"/>
        <v>-</v>
      </c>
      <c r="Z14" s="88" t="str">
        <f t="shared" si="0"/>
        <v>-</v>
      </c>
      <c r="AA14" s="88" t="str">
        <f t="shared" si="0"/>
        <v>-</v>
      </c>
    </row>
    <row r="15" spans="2:46" ht="16.5">
      <c r="B15" s="72"/>
      <c r="C15" s="74" t="s">
        <v>89</v>
      </c>
      <c r="D15" s="72" t="s">
        <v>609</v>
      </c>
      <c r="E15" s="72"/>
      <c r="F15" s="72"/>
      <c r="G15" s="72"/>
      <c r="H15" s="72"/>
      <c r="I15" s="72"/>
      <c r="J15" s="72"/>
      <c r="K15" s="72"/>
      <c r="L15" s="72"/>
      <c r="M15" s="72"/>
      <c r="P15" s="72"/>
      <c r="Q15" s="74" t="s">
        <v>89</v>
      </c>
      <c r="R15" s="72" t="s">
        <v>609</v>
      </c>
      <c r="S15" s="88" t="str">
        <f t="shared" si="2"/>
        <v>-</v>
      </c>
      <c r="T15" s="88" t="str">
        <f t="shared" si="0"/>
        <v>-</v>
      </c>
      <c r="U15" s="88" t="str">
        <f t="shared" si="0"/>
        <v>-</v>
      </c>
      <c r="V15" s="88" t="str">
        <f t="shared" si="0"/>
        <v>-</v>
      </c>
      <c r="W15" s="88" t="str">
        <f t="shared" si="0"/>
        <v>-</v>
      </c>
      <c r="X15" s="88" t="str">
        <f t="shared" si="0"/>
        <v>-</v>
      </c>
      <c r="Y15" s="88" t="str">
        <f t="shared" si="0"/>
        <v>-</v>
      </c>
      <c r="Z15" s="88" t="str">
        <f t="shared" si="0"/>
        <v>-</v>
      </c>
      <c r="AA15" s="88" t="str">
        <f t="shared" si="0"/>
        <v>-</v>
      </c>
      <c r="AK15" s="72"/>
      <c r="AL15" s="80"/>
      <c r="AM15" s="80"/>
      <c r="AN15" s="80"/>
      <c r="AO15" s="80"/>
      <c r="AP15" s="80"/>
      <c r="AQ15" s="80"/>
      <c r="AR15" s="80"/>
      <c r="AS15" s="80"/>
      <c r="AT15" s="80" t="s">
        <v>711</v>
      </c>
    </row>
    <row r="16" spans="2:46" ht="49.5">
      <c r="B16" s="72" t="s">
        <v>714</v>
      </c>
      <c r="C16" s="74" t="s">
        <v>94</v>
      </c>
      <c r="D16" s="72" t="s">
        <v>535</v>
      </c>
      <c r="E16" s="72"/>
      <c r="F16" s="72"/>
      <c r="G16" s="72"/>
      <c r="H16" s="72"/>
      <c r="I16" s="72"/>
      <c r="J16" s="72"/>
      <c r="K16" s="72"/>
      <c r="L16" s="72"/>
      <c r="M16" s="72"/>
      <c r="P16" s="72" t="s">
        <v>714</v>
      </c>
      <c r="Q16" s="74" t="s">
        <v>94</v>
      </c>
      <c r="R16" s="72" t="s">
        <v>535</v>
      </c>
      <c r="S16" s="88" t="str">
        <f t="shared" si="2"/>
        <v>-</v>
      </c>
      <c r="T16" s="88" t="str">
        <f t="shared" si="0"/>
        <v>-</v>
      </c>
      <c r="U16" s="88" t="str">
        <f t="shared" si="0"/>
        <v>-</v>
      </c>
      <c r="V16" s="88" t="str">
        <f t="shared" si="0"/>
        <v>-</v>
      </c>
      <c r="W16" s="88" t="str">
        <f t="shared" si="0"/>
        <v>-</v>
      </c>
      <c r="X16" s="88" t="str">
        <f t="shared" si="0"/>
        <v>-</v>
      </c>
      <c r="Y16" s="88" t="str">
        <f t="shared" si="0"/>
        <v>-</v>
      </c>
      <c r="Z16" s="88" t="str">
        <f t="shared" si="0"/>
        <v>-</v>
      </c>
      <c r="AA16" s="88" t="str">
        <f t="shared" si="0"/>
        <v>-</v>
      </c>
      <c r="AK16" s="72" t="s">
        <v>622</v>
      </c>
      <c r="AL16" s="87" t="e">
        <f t="shared" ref="AL16:AT18" si="8">AVERAGEIFS(E$5:E$37,$D$5:$D$37,$AK16)</f>
        <v>#DIV/0!</v>
      </c>
      <c r="AM16" s="87" t="e">
        <f t="shared" si="8"/>
        <v>#DIV/0!</v>
      </c>
      <c r="AN16" s="87" t="e">
        <f t="shared" si="8"/>
        <v>#DIV/0!</v>
      </c>
      <c r="AO16" s="87" t="e">
        <f t="shared" si="8"/>
        <v>#DIV/0!</v>
      </c>
      <c r="AP16" s="87" t="e">
        <f t="shared" si="8"/>
        <v>#DIV/0!</v>
      </c>
      <c r="AQ16" s="87" t="e">
        <f t="shared" si="8"/>
        <v>#DIV/0!</v>
      </c>
      <c r="AR16" s="87" t="e">
        <f t="shared" si="8"/>
        <v>#DIV/0!</v>
      </c>
      <c r="AS16" s="87" t="e">
        <f t="shared" si="8"/>
        <v>#DIV/0!</v>
      </c>
      <c r="AT16" s="87" t="e">
        <f t="shared" si="8"/>
        <v>#DIV/0!</v>
      </c>
    </row>
    <row r="17" spans="2:46" ht="33">
      <c r="B17" s="72"/>
      <c r="C17" s="74" t="s">
        <v>96</v>
      </c>
      <c r="D17" s="72" t="s">
        <v>535</v>
      </c>
      <c r="E17" s="72"/>
      <c r="F17" s="72"/>
      <c r="G17" s="72"/>
      <c r="H17" s="72"/>
      <c r="I17" s="72"/>
      <c r="J17" s="72"/>
      <c r="K17" s="72"/>
      <c r="L17" s="72"/>
      <c r="M17" s="72"/>
      <c r="P17" s="72"/>
      <c r="Q17" s="74" t="s">
        <v>96</v>
      </c>
      <c r="R17" s="72" t="s">
        <v>535</v>
      </c>
      <c r="S17" s="88" t="str">
        <f t="shared" si="2"/>
        <v>-</v>
      </c>
      <c r="T17" s="88" t="str">
        <f t="shared" si="0"/>
        <v>-</v>
      </c>
      <c r="U17" s="88" t="str">
        <f t="shared" si="0"/>
        <v>-</v>
      </c>
      <c r="V17" s="88" t="str">
        <f t="shared" si="0"/>
        <v>-</v>
      </c>
      <c r="W17" s="88" t="str">
        <f t="shared" si="0"/>
        <v>-</v>
      </c>
      <c r="X17" s="88" t="str">
        <f t="shared" si="0"/>
        <v>-</v>
      </c>
      <c r="Y17" s="88" t="str">
        <f t="shared" si="0"/>
        <v>-</v>
      </c>
      <c r="Z17" s="88" t="str">
        <f t="shared" si="0"/>
        <v>-</v>
      </c>
      <c r="AA17" s="88" t="str">
        <f t="shared" si="0"/>
        <v>-</v>
      </c>
      <c r="AK17" s="72" t="s">
        <v>535</v>
      </c>
      <c r="AL17" s="87" t="e">
        <f t="shared" si="8"/>
        <v>#DIV/0!</v>
      </c>
      <c r="AM17" s="87" t="e">
        <f t="shared" si="8"/>
        <v>#DIV/0!</v>
      </c>
      <c r="AN17" s="87" t="e">
        <f t="shared" si="8"/>
        <v>#DIV/0!</v>
      </c>
      <c r="AO17" s="87" t="e">
        <f t="shared" si="8"/>
        <v>#DIV/0!</v>
      </c>
      <c r="AP17" s="87" t="e">
        <f t="shared" si="8"/>
        <v>#DIV/0!</v>
      </c>
      <c r="AQ17" s="87" t="e">
        <f t="shared" si="8"/>
        <v>#DIV/0!</v>
      </c>
      <c r="AR17" s="87" t="e">
        <f t="shared" si="8"/>
        <v>#DIV/0!</v>
      </c>
      <c r="AS17" s="87" t="e">
        <f t="shared" si="8"/>
        <v>#DIV/0!</v>
      </c>
      <c r="AT17" s="87" t="e">
        <f t="shared" si="8"/>
        <v>#DIV/0!</v>
      </c>
    </row>
    <row r="18" spans="2:46" ht="16.5">
      <c r="B18" s="72"/>
      <c r="C18" s="74" t="s">
        <v>98</v>
      </c>
      <c r="D18" s="72" t="s">
        <v>535</v>
      </c>
      <c r="E18" s="72"/>
      <c r="F18" s="72"/>
      <c r="G18" s="72"/>
      <c r="H18" s="72"/>
      <c r="I18" s="72"/>
      <c r="J18" s="72"/>
      <c r="K18" s="72"/>
      <c r="L18" s="72"/>
      <c r="M18" s="72"/>
      <c r="P18" s="72"/>
      <c r="Q18" s="74" t="s">
        <v>98</v>
      </c>
      <c r="R18" s="72" t="s">
        <v>535</v>
      </c>
      <c r="S18" s="88" t="str">
        <f t="shared" si="2"/>
        <v>-</v>
      </c>
      <c r="T18" s="88" t="str">
        <f t="shared" si="0"/>
        <v>-</v>
      </c>
      <c r="U18" s="88" t="str">
        <f t="shared" si="0"/>
        <v>-</v>
      </c>
      <c r="V18" s="88" t="str">
        <f t="shared" si="0"/>
        <v>-</v>
      </c>
      <c r="W18" s="88" t="str">
        <f t="shared" si="0"/>
        <v>-</v>
      </c>
      <c r="X18" s="88" t="str">
        <f t="shared" si="0"/>
        <v>-</v>
      </c>
      <c r="Y18" s="88" t="str">
        <f t="shared" si="0"/>
        <v>-</v>
      </c>
      <c r="Z18" s="88" t="str">
        <f t="shared" si="0"/>
        <v>-</v>
      </c>
      <c r="AA18" s="88" t="str">
        <f t="shared" si="0"/>
        <v>-</v>
      </c>
      <c r="AK18" s="72" t="s">
        <v>542</v>
      </c>
      <c r="AL18" s="87" t="e">
        <f t="shared" si="8"/>
        <v>#DIV/0!</v>
      </c>
      <c r="AM18" s="87" t="e">
        <f t="shared" si="8"/>
        <v>#DIV/0!</v>
      </c>
      <c r="AN18" s="87" t="e">
        <f t="shared" si="8"/>
        <v>#DIV/0!</v>
      </c>
      <c r="AO18" s="87" t="e">
        <f t="shared" si="8"/>
        <v>#DIV/0!</v>
      </c>
      <c r="AP18" s="87" t="e">
        <f t="shared" si="8"/>
        <v>#DIV/0!</v>
      </c>
      <c r="AQ18" s="87" t="e">
        <f t="shared" si="8"/>
        <v>#DIV/0!</v>
      </c>
      <c r="AR18" s="87" t="e">
        <f t="shared" si="8"/>
        <v>#DIV/0!</v>
      </c>
      <c r="AS18" s="87" t="e">
        <f t="shared" si="8"/>
        <v>#DIV/0!</v>
      </c>
      <c r="AT18" s="87" t="e">
        <f t="shared" si="8"/>
        <v>#DIV/0!</v>
      </c>
    </row>
    <row r="19" spans="2:46" ht="33">
      <c r="B19" s="72"/>
      <c r="C19" s="290" t="s">
        <v>100</v>
      </c>
      <c r="D19" s="320" t="s">
        <v>535</v>
      </c>
      <c r="E19" s="72"/>
      <c r="F19" s="72"/>
      <c r="G19" s="72"/>
      <c r="H19" s="72"/>
      <c r="I19" s="72"/>
      <c r="J19" s="72"/>
      <c r="K19" s="72"/>
      <c r="L19" s="72"/>
      <c r="M19" s="72"/>
      <c r="P19" s="72"/>
      <c r="Q19" s="74"/>
      <c r="R19" s="72"/>
      <c r="S19" s="88"/>
      <c r="T19" s="88"/>
      <c r="U19" s="88"/>
      <c r="V19" s="88"/>
      <c r="W19" s="88"/>
      <c r="X19" s="88"/>
      <c r="Y19" s="88"/>
      <c r="Z19" s="88"/>
      <c r="AA19" s="88"/>
      <c r="AL19" s="121"/>
      <c r="AM19" s="121"/>
      <c r="AN19" s="121"/>
      <c r="AO19" s="121"/>
      <c r="AP19" s="121"/>
      <c r="AQ19" s="121"/>
      <c r="AR19" s="121"/>
      <c r="AS19" s="121"/>
      <c r="AT19" s="121"/>
    </row>
    <row r="20" spans="2:46" ht="33">
      <c r="B20" s="72"/>
      <c r="C20" s="290" t="s">
        <v>102</v>
      </c>
      <c r="D20" s="320" t="s">
        <v>535</v>
      </c>
      <c r="E20" s="72"/>
      <c r="F20" s="72"/>
      <c r="G20" s="72"/>
      <c r="H20" s="72"/>
      <c r="I20" s="72"/>
      <c r="J20" s="72"/>
      <c r="K20" s="72"/>
      <c r="L20" s="72"/>
      <c r="M20" s="72"/>
      <c r="P20" s="72"/>
      <c r="Q20" s="74"/>
      <c r="R20" s="72"/>
      <c r="S20" s="88"/>
      <c r="T20" s="88"/>
      <c r="U20" s="88"/>
      <c r="V20" s="88"/>
      <c r="W20" s="88"/>
      <c r="X20" s="88"/>
      <c r="Y20" s="88"/>
      <c r="Z20" s="88"/>
      <c r="AA20" s="88"/>
      <c r="AL20" s="121"/>
      <c r="AM20" s="121"/>
      <c r="AN20" s="121"/>
      <c r="AO20" s="121"/>
      <c r="AP20" s="121"/>
      <c r="AQ20" s="121"/>
      <c r="AR20" s="121"/>
      <c r="AS20" s="121"/>
      <c r="AT20" s="121"/>
    </row>
    <row r="21" spans="2:46" ht="16.5">
      <c r="B21" s="72"/>
      <c r="C21" s="290" t="s">
        <v>103</v>
      </c>
      <c r="D21" s="320" t="s">
        <v>535</v>
      </c>
      <c r="E21" s="72"/>
      <c r="F21" s="72"/>
      <c r="G21" s="72"/>
      <c r="H21" s="72"/>
      <c r="I21" s="72"/>
      <c r="J21" s="72"/>
      <c r="K21" s="72"/>
      <c r="L21" s="72"/>
      <c r="M21" s="72"/>
      <c r="P21" s="72"/>
      <c r="Q21" s="74"/>
      <c r="R21" s="72"/>
      <c r="S21" s="88"/>
      <c r="T21" s="88"/>
      <c r="U21" s="88"/>
      <c r="V21" s="88"/>
      <c r="W21" s="88"/>
      <c r="X21" s="88"/>
      <c r="Y21" s="88"/>
      <c r="Z21" s="88"/>
      <c r="AA21" s="88"/>
      <c r="AL21" s="121"/>
      <c r="AM21" s="121"/>
      <c r="AN21" s="121"/>
      <c r="AO21" s="121"/>
      <c r="AP21" s="121"/>
      <c r="AQ21" s="121"/>
      <c r="AR21" s="121"/>
      <c r="AS21" s="121"/>
      <c r="AT21" s="121"/>
    </row>
    <row r="22" spans="2:46" ht="33">
      <c r="B22" s="72" t="s">
        <v>715</v>
      </c>
      <c r="C22" s="74" t="s">
        <v>111</v>
      </c>
      <c r="D22" s="72" t="s">
        <v>609</v>
      </c>
      <c r="E22" s="72"/>
      <c r="F22" s="72"/>
      <c r="G22" s="72"/>
      <c r="H22" s="72"/>
      <c r="I22" s="72"/>
      <c r="J22" s="72"/>
      <c r="K22" s="72"/>
      <c r="L22" s="72"/>
      <c r="M22" s="72"/>
      <c r="P22" s="72" t="s">
        <v>715</v>
      </c>
      <c r="Q22" s="74" t="s">
        <v>111</v>
      </c>
      <c r="R22" s="72" t="s">
        <v>609</v>
      </c>
      <c r="S22" s="88" t="str">
        <f t="shared" si="2"/>
        <v>-</v>
      </c>
      <c r="T22" s="88" t="str">
        <f t="shared" si="0"/>
        <v>-</v>
      </c>
      <c r="U22" s="88" t="str">
        <f t="shared" si="0"/>
        <v>-</v>
      </c>
      <c r="V22" s="88" t="str">
        <f t="shared" si="0"/>
        <v>-</v>
      </c>
      <c r="W22" s="88" t="str">
        <f t="shared" si="0"/>
        <v>-</v>
      </c>
      <c r="X22" s="88" t="str">
        <f t="shared" si="0"/>
        <v>-</v>
      </c>
      <c r="Y22" s="88" t="str">
        <f t="shared" si="0"/>
        <v>-</v>
      </c>
      <c r="Z22" s="88" t="str">
        <f t="shared" si="0"/>
        <v>-</v>
      </c>
      <c r="AA22" s="88" t="str">
        <f t="shared" si="0"/>
        <v>-</v>
      </c>
    </row>
    <row r="23" spans="2:46" ht="16.5">
      <c r="B23" s="72"/>
      <c r="C23" s="74" t="s">
        <v>109</v>
      </c>
      <c r="D23" s="72" t="s">
        <v>542</v>
      </c>
      <c r="E23" s="72"/>
      <c r="F23" s="72"/>
      <c r="G23" s="72"/>
      <c r="H23" s="72"/>
      <c r="I23" s="72"/>
      <c r="J23" s="72"/>
      <c r="K23" s="72"/>
      <c r="L23" s="72"/>
      <c r="M23" s="72"/>
      <c r="P23" s="72"/>
      <c r="Q23" s="74" t="s">
        <v>109</v>
      </c>
      <c r="R23" s="72" t="s">
        <v>542</v>
      </c>
      <c r="S23" s="88" t="str">
        <f t="shared" si="2"/>
        <v>-</v>
      </c>
      <c r="T23" s="88" t="str">
        <f t="shared" si="0"/>
        <v>-</v>
      </c>
      <c r="U23" s="88" t="str">
        <f t="shared" si="0"/>
        <v>-</v>
      </c>
      <c r="V23" s="88" t="str">
        <f t="shared" si="0"/>
        <v>-</v>
      </c>
      <c r="W23" s="88" t="str">
        <f t="shared" si="0"/>
        <v>-</v>
      </c>
      <c r="X23" s="88" t="str">
        <f t="shared" si="0"/>
        <v>-</v>
      </c>
      <c r="Y23" s="88" t="str">
        <f t="shared" si="0"/>
        <v>-</v>
      </c>
      <c r="Z23" s="88" t="str">
        <f t="shared" si="0"/>
        <v>-</v>
      </c>
      <c r="AA23" s="88" t="str">
        <f t="shared" si="0"/>
        <v>-</v>
      </c>
    </row>
    <row r="24" spans="2:46" ht="33">
      <c r="B24" s="72"/>
      <c r="C24" s="74" t="s">
        <v>112</v>
      </c>
      <c r="D24" s="72" t="s">
        <v>609</v>
      </c>
      <c r="E24" s="72"/>
      <c r="F24" s="72"/>
      <c r="G24" s="72"/>
      <c r="H24" s="72"/>
      <c r="I24" s="72"/>
      <c r="J24" s="72"/>
      <c r="K24" s="72"/>
      <c r="L24" s="72"/>
      <c r="M24" s="72"/>
      <c r="P24" s="72"/>
      <c r="Q24" s="74" t="s">
        <v>112</v>
      </c>
      <c r="R24" s="72" t="s">
        <v>609</v>
      </c>
      <c r="S24" s="88" t="str">
        <f t="shared" si="2"/>
        <v>-</v>
      </c>
      <c r="T24" s="88" t="str">
        <f t="shared" si="0"/>
        <v>-</v>
      </c>
      <c r="U24" s="88" t="str">
        <f t="shared" si="0"/>
        <v>-</v>
      </c>
      <c r="V24" s="88" t="str">
        <f t="shared" si="0"/>
        <v>-</v>
      </c>
      <c r="W24" s="88" t="str">
        <f t="shared" si="0"/>
        <v>-</v>
      </c>
      <c r="X24" s="88" t="str">
        <f t="shared" si="0"/>
        <v>-</v>
      </c>
      <c r="Y24" s="88" t="str">
        <f t="shared" si="0"/>
        <v>-</v>
      </c>
      <c r="Z24" s="88" t="str">
        <f t="shared" si="0"/>
        <v>-</v>
      </c>
      <c r="AA24" s="88" t="str">
        <f t="shared" si="0"/>
        <v>-</v>
      </c>
    </row>
    <row r="25" spans="2:46" ht="33">
      <c r="B25" s="72"/>
      <c r="C25" s="74" t="s">
        <v>114</v>
      </c>
      <c r="D25" s="72" t="s">
        <v>542</v>
      </c>
      <c r="E25" s="72"/>
      <c r="F25" s="72"/>
      <c r="G25" s="72"/>
      <c r="H25" s="72"/>
      <c r="I25" s="72"/>
      <c r="J25" s="72"/>
      <c r="K25" s="72"/>
      <c r="L25" s="72"/>
      <c r="M25" s="72"/>
      <c r="P25" s="72"/>
      <c r="Q25" s="74" t="s">
        <v>114</v>
      </c>
      <c r="R25" s="72" t="s">
        <v>542</v>
      </c>
      <c r="S25" s="88" t="str">
        <f t="shared" si="2"/>
        <v>-</v>
      </c>
      <c r="T25" s="88" t="str">
        <f t="shared" ref="T25:T37" si="9">IF(F25=1,"C",IF(F25=2,"B-",IF(F25=3,"B",IF(F25=4,"B+",IF(F25=5,"A","-")))))</f>
        <v>-</v>
      </c>
      <c r="U25" s="88" t="str">
        <f t="shared" ref="U25:U37" si="10">IF(G25=1,"C",IF(G25=2,"B-",IF(G25=3,"B",IF(G25=4,"B+",IF(G25=5,"A","-")))))</f>
        <v>-</v>
      </c>
      <c r="V25" s="88" t="str">
        <f t="shared" ref="V25:V37" si="11">IF(H25=1,"C",IF(H25=2,"B-",IF(H25=3,"B",IF(H25=4,"B+",IF(H25=5,"A","-")))))</f>
        <v>-</v>
      </c>
      <c r="W25" s="88" t="str">
        <f t="shared" ref="W25:W37" si="12">IF(I25=1,"C",IF(I25=2,"B-",IF(I25=3,"B",IF(I25=4,"B+",IF(I25=5,"A","-")))))</f>
        <v>-</v>
      </c>
      <c r="X25" s="88" t="str">
        <f t="shared" ref="X25:X37" si="13">IF(J25=1,"C",IF(J25=2,"B-",IF(J25=3,"B",IF(J25=4,"B+",IF(J25=5,"A","-")))))</f>
        <v>-</v>
      </c>
      <c r="Y25" s="88" t="str">
        <f t="shared" ref="Y25:Y37" si="14">IF(K25=1,"C",IF(K25=2,"B-",IF(K25=3,"B",IF(K25=4,"B+",IF(K25=5,"A","-")))))</f>
        <v>-</v>
      </c>
      <c r="Z25" s="88" t="str">
        <f t="shared" ref="Z25:Z37" si="15">IF(L25=1,"C",IF(L25=2,"B-",IF(L25=3,"B",IF(L25=4,"B+",IF(L25=5,"A","-")))))</f>
        <v>-</v>
      </c>
      <c r="AA25" s="88" t="str">
        <f t="shared" ref="AA25:AA37" si="16">IF(M25=1,"C",IF(M25=2,"B-",IF(M25=3,"B",IF(M25=4,"B+",IF(M25=5,"A","-")))))</f>
        <v>-</v>
      </c>
    </row>
    <row r="26" spans="2:46" ht="16.5">
      <c r="B26" s="72"/>
      <c r="C26" s="74" t="s">
        <v>116</v>
      </c>
      <c r="D26" s="72" t="s">
        <v>542</v>
      </c>
      <c r="E26" s="72"/>
      <c r="F26" s="72"/>
      <c r="G26" s="72"/>
      <c r="H26" s="72"/>
      <c r="I26" s="72"/>
      <c r="J26" s="72"/>
      <c r="K26" s="72"/>
      <c r="L26" s="72"/>
      <c r="M26" s="72"/>
      <c r="P26" s="72"/>
      <c r="Q26" s="74" t="s">
        <v>116</v>
      </c>
      <c r="R26" s="72" t="s">
        <v>542</v>
      </c>
      <c r="S26" s="88" t="str">
        <f t="shared" si="2"/>
        <v>-</v>
      </c>
      <c r="T26" s="88" t="str">
        <f t="shared" si="9"/>
        <v>-</v>
      </c>
      <c r="U26" s="88" t="str">
        <f t="shared" si="10"/>
        <v>-</v>
      </c>
      <c r="V26" s="88" t="str">
        <f t="shared" si="11"/>
        <v>-</v>
      </c>
      <c r="W26" s="88" t="str">
        <f t="shared" si="12"/>
        <v>-</v>
      </c>
      <c r="X26" s="88" t="str">
        <f t="shared" si="13"/>
        <v>-</v>
      </c>
      <c r="Y26" s="88" t="str">
        <f t="shared" si="14"/>
        <v>-</v>
      </c>
      <c r="Z26" s="88" t="str">
        <f t="shared" si="15"/>
        <v>-</v>
      </c>
      <c r="AA26" s="88" t="str">
        <f t="shared" si="16"/>
        <v>-</v>
      </c>
    </row>
    <row r="27" spans="2:46" ht="16.5">
      <c r="B27" s="72"/>
      <c r="C27" s="74" t="s">
        <v>118</v>
      </c>
      <c r="D27" s="72" t="s">
        <v>609</v>
      </c>
      <c r="E27" s="72"/>
      <c r="F27" s="72"/>
      <c r="G27" s="72"/>
      <c r="H27" s="72"/>
      <c r="I27" s="72"/>
      <c r="J27" s="72"/>
      <c r="K27" s="72"/>
      <c r="L27" s="72"/>
      <c r="M27" s="72"/>
      <c r="P27" s="72"/>
      <c r="Q27" s="74" t="s">
        <v>118</v>
      </c>
      <c r="R27" s="72" t="s">
        <v>609</v>
      </c>
      <c r="S27" s="88" t="str">
        <f t="shared" si="2"/>
        <v>-</v>
      </c>
      <c r="T27" s="88" t="str">
        <f t="shared" si="9"/>
        <v>-</v>
      </c>
      <c r="U27" s="88" t="str">
        <f t="shared" si="10"/>
        <v>-</v>
      </c>
      <c r="V27" s="88" t="str">
        <f t="shared" si="11"/>
        <v>-</v>
      </c>
      <c r="W27" s="88" t="str">
        <f t="shared" si="12"/>
        <v>-</v>
      </c>
      <c r="X27" s="88" t="str">
        <f t="shared" si="13"/>
        <v>-</v>
      </c>
      <c r="Y27" s="88" t="str">
        <f t="shared" si="14"/>
        <v>-</v>
      </c>
      <c r="Z27" s="88" t="str">
        <f t="shared" si="15"/>
        <v>-</v>
      </c>
      <c r="AA27" s="88" t="str">
        <f t="shared" si="16"/>
        <v>-</v>
      </c>
    </row>
    <row r="28" spans="2:46" ht="16.5">
      <c r="B28" s="72"/>
      <c r="C28" s="74" t="s">
        <v>120</v>
      </c>
      <c r="D28" s="72" t="s">
        <v>542</v>
      </c>
      <c r="E28" s="72"/>
      <c r="F28" s="72"/>
      <c r="G28" s="72"/>
      <c r="H28" s="72"/>
      <c r="I28" s="72"/>
      <c r="J28" s="72"/>
      <c r="K28" s="72"/>
      <c r="L28" s="72"/>
      <c r="M28" s="72"/>
      <c r="P28" s="72"/>
      <c r="Q28" s="74" t="s">
        <v>120</v>
      </c>
      <c r="R28" s="72" t="s">
        <v>542</v>
      </c>
      <c r="S28" s="88" t="str">
        <f t="shared" si="2"/>
        <v>-</v>
      </c>
      <c r="T28" s="88" t="str">
        <f t="shared" si="9"/>
        <v>-</v>
      </c>
      <c r="U28" s="88" t="str">
        <f t="shared" si="10"/>
        <v>-</v>
      </c>
      <c r="V28" s="88" t="str">
        <f t="shared" si="11"/>
        <v>-</v>
      </c>
      <c r="W28" s="88" t="str">
        <f t="shared" si="12"/>
        <v>-</v>
      </c>
      <c r="X28" s="88" t="str">
        <f t="shared" si="13"/>
        <v>-</v>
      </c>
      <c r="Y28" s="88" t="str">
        <f t="shared" si="14"/>
        <v>-</v>
      </c>
      <c r="Z28" s="88" t="str">
        <f t="shared" si="15"/>
        <v>-</v>
      </c>
      <c r="AA28" s="88" t="str">
        <f t="shared" si="16"/>
        <v>-</v>
      </c>
    </row>
    <row r="29" spans="2:46" ht="33">
      <c r="B29" s="72"/>
      <c r="C29" s="74" t="s">
        <v>122</v>
      </c>
      <c r="D29" s="72" t="s">
        <v>535</v>
      </c>
      <c r="E29" s="72"/>
      <c r="F29" s="72"/>
      <c r="G29" s="72"/>
      <c r="H29" s="72"/>
      <c r="I29" s="72"/>
      <c r="J29" s="72"/>
      <c r="K29" s="72"/>
      <c r="L29" s="72"/>
      <c r="M29" s="72"/>
      <c r="P29" s="72"/>
      <c r="Q29" s="74" t="s">
        <v>122</v>
      </c>
      <c r="R29" s="72" t="s">
        <v>535</v>
      </c>
      <c r="S29" s="88" t="str">
        <f t="shared" si="2"/>
        <v>-</v>
      </c>
      <c r="T29" s="88" t="str">
        <f t="shared" si="9"/>
        <v>-</v>
      </c>
      <c r="U29" s="88" t="str">
        <f t="shared" si="10"/>
        <v>-</v>
      </c>
      <c r="V29" s="88" t="str">
        <f t="shared" si="11"/>
        <v>-</v>
      </c>
      <c r="W29" s="88" t="str">
        <f t="shared" si="12"/>
        <v>-</v>
      </c>
      <c r="X29" s="88" t="str">
        <f t="shared" si="13"/>
        <v>-</v>
      </c>
      <c r="Y29" s="88" t="str">
        <f t="shared" si="14"/>
        <v>-</v>
      </c>
      <c r="Z29" s="88" t="str">
        <f t="shared" si="15"/>
        <v>-</v>
      </c>
      <c r="AA29" s="88" t="str">
        <f t="shared" si="16"/>
        <v>-</v>
      </c>
    </row>
    <row r="30" spans="2:46" ht="33">
      <c r="B30" s="72"/>
      <c r="C30" s="74" t="s">
        <v>124</v>
      </c>
      <c r="D30" s="72" t="s">
        <v>535</v>
      </c>
      <c r="E30" s="72"/>
      <c r="F30" s="72"/>
      <c r="G30" s="72"/>
      <c r="H30" s="72"/>
      <c r="I30" s="72"/>
      <c r="J30" s="72"/>
      <c r="K30" s="72"/>
      <c r="L30" s="72"/>
      <c r="M30" s="72"/>
      <c r="P30" s="72"/>
      <c r="Q30" s="74" t="s">
        <v>124</v>
      </c>
      <c r="R30" s="72" t="s">
        <v>535</v>
      </c>
      <c r="S30" s="88" t="str">
        <f t="shared" si="2"/>
        <v>-</v>
      </c>
      <c r="T30" s="88" t="str">
        <f t="shared" si="9"/>
        <v>-</v>
      </c>
      <c r="U30" s="88" t="str">
        <f t="shared" si="10"/>
        <v>-</v>
      </c>
      <c r="V30" s="88" t="str">
        <f t="shared" si="11"/>
        <v>-</v>
      </c>
      <c r="W30" s="88" t="str">
        <f t="shared" si="12"/>
        <v>-</v>
      </c>
      <c r="X30" s="88" t="str">
        <f t="shared" si="13"/>
        <v>-</v>
      </c>
      <c r="Y30" s="88" t="str">
        <f t="shared" si="14"/>
        <v>-</v>
      </c>
      <c r="Z30" s="88" t="str">
        <f t="shared" si="15"/>
        <v>-</v>
      </c>
      <c r="AA30" s="88" t="str">
        <f t="shared" si="16"/>
        <v>-</v>
      </c>
    </row>
    <row r="31" spans="2:46" ht="33">
      <c r="B31" s="72"/>
      <c r="C31" s="74" t="s">
        <v>126</v>
      </c>
      <c r="D31" s="72" t="s">
        <v>535</v>
      </c>
      <c r="E31" s="72"/>
      <c r="F31" s="72"/>
      <c r="G31" s="72"/>
      <c r="H31" s="72"/>
      <c r="I31" s="72"/>
      <c r="J31" s="72"/>
      <c r="K31" s="72"/>
      <c r="L31" s="72"/>
      <c r="M31" s="72"/>
      <c r="P31" s="72"/>
      <c r="Q31" s="74" t="s">
        <v>126</v>
      </c>
      <c r="R31" s="72" t="s">
        <v>535</v>
      </c>
      <c r="S31" s="88" t="str">
        <f t="shared" si="2"/>
        <v>-</v>
      </c>
      <c r="T31" s="88" t="str">
        <f t="shared" si="9"/>
        <v>-</v>
      </c>
      <c r="U31" s="88" t="str">
        <f t="shared" si="10"/>
        <v>-</v>
      </c>
      <c r="V31" s="88" t="str">
        <f t="shared" si="11"/>
        <v>-</v>
      </c>
      <c r="W31" s="88" t="str">
        <f t="shared" si="12"/>
        <v>-</v>
      </c>
      <c r="X31" s="88" t="str">
        <f t="shared" si="13"/>
        <v>-</v>
      </c>
      <c r="Y31" s="88" t="str">
        <f t="shared" si="14"/>
        <v>-</v>
      </c>
      <c r="Z31" s="88" t="str">
        <f t="shared" si="15"/>
        <v>-</v>
      </c>
      <c r="AA31" s="88" t="str">
        <f t="shared" si="16"/>
        <v>-</v>
      </c>
    </row>
    <row r="32" spans="2:46" ht="33">
      <c r="B32" s="72"/>
      <c r="C32" s="74" t="s">
        <v>128</v>
      </c>
      <c r="D32" s="72" t="s">
        <v>535</v>
      </c>
      <c r="E32" s="72"/>
      <c r="F32" s="72"/>
      <c r="G32" s="72"/>
      <c r="H32" s="72"/>
      <c r="I32" s="72"/>
      <c r="J32" s="72"/>
      <c r="K32" s="72"/>
      <c r="L32" s="72"/>
      <c r="M32" s="72"/>
      <c r="P32" s="72"/>
      <c r="Q32" s="74" t="s">
        <v>128</v>
      </c>
      <c r="R32" s="72" t="s">
        <v>535</v>
      </c>
      <c r="S32" s="88" t="str">
        <f t="shared" si="2"/>
        <v>-</v>
      </c>
      <c r="T32" s="88" t="str">
        <f t="shared" si="9"/>
        <v>-</v>
      </c>
      <c r="U32" s="88" t="str">
        <f t="shared" si="10"/>
        <v>-</v>
      </c>
      <c r="V32" s="88" t="str">
        <f t="shared" si="11"/>
        <v>-</v>
      </c>
      <c r="W32" s="88" t="str">
        <f t="shared" si="12"/>
        <v>-</v>
      </c>
      <c r="X32" s="88" t="str">
        <f t="shared" si="13"/>
        <v>-</v>
      </c>
      <c r="Y32" s="88" t="str">
        <f t="shared" si="14"/>
        <v>-</v>
      </c>
      <c r="Z32" s="88" t="str">
        <f t="shared" si="15"/>
        <v>-</v>
      </c>
      <c r="AA32" s="88" t="str">
        <f t="shared" si="16"/>
        <v>-</v>
      </c>
    </row>
    <row r="33" spans="2:27" ht="16.5">
      <c r="B33" s="72" t="s">
        <v>716</v>
      </c>
      <c r="C33" s="74" t="s">
        <v>133</v>
      </c>
      <c r="D33" s="72" t="s">
        <v>535</v>
      </c>
      <c r="E33" s="72"/>
      <c r="F33" s="72"/>
      <c r="G33" s="72"/>
      <c r="H33" s="72"/>
      <c r="I33" s="72"/>
      <c r="J33" s="72"/>
      <c r="K33" s="72"/>
      <c r="L33" s="72"/>
      <c r="M33" s="72"/>
      <c r="P33" s="72" t="s">
        <v>716</v>
      </c>
      <c r="Q33" s="74" t="s">
        <v>133</v>
      </c>
      <c r="R33" s="72" t="s">
        <v>535</v>
      </c>
      <c r="S33" s="88" t="str">
        <f t="shared" si="2"/>
        <v>-</v>
      </c>
      <c r="T33" s="88" t="str">
        <f t="shared" si="9"/>
        <v>-</v>
      </c>
      <c r="U33" s="88" t="str">
        <f t="shared" si="10"/>
        <v>-</v>
      </c>
      <c r="V33" s="88" t="str">
        <f t="shared" si="11"/>
        <v>-</v>
      </c>
      <c r="W33" s="88" t="str">
        <f t="shared" si="12"/>
        <v>-</v>
      </c>
      <c r="X33" s="88" t="str">
        <f t="shared" si="13"/>
        <v>-</v>
      </c>
      <c r="Y33" s="88" t="str">
        <f t="shared" si="14"/>
        <v>-</v>
      </c>
      <c r="Z33" s="88" t="str">
        <f t="shared" si="15"/>
        <v>-</v>
      </c>
      <c r="AA33" s="88" t="str">
        <f t="shared" si="16"/>
        <v>-</v>
      </c>
    </row>
    <row r="34" spans="2:27">
      <c r="B34" s="72"/>
      <c r="C34"/>
      <c r="D34" s="72" t="s">
        <v>535</v>
      </c>
      <c r="E34" s="72"/>
      <c r="F34" s="72"/>
      <c r="G34" s="72"/>
      <c r="H34" s="72"/>
      <c r="I34" s="72"/>
      <c r="J34" s="72"/>
      <c r="K34" s="72"/>
      <c r="L34" s="72"/>
      <c r="M34" s="72"/>
      <c r="P34" s="72"/>
      <c r="Q34"/>
      <c r="R34" s="72" t="s">
        <v>535</v>
      </c>
      <c r="S34" s="88" t="str">
        <f t="shared" si="2"/>
        <v>-</v>
      </c>
      <c r="T34" s="88" t="str">
        <f t="shared" si="9"/>
        <v>-</v>
      </c>
      <c r="U34" s="88" t="str">
        <f t="shared" si="10"/>
        <v>-</v>
      </c>
      <c r="V34" s="88" t="str">
        <f t="shared" si="11"/>
        <v>-</v>
      </c>
      <c r="W34" s="88" t="str">
        <f t="shared" si="12"/>
        <v>-</v>
      </c>
      <c r="X34" s="88" t="str">
        <f t="shared" si="13"/>
        <v>-</v>
      </c>
      <c r="Y34" s="88" t="str">
        <f t="shared" si="14"/>
        <v>-</v>
      </c>
      <c r="Z34" s="88" t="str">
        <f t="shared" si="15"/>
        <v>-</v>
      </c>
      <c r="AA34" s="88" t="str">
        <f t="shared" si="16"/>
        <v>-</v>
      </c>
    </row>
    <row r="35" spans="2:27" ht="16.5">
      <c r="B35" s="72"/>
      <c r="C35" s="74" t="s">
        <v>135</v>
      </c>
      <c r="D35" s="72" t="s">
        <v>535</v>
      </c>
      <c r="E35" s="72"/>
      <c r="F35" s="72"/>
      <c r="G35" s="72"/>
      <c r="H35" s="72"/>
      <c r="I35" s="72"/>
      <c r="J35" s="72"/>
      <c r="K35" s="72"/>
      <c r="L35" s="72"/>
      <c r="M35" s="72"/>
      <c r="P35" s="72"/>
      <c r="Q35" s="74" t="s">
        <v>135</v>
      </c>
      <c r="R35" s="72" t="s">
        <v>535</v>
      </c>
      <c r="S35" s="88" t="str">
        <f t="shared" si="2"/>
        <v>-</v>
      </c>
      <c r="T35" s="88" t="str">
        <f t="shared" si="9"/>
        <v>-</v>
      </c>
      <c r="U35" s="88" t="str">
        <f t="shared" si="10"/>
        <v>-</v>
      </c>
      <c r="V35" s="88" t="str">
        <f t="shared" si="11"/>
        <v>-</v>
      </c>
      <c r="W35" s="88" t="str">
        <f t="shared" si="12"/>
        <v>-</v>
      </c>
      <c r="X35" s="88" t="str">
        <f t="shared" si="13"/>
        <v>-</v>
      </c>
      <c r="Y35" s="88" t="str">
        <f t="shared" si="14"/>
        <v>-</v>
      </c>
      <c r="Z35" s="88" t="str">
        <f t="shared" si="15"/>
        <v>-</v>
      </c>
      <c r="AA35" s="88" t="str">
        <f t="shared" si="16"/>
        <v>-</v>
      </c>
    </row>
    <row r="36" spans="2:27" ht="16.5">
      <c r="B36" s="72"/>
      <c r="C36" s="73"/>
      <c r="D36" s="72" t="s">
        <v>535</v>
      </c>
      <c r="E36" s="72"/>
      <c r="F36" s="72"/>
      <c r="G36" s="72"/>
      <c r="H36" s="72"/>
      <c r="I36" s="72"/>
      <c r="J36" s="72"/>
      <c r="K36" s="72"/>
      <c r="L36" s="72"/>
      <c r="M36" s="72"/>
      <c r="P36" s="72"/>
      <c r="Q36" s="73"/>
      <c r="R36" s="72" t="s">
        <v>535</v>
      </c>
      <c r="S36" s="88" t="str">
        <f t="shared" si="2"/>
        <v>-</v>
      </c>
      <c r="T36" s="88" t="str">
        <f t="shared" si="9"/>
        <v>-</v>
      </c>
      <c r="U36" s="88" t="str">
        <f t="shared" si="10"/>
        <v>-</v>
      </c>
      <c r="V36" s="88" t="str">
        <f t="shared" si="11"/>
        <v>-</v>
      </c>
      <c r="W36" s="88" t="str">
        <f t="shared" si="12"/>
        <v>-</v>
      </c>
      <c r="X36" s="88" t="str">
        <f t="shared" si="13"/>
        <v>-</v>
      </c>
      <c r="Y36" s="88" t="str">
        <f t="shared" si="14"/>
        <v>-</v>
      </c>
      <c r="Z36" s="88" t="str">
        <f t="shared" si="15"/>
        <v>-</v>
      </c>
      <c r="AA36" s="88" t="str">
        <f t="shared" si="16"/>
        <v>-</v>
      </c>
    </row>
    <row r="37" spans="2:27" ht="16.5">
      <c r="B37" s="72"/>
      <c r="C37" s="73" t="s">
        <v>137</v>
      </c>
      <c r="D37" s="72" t="s">
        <v>535</v>
      </c>
      <c r="E37" s="72"/>
      <c r="F37" s="72"/>
      <c r="G37" s="72"/>
      <c r="H37" s="72"/>
      <c r="I37" s="72"/>
      <c r="J37" s="72"/>
      <c r="K37" s="72"/>
      <c r="L37" s="72"/>
      <c r="M37" s="72"/>
      <c r="P37" s="72"/>
      <c r="Q37" s="73" t="s">
        <v>137</v>
      </c>
      <c r="R37" s="72" t="s">
        <v>535</v>
      </c>
      <c r="S37" s="88" t="str">
        <f t="shared" si="2"/>
        <v>-</v>
      </c>
      <c r="T37" s="88" t="str">
        <f t="shared" si="9"/>
        <v>-</v>
      </c>
      <c r="U37" s="88" t="str">
        <f t="shared" si="10"/>
        <v>-</v>
      </c>
      <c r="V37" s="88" t="str">
        <f t="shared" si="11"/>
        <v>-</v>
      </c>
      <c r="W37" s="88" t="str">
        <f t="shared" si="12"/>
        <v>-</v>
      </c>
      <c r="X37" s="88" t="str">
        <f t="shared" si="13"/>
        <v>-</v>
      </c>
      <c r="Y37" s="88" t="str">
        <f t="shared" si="14"/>
        <v>-</v>
      </c>
      <c r="Z37" s="88" t="str">
        <f t="shared" si="15"/>
        <v>-</v>
      </c>
      <c r="AA37" s="88" t="str">
        <f t="shared" si="16"/>
        <v>-</v>
      </c>
    </row>
    <row r="39" spans="2:27" hidden="1"/>
    <row r="40" spans="2:27" hidden="1">
      <c r="D40" s="72" t="s">
        <v>712</v>
      </c>
      <c r="E40" s="87" t="e">
        <f t="shared" ref="E40:M40" si="17">AVERAGE(E5:E7)</f>
        <v>#DIV/0!</v>
      </c>
      <c r="F40" s="87" t="e">
        <f t="shared" si="17"/>
        <v>#DIV/0!</v>
      </c>
      <c r="G40" s="87" t="e">
        <f t="shared" si="17"/>
        <v>#DIV/0!</v>
      </c>
      <c r="H40" s="87" t="e">
        <f t="shared" si="17"/>
        <v>#DIV/0!</v>
      </c>
      <c r="I40" s="87" t="e">
        <f t="shared" si="17"/>
        <v>#DIV/0!</v>
      </c>
      <c r="J40" s="87" t="e">
        <f t="shared" si="17"/>
        <v>#DIV/0!</v>
      </c>
      <c r="K40" s="87" t="e">
        <f t="shared" si="17"/>
        <v>#DIV/0!</v>
      </c>
      <c r="L40" s="87" t="e">
        <f t="shared" si="17"/>
        <v>#DIV/0!</v>
      </c>
      <c r="M40" s="87" t="e">
        <f t="shared" si="17"/>
        <v>#DIV/0!</v>
      </c>
    </row>
    <row r="41" spans="2:27" hidden="1">
      <c r="D41" s="72" t="s">
        <v>713</v>
      </c>
      <c r="E41" s="87" t="e">
        <f t="shared" ref="E41:M41" si="18">AVERAGE(E8:E15)</f>
        <v>#DIV/0!</v>
      </c>
      <c r="F41" s="87" t="e">
        <f t="shared" si="18"/>
        <v>#DIV/0!</v>
      </c>
      <c r="G41" s="87" t="e">
        <f t="shared" si="18"/>
        <v>#DIV/0!</v>
      </c>
      <c r="H41" s="87" t="e">
        <f t="shared" si="18"/>
        <v>#DIV/0!</v>
      </c>
      <c r="I41" s="87" t="e">
        <f t="shared" si="18"/>
        <v>#DIV/0!</v>
      </c>
      <c r="J41" s="87" t="e">
        <f t="shared" si="18"/>
        <v>#DIV/0!</v>
      </c>
      <c r="K41" s="87" t="e">
        <f t="shared" si="18"/>
        <v>#DIV/0!</v>
      </c>
      <c r="L41" s="87" t="e">
        <f t="shared" si="18"/>
        <v>#DIV/0!</v>
      </c>
      <c r="M41" s="87" t="e">
        <f t="shared" si="18"/>
        <v>#DIV/0!</v>
      </c>
    </row>
    <row r="42" spans="2:27" hidden="1">
      <c r="D42" s="72" t="s">
        <v>714</v>
      </c>
      <c r="E42" s="87" t="e">
        <f>AVERAGE(E16:E18)</f>
        <v>#DIV/0!</v>
      </c>
      <c r="F42" s="87" t="e">
        <f t="shared" ref="F42:M42" si="19">AVERAGE(F16:F18)</f>
        <v>#DIV/0!</v>
      </c>
      <c r="G42" s="87" t="e">
        <f t="shared" si="19"/>
        <v>#DIV/0!</v>
      </c>
      <c r="H42" s="87" t="e">
        <f t="shared" si="19"/>
        <v>#DIV/0!</v>
      </c>
      <c r="I42" s="87" t="e">
        <f t="shared" si="19"/>
        <v>#DIV/0!</v>
      </c>
      <c r="J42" s="87" t="e">
        <f t="shared" si="19"/>
        <v>#DIV/0!</v>
      </c>
      <c r="K42" s="87" t="e">
        <f t="shared" si="19"/>
        <v>#DIV/0!</v>
      </c>
      <c r="L42" s="87" t="e">
        <f t="shared" si="19"/>
        <v>#DIV/0!</v>
      </c>
      <c r="M42" s="87" t="e">
        <f t="shared" si="19"/>
        <v>#DIV/0!</v>
      </c>
    </row>
    <row r="43" spans="2:27" hidden="1">
      <c r="D43" s="72" t="s">
        <v>715</v>
      </c>
      <c r="E43" s="87" t="e">
        <f>AVERAGE(E22:E32)</f>
        <v>#DIV/0!</v>
      </c>
      <c r="F43" s="87" t="e">
        <f t="shared" ref="F43:M43" si="20">AVERAGE(F22:F32)</f>
        <v>#DIV/0!</v>
      </c>
      <c r="G43" s="87" t="e">
        <f t="shared" si="20"/>
        <v>#DIV/0!</v>
      </c>
      <c r="H43" s="87" t="e">
        <f t="shared" si="20"/>
        <v>#DIV/0!</v>
      </c>
      <c r="I43" s="87" t="e">
        <f t="shared" si="20"/>
        <v>#DIV/0!</v>
      </c>
      <c r="J43" s="87" t="e">
        <f t="shared" si="20"/>
        <v>#DIV/0!</v>
      </c>
      <c r="K43" s="87" t="e">
        <f t="shared" si="20"/>
        <v>#DIV/0!</v>
      </c>
      <c r="L43" s="87" t="e">
        <f t="shared" si="20"/>
        <v>#DIV/0!</v>
      </c>
      <c r="M43" s="87" t="e">
        <f t="shared" si="20"/>
        <v>#DIV/0!</v>
      </c>
    </row>
    <row r="44" spans="2:27" hidden="1">
      <c r="D44" s="72" t="s">
        <v>716</v>
      </c>
      <c r="E44" s="87" t="e">
        <f>AVERAGE(E33:E37)</f>
        <v>#DIV/0!</v>
      </c>
      <c r="F44" s="87" t="e">
        <f t="shared" ref="F44:M44" si="21">AVERAGE(F33:F37)</f>
        <v>#DIV/0!</v>
      </c>
      <c r="G44" s="87" t="e">
        <f t="shared" si="21"/>
        <v>#DIV/0!</v>
      </c>
      <c r="H44" s="87" t="e">
        <f t="shared" si="21"/>
        <v>#DIV/0!</v>
      </c>
      <c r="I44" s="87" t="e">
        <f t="shared" si="21"/>
        <v>#DIV/0!</v>
      </c>
      <c r="J44" s="87" t="e">
        <f t="shared" si="21"/>
        <v>#DIV/0!</v>
      </c>
      <c r="K44" s="87" t="e">
        <f t="shared" si="21"/>
        <v>#DIV/0!</v>
      </c>
      <c r="L44" s="87" t="e">
        <f t="shared" si="21"/>
        <v>#DIV/0!</v>
      </c>
      <c r="M44" s="87" t="e">
        <f t="shared" si="21"/>
        <v>#DIV/0!</v>
      </c>
    </row>
    <row r="45" spans="2:27" hidden="1">
      <c r="E45" s="121" t="e">
        <f>AVERAGE(E40:E44)</f>
        <v>#DIV/0!</v>
      </c>
      <c r="F45" s="121" t="e">
        <f t="shared" ref="F45:M45" si="22">AVERAGE(F40:F44)</f>
        <v>#DIV/0!</v>
      </c>
      <c r="G45" s="121" t="e">
        <f t="shared" si="22"/>
        <v>#DIV/0!</v>
      </c>
      <c r="H45" s="121" t="e">
        <f t="shared" si="22"/>
        <v>#DIV/0!</v>
      </c>
      <c r="I45" s="121" t="e">
        <f t="shared" si="22"/>
        <v>#DIV/0!</v>
      </c>
      <c r="J45" s="121" t="e">
        <f t="shared" si="22"/>
        <v>#DIV/0!</v>
      </c>
      <c r="K45" s="121" t="e">
        <f t="shared" si="22"/>
        <v>#DIV/0!</v>
      </c>
      <c r="L45" s="121" t="e">
        <f t="shared" si="22"/>
        <v>#DIV/0!</v>
      </c>
      <c r="M45" s="121" t="e">
        <f t="shared" si="22"/>
        <v>#DIV/0!</v>
      </c>
    </row>
    <row r="46" spans="2:27" hidden="1"/>
    <row r="47" spans="2:27" hidden="1">
      <c r="D47" s="72" t="s">
        <v>542</v>
      </c>
      <c r="E47" s="87" t="e">
        <f t="shared" ref="E47:M49" si="23">AVERAGEIF($D$5:$D$37,$D47,E$5:E$37)</f>
        <v>#DIV/0!</v>
      </c>
      <c r="F47" s="87" t="e">
        <f t="shared" si="23"/>
        <v>#DIV/0!</v>
      </c>
      <c r="G47" s="87" t="e">
        <f t="shared" si="23"/>
        <v>#DIV/0!</v>
      </c>
      <c r="H47" s="87" t="e">
        <f t="shared" si="23"/>
        <v>#DIV/0!</v>
      </c>
      <c r="I47" s="87" t="e">
        <f t="shared" si="23"/>
        <v>#DIV/0!</v>
      </c>
      <c r="J47" s="87" t="e">
        <f t="shared" si="23"/>
        <v>#DIV/0!</v>
      </c>
      <c r="K47" s="87" t="e">
        <f t="shared" si="23"/>
        <v>#DIV/0!</v>
      </c>
      <c r="L47" s="87" t="e">
        <f t="shared" si="23"/>
        <v>#DIV/0!</v>
      </c>
      <c r="M47" s="87" t="e">
        <f t="shared" si="23"/>
        <v>#DIV/0!</v>
      </c>
    </row>
    <row r="48" spans="2:27" hidden="1">
      <c r="D48" s="72" t="s">
        <v>622</v>
      </c>
      <c r="E48" s="87" t="e">
        <f t="shared" si="23"/>
        <v>#DIV/0!</v>
      </c>
      <c r="F48" s="87" t="e">
        <f t="shared" si="23"/>
        <v>#DIV/0!</v>
      </c>
      <c r="G48" s="87" t="e">
        <f t="shared" si="23"/>
        <v>#DIV/0!</v>
      </c>
      <c r="H48" s="87" t="e">
        <f t="shared" si="23"/>
        <v>#DIV/0!</v>
      </c>
      <c r="I48" s="87" t="e">
        <f t="shared" si="23"/>
        <v>#DIV/0!</v>
      </c>
      <c r="J48" s="87" t="e">
        <f t="shared" si="23"/>
        <v>#DIV/0!</v>
      </c>
      <c r="K48" s="87" t="e">
        <f t="shared" si="23"/>
        <v>#DIV/0!</v>
      </c>
      <c r="L48" s="87" t="e">
        <f t="shared" si="23"/>
        <v>#DIV/0!</v>
      </c>
      <c r="M48" s="87" t="e">
        <f t="shared" si="23"/>
        <v>#DIV/0!</v>
      </c>
    </row>
    <row r="49" spans="4:13" hidden="1">
      <c r="D49" s="72" t="s">
        <v>535</v>
      </c>
      <c r="E49" s="87" t="e">
        <f t="shared" si="23"/>
        <v>#DIV/0!</v>
      </c>
      <c r="F49" s="87" t="e">
        <f t="shared" si="23"/>
        <v>#DIV/0!</v>
      </c>
      <c r="G49" s="87" t="e">
        <f t="shared" si="23"/>
        <v>#DIV/0!</v>
      </c>
      <c r="H49" s="87" t="e">
        <f t="shared" si="23"/>
        <v>#DIV/0!</v>
      </c>
      <c r="I49" s="87" t="e">
        <f t="shared" si="23"/>
        <v>#DIV/0!</v>
      </c>
      <c r="J49" s="87" t="e">
        <f t="shared" si="23"/>
        <v>#DIV/0!</v>
      </c>
      <c r="K49" s="87" t="e">
        <f t="shared" si="23"/>
        <v>#DIV/0!</v>
      </c>
      <c r="L49" s="87" t="e">
        <f t="shared" si="23"/>
        <v>#DIV/0!</v>
      </c>
      <c r="M49" s="87" t="e">
        <f t="shared" si="23"/>
        <v>#DIV/0!</v>
      </c>
    </row>
    <row r="50" spans="4:13" hidden="1">
      <c r="E50" s="121" t="e">
        <f>AVERAGE(E47:E49)</f>
        <v>#DIV/0!</v>
      </c>
      <c r="F50" s="121" t="e">
        <f t="shared" ref="F50:M50" si="24">AVERAGE(F47:F49)</f>
        <v>#DIV/0!</v>
      </c>
      <c r="G50" s="121" t="e">
        <f t="shared" si="24"/>
        <v>#DIV/0!</v>
      </c>
      <c r="H50" s="121" t="e">
        <f t="shared" si="24"/>
        <v>#DIV/0!</v>
      </c>
      <c r="I50" s="121" t="e">
        <f t="shared" si="24"/>
        <v>#DIV/0!</v>
      </c>
      <c r="J50" s="121" t="e">
        <f t="shared" si="24"/>
        <v>#DIV/0!</v>
      </c>
      <c r="K50" s="121" t="e">
        <f t="shared" si="24"/>
        <v>#DIV/0!</v>
      </c>
      <c r="L50" s="121" t="e">
        <f t="shared" si="24"/>
        <v>#DIV/0!</v>
      </c>
      <c r="M50" s="121" t="e">
        <f t="shared" si="24"/>
        <v>#DIV/0!</v>
      </c>
    </row>
    <row r="51" spans="4:13" hidden="1">
      <c r="E51" s="121"/>
      <c r="F51" s="121"/>
      <c r="G51" s="121"/>
      <c r="H51" s="121"/>
      <c r="I51" s="121"/>
      <c r="J51" s="121"/>
      <c r="K51" s="121"/>
      <c r="L51" s="121"/>
      <c r="M51" s="121"/>
    </row>
  </sheetData>
  <phoneticPr fontId="6"/>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8069B-FE74-4707-9672-BF948949DA46}">
  <sheetPr codeName="Sheet6">
    <tabColor rgb="FFFFC000"/>
  </sheetPr>
  <dimension ref="B2:AG76"/>
  <sheetViews>
    <sheetView topLeftCell="A22" zoomScale="85" zoomScaleNormal="85" workbookViewId="0">
      <selection activeCell="R19" sqref="R19"/>
    </sheetView>
  </sheetViews>
  <sheetFormatPr defaultColWidth="8.5703125" defaultRowHeight="14.45"/>
  <cols>
    <col min="1" max="1" width="8.5703125" style="57"/>
    <col min="2" max="2" width="12.28515625" style="57" customWidth="1"/>
    <col min="3" max="3" width="17.28515625" style="57" bestFit="1" customWidth="1"/>
    <col min="4" max="4" width="17.5703125" style="57" customWidth="1"/>
    <col min="5" max="5" width="8.5703125" style="57"/>
    <col min="6" max="6" width="17.7109375" style="57" customWidth="1"/>
    <col min="7" max="7" width="13.42578125" style="57" customWidth="1"/>
    <col min="8" max="13" width="8.5703125" style="57"/>
    <col min="14" max="14" width="17.42578125" style="57" customWidth="1"/>
    <col min="15" max="16384" width="8.5703125" style="57"/>
  </cols>
  <sheetData>
    <row r="2" spans="2:11">
      <c r="C2" s="57" t="s">
        <v>263</v>
      </c>
      <c r="H2" s="642" t="s">
        <v>718</v>
      </c>
      <c r="I2" s="642"/>
      <c r="J2" s="642" t="s">
        <v>248</v>
      </c>
      <c r="K2" s="642"/>
    </row>
    <row r="3" spans="2:11">
      <c r="C3" s="298"/>
      <c r="D3" s="298"/>
      <c r="E3" s="298"/>
      <c r="F3" s="298"/>
      <c r="G3" s="298"/>
      <c r="H3" s="298">
        <v>2025</v>
      </c>
      <c r="I3" s="298">
        <v>2026</v>
      </c>
      <c r="J3" s="298">
        <v>2025</v>
      </c>
      <c r="K3" s="298">
        <v>2026</v>
      </c>
    </row>
    <row r="4" spans="2:11" ht="25.5" customHeight="1">
      <c r="C4" s="643" t="s">
        <v>63</v>
      </c>
      <c r="D4" s="643" t="s">
        <v>64</v>
      </c>
      <c r="E4" s="643" t="s">
        <v>65</v>
      </c>
      <c r="F4" s="300" t="s">
        <v>66</v>
      </c>
      <c r="G4" s="299" t="s">
        <v>23</v>
      </c>
      <c r="H4" s="298" t="str">
        <f>'Safety Instruction'!H9</f>
        <v>A</v>
      </c>
      <c r="I4" s="298"/>
      <c r="J4" s="298">
        <f t="shared" ref="J4:J20" si="0">IF(H4="A",5,IF(H4="B+",4,IF(H4="B",3,IF(H4="B-",2,IF(H4="C",1,"-")))))</f>
        <v>5</v>
      </c>
      <c r="K4" s="298"/>
    </row>
    <row r="5" spans="2:11" ht="23.1">
      <c r="C5" s="644"/>
      <c r="D5" s="644"/>
      <c r="E5" s="644"/>
      <c r="F5" s="300" t="s">
        <v>69</v>
      </c>
      <c r="G5" s="299" t="s">
        <v>20</v>
      </c>
      <c r="H5" s="298" t="str">
        <f>'Safety Instruction'!H10</f>
        <v>A</v>
      </c>
      <c r="I5" s="298"/>
      <c r="J5" s="298">
        <f t="shared" si="0"/>
        <v>5</v>
      </c>
      <c r="K5" s="298"/>
    </row>
    <row r="6" spans="2:11" ht="23.1">
      <c r="C6" s="644"/>
      <c r="D6" s="644"/>
      <c r="E6" s="644"/>
      <c r="F6" s="300" t="s">
        <v>71</v>
      </c>
      <c r="G6" s="299" t="s">
        <v>23</v>
      </c>
      <c r="H6" s="298" t="str">
        <f>'Safety Instruction'!H11</f>
        <v>A</v>
      </c>
      <c r="I6" s="298"/>
      <c r="J6" s="298">
        <f t="shared" si="0"/>
        <v>5</v>
      </c>
      <c r="K6" s="298"/>
    </row>
    <row r="7" spans="2:11" ht="34.5">
      <c r="C7" s="645"/>
      <c r="D7" s="645"/>
      <c r="E7" s="645"/>
      <c r="F7" s="300" t="s">
        <v>73</v>
      </c>
      <c r="G7" s="299" t="s">
        <v>20</v>
      </c>
      <c r="H7" s="298" t="str">
        <f>'Safety Instruction'!H12</f>
        <v>C</v>
      </c>
      <c r="I7" s="298"/>
      <c r="J7" s="298">
        <f t="shared" si="0"/>
        <v>1</v>
      </c>
      <c r="K7" s="298"/>
    </row>
    <row r="8" spans="2:11" ht="18" customHeight="1">
      <c r="C8" s="639" t="s">
        <v>75</v>
      </c>
      <c r="D8" s="639" t="s">
        <v>76</v>
      </c>
      <c r="E8" s="639" t="s">
        <v>77</v>
      </c>
      <c r="F8" s="300" t="s">
        <v>78</v>
      </c>
      <c r="G8" s="299" t="s">
        <v>20</v>
      </c>
      <c r="H8" s="298" t="str">
        <f>'Safety Instruction'!H13</f>
        <v>A</v>
      </c>
      <c r="I8" s="298"/>
      <c r="J8" s="298">
        <f t="shared" si="0"/>
        <v>5</v>
      </c>
      <c r="K8" s="298"/>
    </row>
    <row r="9" spans="2:11">
      <c r="C9" s="640"/>
      <c r="D9" s="640"/>
      <c r="E9" s="640"/>
      <c r="F9" s="300" t="s">
        <v>80</v>
      </c>
      <c r="G9" s="299" t="s">
        <v>20</v>
      </c>
      <c r="H9" s="298" t="str">
        <f>'Safety Instruction'!H14</f>
        <v>A</v>
      </c>
      <c r="I9" s="298"/>
      <c r="J9" s="298">
        <f t="shared" si="0"/>
        <v>5</v>
      </c>
      <c r="K9" s="298"/>
    </row>
    <row r="10" spans="2:11">
      <c r="C10" s="640"/>
      <c r="D10" s="640"/>
      <c r="E10" s="640"/>
      <c r="F10" s="300" t="s">
        <v>82</v>
      </c>
      <c r="G10" s="299" t="s">
        <v>20</v>
      </c>
      <c r="H10" s="298" t="str">
        <f>'Safety Instruction'!H15</f>
        <v>A</v>
      </c>
      <c r="I10" s="298"/>
      <c r="J10" s="298">
        <f t="shared" si="0"/>
        <v>5</v>
      </c>
      <c r="K10" s="298"/>
    </row>
    <row r="11" spans="2:11" ht="23.1">
      <c r="B11" s="293"/>
      <c r="C11" s="640"/>
      <c r="D11" s="640"/>
      <c r="E11" s="640"/>
      <c r="F11" s="301" t="s">
        <v>301</v>
      </c>
      <c r="G11" s="299" t="s">
        <v>22</v>
      </c>
      <c r="H11" s="298" t="str">
        <f>'Safety Instruction'!H16</f>
        <v>A</v>
      </c>
      <c r="I11" s="298"/>
      <c r="J11" s="298">
        <f t="shared" si="0"/>
        <v>5</v>
      </c>
      <c r="K11" s="298"/>
    </row>
    <row r="12" spans="2:11" ht="16.5">
      <c r="B12" s="293"/>
      <c r="C12" s="640"/>
      <c r="D12" s="640"/>
      <c r="E12" s="640"/>
      <c r="F12" s="302" t="s">
        <v>87</v>
      </c>
      <c r="G12" s="299" t="s">
        <v>22</v>
      </c>
      <c r="H12" s="298" t="str">
        <f>'Safety Instruction'!H17</f>
        <v>A</v>
      </c>
      <c r="I12" s="298"/>
      <c r="J12" s="298"/>
      <c r="K12" s="298"/>
    </row>
    <row r="13" spans="2:11" ht="23.1">
      <c r="B13" s="293"/>
      <c r="C13" s="640"/>
      <c r="D13" s="640"/>
      <c r="E13" s="640"/>
      <c r="F13" s="302" t="s">
        <v>88</v>
      </c>
      <c r="G13" s="299" t="s">
        <v>22</v>
      </c>
      <c r="H13" s="298" t="str">
        <f>'Safety Instruction'!H18</f>
        <v>A</v>
      </c>
      <c r="I13" s="298"/>
      <c r="J13" s="298"/>
      <c r="K13" s="298"/>
    </row>
    <row r="14" spans="2:11">
      <c r="C14" s="641"/>
      <c r="D14" s="641"/>
      <c r="E14" s="641"/>
      <c r="F14" s="300" t="s">
        <v>89</v>
      </c>
      <c r="G14" s="299" t="s">
        <v>22</v>
      </c>
      <c r="H14" s="298" t="str">
        <f>'Safety Instruction'!H19</f>
        <v>A</v>
      </c>
      <c r="I14" s="298"/>
      <c r="J14" s="298">
        <f t="shared" si="0"/>
        <v>5</v>
      </c>
      <c r="K14" s="298"/>
    </row>
    <row r="15" spans="2:11" ht="18" customHeight="1">
      <c r="C15" s="639" t="s">
        <v>91</v>
      </c>
      <c r="D15" s="639" t="s">
        <v>92</v>
      </c>
      <c r="E15" s="639" t="s">
        <v>93</v>
      </c>
      <c r="F15" s="300" t="s">
        <v>94</v>
      </c>
      <c r="G15" s="299" t="s">
        <v>23</v>
      </c>
      <c r="H15" s="298" t="str">
        <f>'Safety Instruction'!H20</f>
        <v>A</v>
      </c>
      <c r="I15" s="298"/>
      <c r="J15" s="298">
        <f t="shared" si="0"/>
        <v>5</v>
      </c>
      <c r="K15" s="298"/>
    </row>
    <row r="16" spans="2:11" ht="23.1">
      <c r="C16" s="640"/>
      <c r="D16" s="640"/>
      <c r="E16" s="640"/>
      <c r="F16" s="300" t="s">
        <v>96</v>
      </c>
      <c r="G16" s="299" t="s">
        <v>23</v>
      </c>
      <c r="H16" s="298" t="str">
        <f>'Safety Instruction'!H21</f>
        <v>A</v>
      </c>
      <c r="I16" s="298"/>
      <c r="J16" s="298">
        <f t="shared" si="0"/>
        <v>5</v>
      </c>
      <c r="K16" s="298"/>
    </row>
    <row r="17" spans="3:11">
      <c r="C17" s="640"/>
      <c r="D17" s="640"/>
      <c r="E17" s="640"/>
      <c r="F17" s="300" t="s">
        <v>98</v>
      </c>
      <c r="G17" s="299" t="s">
        <v>23</v>
      </c>
      <c r="H17" s="298" t="str">
        <f>'Safety Instruction'!H22</f>
        <v>A</v>
      </c>
      <c r="I17" s="298"/>
      <c r="J17" s="298">
        <f t="shared" si="0"/>
        <v>5</v>
      </c>
      <c r="K17" s="298"/>
    </row>
    <row r="18" spans="3:11" ht="23.1">
      <c r="C18" s="640"/>
      <c r="D18" s="640"/>
      <c r="E18" s="640"/>
      <c r="F18" s="302" t="s">
        <v>100</v>
      </c>
      <c r="G18" s="299" t="s">
        <v>101</v>
      </c>
      <c r="H18" s="298" t="str">
        <f>'Safety Instruction'!H23</f>
        <v>A</v>
      </c>
      <c r="I18" s="298"/>
      <c r="J18" s="298">
        <f t="shared" si="0"/>
        <v>5</v>
      </c>
      <c r="K18" s="298"/>
    </row>
    <row r="19" spans="3:11" ht="34.5">
      <c r="C19" s="640"/>
      <c r="D19" s="640"/>
      <c r="E19" s="640"/>
      <c r="F19" s="302" t="s">
        <v>102</v>
      </c>
      <c r="G19" s="299" t="s">
        <v>101</v>
      </c>
      <c r="H19" s="298" t="str">
        <f>'Safety Instruction'!H24</f>
        <v>A</v>
      </c>
      <c r="I19" s="298"/>
      <c r="J19" s="298">
        <f t="shared" si="0"/>
        <v>5</v>
      </c>
      <c r="K19" s="298"/>
    </row>
    <row r="20" spans="3:11" ht="23.1">
      <c r="C20" s="641"/>
      <c r="D20" s="641"/>
      <c r="E20" s="641"/>
      <c r="F20" s="303" t="s">
        <v>103</v>
      </c>
      <c r="G20" s="299" t="s">
        <v>101</v>
      </c>
      <c r="H20" s="298" t="str">
        <f>'Safety Instruction'!H25</f>
        <v>A</v>
      </c>
      <c r="I20" s="298"/>
      <c r="J20" s="298">
        <f t="shared" si="0"/>
        <v>5</v>
      </c>
      <c r="K20" s="298"/>
    </row>
    <row r="21" spans="3:11" ht="18" customHeight="1">
      <c r="C21" s="643" t="s">
        <v>104</v>
      </c>
      <c r="D21" s="643" t="s">
        <v>105</v>
      </c>
      <c r="E21" s="643" t="s">
        <v>106</v>
      </c>
      <c r="F21" s="300" t="s">
        <v>111</v>
      </c>
      <c r="G21" s="299" t="s">
        <v>22</v>
      </c>
      <c r="H21" s="298" t="str">
        <f>'Safety Instruction'!H26</f>
        <v>A</v>
      </c>
      <c r="I21" s="298"/>
      <c r="J21" s="298">
        <f>IF(H21="A",5,IF(H21="B+",4,IF(H21="B",3,IF(H21="B-",2,IF(H21="C",1,"-")))))</f>
        <v>5</v>
      </c>
      <c r="K21" s="298"/>
    </row>
    <row r="22" spans="3:11">
      <c r="C22" s="644"/>
      <c r="D22" s="644"/>
      <c r="E22" s="644"/>
      <c r="F22" s="300" t="s">
        <v>109</v>
      </c>
      <c r="G22" s="299" t="s">
        <v>20</v>
      </c>
      <c r="H22" s="298" t="str">
        <f>'Safety Instruction'!H27</f>
        <v>A</v>
      </c>
      <c r="I22" s="298"/>
      <c r="J22" s="298">
        <f t="shared" ref="J22:J33" si="1">IF(H22="A",5,IF(H22="B+",4,IF(H22="B",3,IF(H22="B-",2,IF(H22="C",1,"-")))))</f>
        <v>5</v>
      </c>
      <c r="K22" s="298"/>
    </row>
    <row r="23" spans="3:11" ht="23.1">
      <c r="C23" s="644"/>
      <c r="D23" s="644"/>
      <c r="E23" s="644"/>
      <c r="F23" s="300" t="s">
        <v>112</v>
      </c>
      <c r="G23" s="299" t="s">
        <v>22</v>
      </c>
      <c r="H23" s="298" t="str">
        <f>'Safety Instruction'!H28</f>
        <v>A</v>
      </c>
      <c r="I23" s="298"/>
      <c r="J23" s="298">
        <f t="shared" si="1"/>
        <v>5</v>
      </c>
      <c r="K23" s="298"/>
    </row>
    <row r="24" spans="3:11">
      <c r="C24" s="644"/>
      <c r="D24" s="644"/>
      <c r="E24" s="644"/>
      <c r="F24" s="300" t="s">
        <v>116</v>
      </c>
      <c r="G24" s="299" t="s">
        <v>20</v>
      </c>
      <c r="H24" s="298" t="str">
        <f>'Safety Instruction'!H30</f>
        <v>A</v>
      </c>
      <c r="I24" s="298"/>
      <c r="J24" s="298">
        <f t="shared" si="1"/>
        <v>5</v>
      </c>
      <c r="K24" s="298"/>
    </row>
    <row r="25" spans="3:11">
      <c r="C25" s="644"/>
      <c r="D25" s="644"/>
      <c r="E25" s="644"/>
      <c r="F25" s="300" t="s">
        <v>118</v>
      </c>
      <c r="G25" s="299" t="s">
        <v>22</v>
      </c>
      <c r="H25" s="298" t="str">
        <f>'Safety Instruction'!H31</f>
        <v>A</v>
      </c>
      <c r="I25" s="298"/>
      <c r="J25" s="298">
        <f t="shared" si="1"/>
        <v>5</v>
      </c>
      <c r="K25" s="298"/>
    </row>
    <row r="26" spans="3:11" ht="23.1">
      <c r="C26" s="644"/>
      <c r="D26" s="644"/>
      <c r="E26" s="645"/>
      <c r="F26" s="300" t="s">
        <v>120</v>
      </c>
      <c r="G26" s="299" t="s">
        <v>20</v>
      </c>
      <c r="H26" s="298" t="str">
        <f>'Safety Instruction'!H32</f>
        <v>A</v>
      </c>
      <c r="I26" s="298"/>
      <c r="J26" s="298">
        <f t="shared" si="1"/>
        <v>5</v>
      </c>
      <c r="K26" s="298"/>
    </row>
    <row r="27" spans="3:11" ht="18" customHeight="1">
      <c r="C27" s="644"/>
      <c r="D27" s="644"/>
      <c r="E27" s="643" t="s">
        <v>719</v>
      </c>
      <c r="F27" s="300" t="s">
        <v>122</v>
      </c>
      <c r="G27" s="299" t="s">
        <v>23</v>
      </c>
      <c r="H27" s="298" t="str">
        <f>'Safety Instruction'!H33</f>
        <v>A</v>
      </c>
      <c r="I27" s="298"/>
      <c r="J27" s="298">
        <f t="shared" si="1"/>
        <v>5</v>
      </c>
      <c r="K27" s="298"/>
    </row>
    <row r="28" spans="3:11" ht="23.1">
      <c r="C28" s="644"/>
      <c r="D28" s="644"/>
      <c r="E28" s="644"/>
      <c r="F28" s="300" t="s">
        <v>124</v>
      </c>
      <c r="G28" s="299" t="s">
        <v>23</v>
      </c>
      <c r="H28" s="298" t="str">
        <f>'Safety Instruction'!H34</f>
        <v>A</v>
      </c>
      <c r="I28" s="298"/>
      <c r="J28" s="298">
        <f t="shared" si="1"/>
        <v>5</v>
      </c>
      <c r="K28" s="298"/>
    </row>
    <row r="29" spans="3:11" ht="23.1">
      <c r="C29" s="644"/>
      <c r="D29" s="644"/>
      <c r="E29" s="644"/>
      <c r="F29" s="300" t="s">
        <v>126</v>
      </c>
      <c r="G29" s="299" t="s">
        <v>23</v>
      </c>
      <c r="H29" s="298" t="str">
        <f>'Safety Instruction'!H35</f>
        <v>A</v>
      </c>
      <c r="I29" s="298"/>
      <c r="J29" s="298">
        <f t="shared" si="1"/>
        <v>5</v>
      </c>
      <c r="K29" s="298"/>
    </row>
    <row r="30" spans="3:11" ht="23.1">
      <c r="C30" s="645"/>
      <c r="D30" s="645"/>
      <c r="E30" s="645"/>
      <c r="F30" s="300" t="s">
        <v>128</v>
      </c>
      <c r="G30" s="299" t="s">
        <v>23</v>
      </c>
      <c r="H30" s="298" t="str">
        <f>'Safety Instruction'!H36</f>
        <v>A</v>
      </c>
      <c r="I30" s="298"/>
      <c r="J30" s="298">
        <f t="shared" si="1"/>
        <v>5</v>
      </c>
      <c r="K30" s="298"/>
    </row>
    <row r="31" spans="3:11" ht="18" customHeight="1">
      <c r="C31" s="639" t="s">
        <v>720</v>
      </c>
      <c r="D31" s="639" t="s">
        <v>131</v>
      </c>
      <c r="E31" s="639" t="s">
        <v>132</v>
      </c>
      <c r="F31" s="300" t="s">
        <v>133</v>
      </c>
      <c r="G31" s="299" t="s">
        <v>23</v>
      </c>
      <c r="H31" s="298" t="str">
        <f>'Safety Instruction'!H37</f>
        <v>A</v>
      </c>
      <c r="I31" s="298"/>
      <c r="J31" s="298">
        <f t="shared" si="1"/>
        <v>5</v>
      </c>
      <c r="K31" s="298"/>
    </row>
    <row r="32" spans="3:11">
      <c r="C32" s="640"/>
      <c r="D32" s="640"/>
      <c r="E32" s="640"/>
      <c r="F32" s="300" t="s">
        <v>135</v>
      </c>
      <c r="G32" s="299" t="s">
        <v>23</v>
      </c>
      <c r="H32" s="298" t="str">
        <f>'Safety Instruction'!H38</f>
        <v>A</v>
      </c>
      <c r="I32" s="298"/>
      <c r="J32" s="298">
        <f t="shared" si="1"/>
        <v>5</v>
      </c>
      <c r="K32" s="298"/>
    </row>
    <row r="33" spans="2:33">
      <c r="C33" s="641"/>
      <c r="D33" s="641"/>
      <c r="E33" s="641"/>
      <c r="F33" s="304" t="s">
        <v>137</v>
      </c>
      <c r="G33" s="299" t="s">
        <v>23</v>
      </c>
      <c r="H33" s="298" t="str">
        <f>'Safety Instruction'!H39</f>
        <v>A</v>
      </c>
      <c r="I33" s="298"/>
      <c r="J33" s="298">
        <f t="shared" si="1"/>
        <v>5</v>
      </c>
      <c r="K33" s="298"/>
    </row>
    <row r="34" spans="2:33">
      <c r="J34" s="57">
        <f>COUNTIF(J4:J33,4)+COUNTIF(J4:J33,5)</f>
        <v>27</v>
      </c>
    </row>
    <row r="40" spans="2:33">
      <c r="B40" s="83" t="s">
        <v>263</v>
      </c>
      <c r="C40" s="82"/>
      <c r="D40" s="82"/>
      <c r="E40" s="82"/>
      <c r="F40" s="82"/>
      <c r="G40" s="82"/>
      <c r="H40" s="82"/>
      <c r="I40" s="82"/>
      <c r="J40" s="82"/>
      <c r="K40" s="82"/>
      <c r="L40" s="82"/>
      <c r="M40" s="82"/>
      <c r="N40" s="82"/>
      <c r="O40" s="82"/>
      <c r="P40" s="82"/>
      <c r="Q40" s="82"/>
      <c r="R40" s="82"/>
      <c r="S40" s="82"/>
      <c r="T40" s="82"/>
      <c r="U40" s="82"/>
      <c r="V40" s="82"/>
      <c r="W40" s="82"/>
      <c r="X40" s="82"/>
      <c r="Y40" s="82"/>
      <c r="Z40" s="82"/>
      <c r="AA40" s="82"/>
      <c r="AB40" s="82"/>
      <c r="AC40" s="82"/>
      <c r="AD40" s="82"/>
      <c r="AE40" s="82"/>
      <c r="AF40" s="82"/>
      <c r="AG40" s="82"/>
    </row>
    <row r="41" spans="2:33">
      <c r="B41" s="85"/>
    </row>
    <row r="42" spans="2:33">
      <c r="C42" s="306" t="s">
        <v>53</v>
      </c>
    </row>
    <row r="43" spans="2:33">
      <c r="C43" s="72"/>
      <c r="D43" s="72">
        <v>2025</v>
      </c>
      <c r="E43" s="72">
        <v>2028</v>
      </c>
      <c r="N43" s="57" t="s">
        <v>721</v>
      </c>
      <c r="S43" s="57" t="s">
        <v>722</v>
      </c>
    </row>
    <row r="44" spans="2:33">
      <c r="B44" s="94" t="s">
        <v>22</v>
      </c>
      <c r="C44" s="94" t="s">
        <v>22</v>
      </c>
      <c r="D44" s="93">
        <f>AVERAGEIFS($J$4:$J$33,$G$4:$G$33,$C$44)</f>
        <v>5</v>
      </c>
      <c r="E44" s="93" t="e">
        <f>AVERAGEIFS($K$4:$K$33,$G$4:$G$33,$C$44)</f>
        <v>#DIV/0!</v>
      </c>
    </row>
    <row r="45" spans="2:33">
      <c r="B45" s="94" t="s">
        <v>23</v>
      </c>
      <c r="C45" s="94" t="s">
        <v>23</v>
      </c>
      <c r="D45" s="93">
        <f>AVERAGEIFS($J$4:$J$33,$G$4:$G$33,$C$45)</f>
        <v>5</v>
      </c>
      <c r="E45" s="93" t="e">
        <f>AVERAGEIFS($K$4:$K$33,$G$4:$G$33,$C$45)</f>
        <v>#DIV/0!</v>
      </c>
    </row>
    <row r="46" spans="2:33">
      <c r="B46" s="94" t="s">
        <v>20</v>
      </c>
      <c r="C46" s="94" t="s">
        <v>20</v>
      </c>
      <c r="D46" s="93">
        <f>AVERAGEIFS($J$4:$J$33,$G$4:$G$33,$C$46)</f>
        <v>4.5</v>
      </c>
      <c r="E46" s="93" t="e">
        <f>AVERAGEIFS($K$4:$K$33,$G$4:$G$33,$C$46)</f>
        <v>#DIV/0!</v>
      </c>
    </row>
    <row r="47" spans="2:33">
      <c r="C47" s="72" t="s">
        <v>723</v>
      </c>
      <c r="D47" s="93">
        <f>AVERAGE(D44:D46)</f>
        <v>4.833333333333333</v>
      </c>
      <c r="E47" s="93" t="e">
        <f>AVERAGE(E44:E46)</f>
        <v>#DIV/0!</v>
      </c>
    </row>
    <row r="50" spans="2:14" ht="29.1">
      <c r="C50" s="323" t="s">
        <v>49</v>
      </c>
      <c r="D50" s="638">
        <v>2025</v>
      </c>
      <c r="E50" s="638"/>
      <c r="F50" s="638">
        <v>2026</v>
      </c>
      <c r="G50" s="638"/>
    </row>
    <row r="51" spans="2:14">
      <c r="C51" s="72"/>
      <c r="D51" s="72" t="s">
        <v>724</v>
      </c>
      <c r="E51" s="72" t="s">
        <v>725</v>
      </c>
      <c r="F51" s="72" t="s">
        <v>724</v>
      </c>
      <c r="G51" s="72" t="s">
        <v>725</v>
      </c>
    </row>
    <row r="52" spans="2:14">
      <c r="B52" s="94"/>
      <c r="C52" s="305" t="s">
        <v>63</v>
      </c>
      <c r="D52" s="93">
        <f>MIN(J4:J7)</f>
        <v>1</v>
      </c>
      <c r="E52" s="93">
        <f>AVERAGE(J4:J7)</f>
        <v>4</v>
      </c>
      <c r="F52" s="93">
        <f>MIN(K4:K7)</f>
        <v>0</v>
      </c>
      <c r="G52" s="93" t="e">
        <f>AVERAGE(K4:K7)</f>
        <v>#DIV/0!</v>
      </c>
    </row>
    <row r="53" spans="2:14">
      <c r="B53" s="94"/>
      <c r="C53" s="305" t="s">
        <v>75</v>
      </c>
      <c r="D53" s="93">
        <f>MIN(J8:J14)</f>
        <v>5</v>
      </c>
      <c r="E53" s="93">
        <f>AVERAGE(J8:J14)</f>
        <v>5</v>
      </c>
      <c r="F53" s="93">
        <f>MIN(K8:K14)</f>
        <v>0</v>
      </c>
      <c r="G53" s="93" t="e">
        <f>AVERAGE(K8:K14)</f>
        <v>#DIV/0!</v>
      </c>
    </row>
    <row r="54" spans="2:14">
      <c r="B54" s="94"/>
      <c r="C54" s="305" t="s">
        <v>584</v>
      </c>
      <c r="D54" s="93">
        <f>MIN(J15:J17)</f>
        <v>5</v>
      </c>
      <c r="E54" s="93">
        <f>AVERAGE(J15:J17)</f>
        <v>5</v>
      </c>
      <c r="F54" s="93">
        <f>MIN(K15:K17)</f>
        <v>0</v>
      </c>
      <c r="G54" s="93" t="e">
        <f>AVERAGE(K15:K17)</f>
        <v>#DIV/0!</v>
      </c>
    </row>
    <row r="55" spans="2:14">
      <c r="B55" s="94"/>
      <c r="C55" s="305" t="s">
        <v>104</v>
      </c>
      <c r="D55" s="93">
        <f>MIN(J21:J30)</f>
        <v>5</v>
      </c>
      <c r="E55" s="93">
        <f>AVERAGE(J21:J30)</f>
        <v>5</v>
      </c>
      <c r="F55" s="93">
        <f>MIN(K21:K30)</f>
        <v>0</v>
      </c>
      <c r="G55" s="93" t="e">
        <f>AVERAGE(K21:K30)</f>
        <v>#DIV/0!</v>
      </c>
    </row>
    <row r="56" spans="2:14">
      <c r="B56" s="94"/>
      <c r="C56" s="305" t="s">
        <v>720</v>
      </c>
      <c r="D56" s="93">
        <f>MIN(J31:J33)</f>
        <v>5</v>
      </c>
      <c r="E56" s="93">
        <f>AVERAGE(J31:J33)</f>
        <v>5</v>
      </c>
      <c r="F56" s="93">
        <f>MIN(K31:K33)</f>
        <v>0</v>
      </c>
      <c r="G56" s="93" t="e">
        <f>AVERAGE(K31:K33)</f>
        <v>#DIV/0!</v>
      </c>
    </row>
    <row r="57" spans="2:14">
      <c r="C57" s="72" t="s">
        <v>726</v>
      </c>
      <c r="D57" s="93">
        <f>AVERAGE(D52:D56)</f>
        <v>4.2</v>
      </c>
      <c r="E57" s="93">
        <f>AVERAGE(E52:E56)</f>
        <v>4.8</v>
      </c>
      <c r="F57" s="93">
        <f>AVERAGE(F52:F56)</f>
        <v>0</v>
      </c>
      <c r="G57" s="93" t="e">
        <f>AVERAGE(G52:G56)</f>
        <v>#DIV/0!</v>
      </c>
    </row>
    <row r="59" spans="2:14">
      <c r="C59" s="306" t="s">
        <v>727</v>
      </c>
    </row>
    <row r="60" spans="2:14">
      <c r="C60" s="72"/>
      <c r="D60" s="72"/>
      <c r="E60" s="72">
        <v>2025</v>
      </c>
      <c r="F60" s="72">
        <v>2026</v>
      </c>
      <c r="I60" s="72"/>
      <c r="J60" s="72"/>
      <c r="K60" s="72" t="s">
        <v>728</v>
      </c>
      <c r="L60" s="72" t="s">
        <v>16</v>
      </c>
      <c r="M60" s="72" t="s">
        <v>17</v>
      </c>
      <c r="N60" s="72" t="s">
        <v>18</v>
      </c>
    </row>
    <row r="61" spans="2:14">
      <c r="B61" s="94"/>
      <c r="C61" s="94" t="s">
        <v>157</v>
      </c>
      <c r="D61" s="72" t="s">
        <v>728</v>
      </c>
      <c r="E61" s="72">
        <f>COUNTIFS($G$4:$G$33,$C$61,$J$4:$J$33,4)+COUNTIFS($G$4:$G$33,$C$61,$J$4:$J$33,5)</f>
        <v>7</v>
      </c>
      <c r="F61" s="72">
        <f>COUNTIFS($G$4:$G$33,$C$61,$K$4:$K$33,4)+COUNTIFS($G$4:$G$33,$C$61,$K$4:$K$33,5)</f>
        <v>0</v>
      </c>
      <c r="I61" s="72" t="s">
        <v>729</v>
      </c>
      <c r="J61" s="72">
        <v>2025</v>
      </c>
      <c r="K61" s="116">
        <f>E73/SUM(E73:E76)</f>
        <v>1</v>
      </c>
      <c r="L61" s="116">
        <f>E74/SUM(E73:E76)</f>
        <v>0</v>
      </c>
      <c r="M61" s="116">
        <f>E75/SUM(E73:E76)</f>
        <v>0</v>
      </c>
      <c r="N61" s="116">
        <f>E76/SUM(E73:E76)</f>
        <v>0</v>
      </c>
    </row>
    <row r="62" spans="2:14">
      <c r="B62" s="94"/>
      <c r="C62" s="72"/>
      <c r="D62" s="72" t="s">
        <v>16</v>
      </c>
      <c r="E62" s="72">
        <f>COUNTIFS($G$4:$G$33,$C$61,$J$4:$J$33,3)</f>
        <v>0</v>
      </c>
      <c r="F62" s="72">
        <f>COUNTIFS($G$4:$G$33,$C$61,$K$4:$K$33,3)</f>
        <v>0</v>
      </c>
      <c r="I62" s="72"/>
      <c r="J62" s="72">
        <v>2026</v>
      </c>
      <c r="K62" s="116" t="e">
        <f>F73/SUM(F73:F76)</f>
        <v>#DIV/0!</v>
      </c>
      <c r="L62" s="116" t="e">
        <f>F74/SUM(F73:F76)</f>
        <v>#DIV/0!</v>
      </c>
      <c r="M62" s="116" t="e">
        <f>F75/SUM(F73:F76)</f>
        <v>#DIV/0!</v>
      </c>
      <c r="N62" s="116" t="e">
        <f>F76/SUM(F73:F76)</f>
        <v>#DIV/0!</v>
      </c>
    </row>
    <row r="63" spans="2:14">
      <c r="B63" s="94"/>
      <c r="C63" s="72"/>
      <c r="D63" s="72" t="s">
        <v>17</v>
      </c>
      <c r="E63" s="72">
        <f>COUNTIFS($G$4:$G$33,$C$61,$J$4:$J$33,2)</f>
        <v>0</v>
      </c>
      <c r="F63" s="72">
        <f>COUNTIFS($G$4:$G$33,$C$61,$K$4:$K$33,2)</f>
        <v>0</v>
      </c>
      <c r="I63" s="94" t="s">
        <v>204</v>
      </c>
      <c r="J63" s="72">
        <v>2025</v>
      </c>
      <c r="K63" s="116">
        <f>E67/SUM(E67:E70)</f>
        <v>1</v>
      </c>
      <c r="L63" s="116">
        <f>E68/SUM(E67:E70)</f>
        <v>0</v>
      </c>
      <c r="M63" s="116">
        <f>E69/SUM(E67:E70)</f>
        <v>0</v>
      </c>
      <c r="N63" s="116">
        <f>E70/SUM(E67:E70)</f>
        <v>0</v>
      </c>
    </row>
    <row r="64" spans="2:14">
      <c r="B64" s="94"/>
      <c r="C64" s="72"/>
      <c r="D64" s="72" t="s">
        <v>18</v>
      </c>
      <c r="E64" s="72">
        <f>COUNTIFS($G$4:$G$33,$C$61,$J$4:$J$33,1)</f>
        <v>1</v>
      </c>
      <c r="F64" s="72">
        <f>COUNTIFS($G$4:$G$33,$C$61,$K$4:$K$33,1)</f>
        <v>0</v>
      </c>
      <c r="I64" s="72"/>
      <c r="J64" s="72">
        <v>2026</v>
      </c>
      <c r="K64" s="116" t="e">
        <f>F67/SUM(F67:F70)</f>
        <v>#DIV/0!</v>
      </c>
      <c r="L64" s="116" t="e">
        <f>F68/SUM(F67:F70)</f>
        <v>#DIV/0!</v>
      </c>
      <c r="M64" s="116" t="e">
        <f>F69/SUM(F67:F70)</f>
        <v>#DIV/0!</v>
      </c>
      <c r="N64" s="116" t="e">
        <f>F70/SUM(F67:F70)</f>
        <v>#DIV/0!</v>
      </c>
    </row>
    <row r="65" spans="2:14">
      <c r="B65" s="94"/>
      <c r="I65" s="94" t="s">
        <v>101</v>
      </c>
      <c r="J65" s="72">
        <v>2025</v>
      </c>
      <c r="K65" s="116">
        <f>E61/SUM(E61:E64)</f>
        <v>0.875</v>
      </c>
      <c r="L65" s="116">
        <f>E62/SUM(E61:E64)</f>
        <v>0</v>
      </c>
      <c r="M65" s="116">
        <f>E63/SUM(E61:E64)</f>
        <v>0</v>
      </c>
      <c r="N65" s="116">
        <f>E64/SUM(E61:E64)</f>
        <v>0.125</v>
      </c>
    </row>
    <row r="66" spans="2:14">
      <c r="B66" s="94"/>
      <c r="C66" s="72"/>
      <c r="D66" s="72"/>
      <c r="E66" s="72">
        <v>2025</v>
      </c>
      <c r="F66" s="72">
        <v>2026</v>
      </c>
      <c r="I66" s="72"/>
      <c r="J66" s="72">
        <v>2026</v>
      </c>
      <c r="K66" s="116" t="e">
        <f>F61/SUM(F61:F64)</f>
        <v>#DIV/0!</v>
      </c>
      <c r="L66" s="116" t="e">
        <f>F62/SUM(F61:F64)</f>
        <v>#DIV/0!</v>
      </c>
      <c r="M66" s="116" t="e">
        <f>F63/SUM(F61:F64)</f>
        <v>#DIV/0!</v>
      </c>
      <c r="N66" s="116" t="e">
        <f>F64/SUM(F61:F64)</f>
        <v>#DIV/0!</v>
      </c>
    </row>
    <row r="67" spans="2:14">
      <c r="B67" s="94"/>
      <c r="C67" s="94" t="s">
        <v>204</v>
      </c>
      <c r="D67" s="72" t="s">
        <v>728</v>
      </c>
      <c r="E67" s="72">
        <f>COUNTIFS($G$4:$G$33,$C$67,$J$4:$J$33,4)+COUNTIFS($G$4:$G$33,$C$67,$J$4:$J$33,5)</f>
        <v>5</v>
      </c>
      <c r="F67" s="72">
        <f>COUNTIFS($G$4:$G$33,$C$67,$K$4:$K$33,4)+COUNTIFS($G$4:$G$33,$C$67,$K$4:$K$33,5)</f>
        <v>0</v>
      </c>
    </row>
    <row r="68" spans="2:14">
      <c r="B68" s="94"/>
      <c r="C68" s="72"/>
      <c r="D68" s="72" t="s">
        <v>16</v>
      </c>
      <c r="E68" s="72">
        <f>COUNTIFS($G$4:$G$33,$C$67,$J$4:$J$33,3)</f>
        <v>0</v>
      </c>
      <c r="F68" s="72">
        <f>COUNTIFS($G$4:$G$33,$C$67,$K$4:$K$33,3)</f>
        <v>0</v>
      </c>
    </row>
    <row r="69" spans="2:14">
      <c r="B69" s="94"/>
      <c r="C69" s="72"/>
      <c r="D69" s="72" t="s">
        <v>17</v>
      </c>
      <c r="E69" s="72">
        <f>COUNTIFS($G$4:$G$33,$C$67,$J$4:$J$33,2)</f>
        <v>0</v>
      </c>
      <c r="F69" s="72">
        <f>COUNTIFS($G$4:$G$33,$C$67,$K$4:$K$33,2)</f>
        <v>0</v>
      </c>
    </row>
    <row r="70" spans="2:14">
      <c r="B70" s="94"/>
      <c r="C70" s="72"/>
      <c r="D70" s="72" t="s">
        <v>18</v>
      </c>
      <c r="E70" s="72">
        <f>COUNTIFS($G$4:$G$33,$C$67,$J$4:$J$33,1)</f>
        <v>0</v>
      </c>
      <c r="F70" s="72">
        <f>COUNTIFS($G$4:$G$33,$C$67,$K$4:$K$33,1)</f>
        <v>0</v>
      </c>
    </row>
    <row r="71" spans="2:14">
      <c r="B71" s="94"/>
    </row>
    <row r="72" spans="2:14">
      <c r="B72" s="94"/>
      <c r="C72" s="72"/>
      <c r="D72" s="72"/>
      <c r="E72" s="72">
        <v>2025</v>
      </c>
      <c r="F72" s="72">
        <v>2026</v>
      </c>
    </row>
    <row r="73" spans="2:14">
      <c r="B73" s="94"/>
      <c r="C73" s="94" t="s">
        <v>101</v>
      </c>
      <c r="D73" s="72" t="s">
        <v>728</v>
      </c>
      <c r="E73" s="72">
        <f>COUNTIFS($G$4:$G$33,$C$73,$J$4:$J$33,4)+COUNTIFS($G$4:$G$33,$C$73,$J$4:$J$33,5)</f>
        <v>15</v>
      </c>
      <c r="F73" s="72">
        <f>COUNTIFS($G$4:$G$33,$C$73,$K$4:$K$33,4)+COUNTIFS($G$4:$G$33,$C$73,$K$4:$K$33,5)</f>
        <v>0</v>
      </c>
    </row>
    <row r="74" spans="2:14">
      <c r="B74" s="94"/>
      <c r="C74" s="72"/>
      <c r="D74" s="72" t="s">
        <v>16</v>
      </c>
      <c r="E74" s="72">
        <f>COUNTIFS($G$4:$G$33,$C$73,$J$4:$J$33,3)</f>
        <v>0</v>
      </c>
      <c r="F74" s="72">
        <f>COUNTIFS($G$4:$G$33,$C$73,$K$4:$K$33,3)</f>
        <v>0</v>
      </c>
    </row>
    <row r="75" spans="2:14">
      <c r="C75" s="72"/>
      <c r="D75" s="72" t="s">
        <v>17</v>
      </c>
      <c r="E75" s="72">
        <f>COUNTIFS($G$4:$G$33,$C$73,$J$4:$J$33,2)</f>
        <v>0</v>
      </c>
      <c r="F75" s="72">
        <f>COUNTIFS($G$4:$G$33,$C$73,$K$4:$K$33,2)</f>
        <v>0</v>
      </c>
    </row>
    <row r="76" spans="2:14">
      <c r="C76" s="72"/>
      <c r="D76" s="72" t="s">
        <v>18</v>
      </c>
      <c r="E76" s="72">
        <f>COUNTIFS($G$4:$G$33,$C$73,$J$4:$J$33,1)</f>
        <v>0</v>
      </c>
      <c r="F76" s="72">
        <f>COUNTIFS($G$4:$G$33,$C$73,$K$4:$K$33,1)</f>
        <v>0</v>
      </c>
    </row>
  </sheetData>
  <mergeCells count="20">
    <mergeCell ref="H2:I2"/>
    <mergeCell ref="J2:K2"/>
    <mergeCell ref="C31:C33"/>
    <mergeCell ref="D31:D33"/>
    <mergeCell ref="E31:E33"/>
    <mergeCell ref="C4:C7"/>
    <mergeCell ref="D4:D7"/>
    <mergeCell ref="E4:E7"/>
    <mergeCell ref="C21:C30"/>
    <mergeCell ref="D21:D30"/>
    <mergeCell ref="E21:E26"/>
    <mergeCell ref="E27:E30"/>
    <mergeCell ref="D50:E50"/>
    <mergeCell ref="F50:G50"/>
    <mergeCell ref="C8:C14"/>
    <mergeCell ref="D8:D14"/>
    <mergeCell ref="E8:E14"/>
    <mergeCell ref="C15:C20"/>
    <mergeCell ref="D15:D20"/>
    <mergeCell ref="E15:E20"/>
  </mergeCells>
  <conditionalFormatting sqref="G4:G33 B11:B13">
    <cfRule type="containsText" dxfId="1" priority="6" operator="containsText" text="No">
      <formula>NOT(ISERROR(SEARCH("No",B4)))</formula>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containsText" priority="5" operator="containsText" id="{7C54824C-CDC0-477A-938A-DA871EBA8AD5}">
            <xm:f>NOT(ISERROR(SEARCH("-",B4)))</xm:f>
            <xm:f>"-"</xm:f>
            <x14:dxf>
              <fill>
                <patternFill>
                  <bgColor theme="0" tint="-0.24994659260841701"/>
                </patternFill>
              </fill>
            </x14:dxf>
          </x14:cfRule>
          <xm:sqref>G4:G33 B11:B13</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A26D9-49C5-4921-9234-C2EE2CC912C1}">
  <sheetPr codeName="Sheet18">
    <tabColor rgb="FFFFC000"/>
  </sheetPr>
  <dimension ref="B2:AG108"/>
  <sheetViews>
    <sheetView zoomScale="86" workbookViewId="0">
      <selection activeCell="Q16" sqref="Q16"/>
    </sheetView>
  </sheetViews>
  <sheetFormatPr defaultColWidth="8.5703125" defaultRowHeight="14.45"/>
  <cols>
    <col min="1" max="2" width="8.5703125" style="57"/>
    <col min="3" max="3" width="17.28515625" style="57" bestFit="1" customWidth="1"/>
    <col min="4" max="5" width="8.5703125" style="57"/>
    <col min="6" max="6" width="17.7109375" style="57" customWidth="1"/>
    <col min="7" max="13" width="8.5703125" style="57"/>
    <col min="14" max="14" width="17.42578125" style="57" customWidth="1"/>
    <col min="15" max="16384" width="8.5703125" style="57"/>
  </cols>
  <sheetData>
    <row r="2" spans="2:20">
      <c r="B2" s="57">
        <f>'Safety Instruction.'!D4</f>
        <v>0</v>
      </c>
      <c r="C2" s="57" t="s">
        <v>429</v>
      </c>
      <c r="N2" s="57" t="s">
        <v>534</v>
      </c>
    </row>
    <row r="3" spans="2:20">
      <c r="C3" s="72"/>
      <c r="D3" s="72"/>
      <c r="E3" s="72"/>
      <c r="F3" s="72"/>
      <c r="G3" s="72"/>
      <c r="H3" s="72">
        <v>2024</v>
      </c>
      <c r="I3" s="72">
        <v>2025</v>
      </c>
      <c r="J3" s="72">
        <v>2024</v>
      </c>
      <c r="K3" s="72">
        <v>2025</v>
      </c>
      <c r="N3" s="72"/>
      <c r="O3" s="72"/>
      <c r="P3" s="72"/>
      <c r="Q3" s="72">
        <v>2024</v>
      </c>
      <c r="R3" s="72">
        <v>2025</v>
      </c>
      <c r="S3" s="72">
        <v>2024</v>
      </c>
      <c r="T3" s="72">
        <v>2025</v>
      </c>
    </row>
    <row r="4" spans="2:20" ht="18" customHeight="1">
      <c r="C4" s="72" t="s">
        <v>730</v>
      </c>
      <c r="D4" s="72" t="s">
        <v>731</v>
      </c>
      <c r="E4" s="72" t="s">
        <v>483</v>
      </c>
      <c r="F4" s="74" t="s">
        <v>66</v>
      </c>
      <c r="G4" s="72" t="s">
        <v>732</v>
      </c>
      <c r="H4" s="72" t="e">
        <f>'Safety Instruction.'!H9</f>
        <v>#N/A</v>
      </c>
      <c r="I4" s="72" t="str">
        <f>'Safety Instruction.'!I9</f>
        <v>A</v>
      </c>
      <c r="J4" s="72" t="e">
        <f t="shared" ref="J4:J15" si="0">IF(H4="A",5,IF(H4="B+",4,IF(H4="B",3,IF(H4="B-",2,IF(H4="C",1,"-")))))</f>
        <v>#N/A</v>
      </c>
      <c r="K4" s="72">
        <f>IF(I4="A",5,IF(I4="B+",4,IF(I4="B",3,IF(I4="B-",2,1))))</f>
        <v>5</v>
      </c>
      <c r="N4" s="72" t="s">
        <v>712</v>
      </c>
      <c r="O4" s="72" t="s">
        <v>68</v>
      </c>
      <c r="P4" s="72" t="s">
        <v>732</v>
      </c>
      <c r="Q4" s="72" t="e">
        <f>'DP instruction'!H9</f>
        <v>#REF!</v>
      </c>
      <c r="R4" s="72" t="str">
        <f>'DP instruction'!I9</f>
        <v>A</v>
      </c>
      <c r="S4" s="72" t="e">
        <f>IF(Q4="A",5,IF(Q4="B+",4,IF(Q4="B",3,IF(Q4="B-",2,IF(Q4="C",1,"-")))))</f>
        <v>#REF!</v>
      </c>
      <c r="T4" s="72">
        <f>IF(R4="A",5,IF(R4="B+",4,IF(R4="B",3,IF(R4="B-",2,1))))</f>
        <v>5</v>
      </c>
    </row>
    <row r="5" spans="2:20" ht="33">
      <c r="C5" s="72"/>
      <c r="D5" s="72"/>
      <c r="E5" s="72"/>
      <c r="F5" s="74" t="s">
        <v>69</v>
      </c>
      <c r="G5" s="72" t="s">
        <v>733</v>
      </c>
      <c r="H5" s="72" t="e">
        <f>'Safety Instruction.'!H10</f>
        <v>#N/A</v>
      </c>
      <c r="I5" s="72" t="str">
        <f>'Safety Instruction.'!I10</f>
        <v>A</v>
      </c>
      <c r="J5" s="72" t="e">
        <f t="shared" si="0"/>
        <v>#N/A</v>
      </c>
      <c r="K5" s="72">
        <f t="shared" ref="K5:K29" si="1">IF(I5="A",5,IF(I5="B+",4,IF(I5="B",3,IF(I5="B-",2,1))))</f>
        <v>5</v>
      </c>
      <c r="N5" s="72"/>
      <c r="O5" s="72" t="s">
        <v>70</v>
      </c>
      <c r="P5" s="72" t="s">
        <v>733</v>
      </c>
      <c r="Q5" s="72" t="e">
        <f>'DP instruction'!H10</f>
        <v>#REF!</v>
      </c>
      <c r="R5" s="72" t="str">
        <f>'DP instruction'!I10</f>
        <v>B+</v>
      </c>
      <c r="S5" s="72" t="e">
        <f t="shared" ref="S5:S30" si="2">IF(Q5="A",5,IF(Q5="B+",4,IF(Q5="B",3,IF(Q5="B-",2,IF(Q5="C",1,"-")))))</f>
        <v>#REF!</v>
      </c>
      <c r="T5" s="72">
        <f t="shared" ref="T5:T30" si="3">IF(R5="A",5,IF(R5="B+",4,IF(R5="B",3,IF(R5="B-",2,1))))</f>
        <v>4</v>
      </c>
    </row>
    <row r="6" spans="2:20" ht="33">
      <c r="C6" s="72"/>
      <c r="D6" s="72"/>
      <c r="E6" s="72"/>
      <c r="F6" s="74" t="s">
        <v>71</v>
      </c>
      <c r="G6" s="72" t="s">
        <v>732</v>
      </c>
      <c r="H6" s="72" t="e">
        <f>'Safety Instruction.'!H11</f>
        <v>#N/A</v>
      </c>
      <c r="I6" s="72" t="str">
        <f>'Safety Instruction.'!I11</f>
        <v>A</v>
      </c>
      <c r="J6" s="72" t="e">
        <f t="shared" si="0"/>
        <v>#N/A</v>
      </c>
      <c r="K6" s="72">
        <f t="shared" si="1"/>
        <v>5</v>
      </c>
      <c r="N6" s="72"/>
      <c r="O6" s="72" t="s">
        <v>734</v>
      </c>
      <c r="P6" s="72" t="s">
        <v>732</v>
      </c>
      <c r="Q6" s="72" t="e">
        <f>'DP instruction'!H11</f>
        <v>#REF!</v>
      </c>
      <c r="R6" s="72" t="str">
        <f>'DP instruction'!I11</f>
        <v>A</v>
      </c>
      <c r="S6" s="72" t="e">
        <f t="shared" si="2"/>
        <v>#REF!</v>
      </c>
      <c r="T6" s="72">
        <f t="shared" si="3"/>
        <v>5</v>
      </c>
    </row>
    <row r="7" spans="2:20" ht="49.5">
      <c r="C7" s="72"/>
      <c r="D7" s="72"/>
      <c r="E7" s="72"/>
      <c r="F7" s="74" t="s">
        <v>73</v>
      </c>
      <c r="G7" s="72" t="s">
        <v>733</v>
      </c>
      <c r="H7" s="72" t="e">
        <f>'Safety Instruction.'!H12</f>
        <v>#N/A</v>
      </c>
      <c r="I7" s="72" t="str">
        <f>'Safety Instruction.'!I12</f>
        <v>C</v>
      </c>
      <c r="J7" s="72" t="e">
        <f t="shared" si="0"/>
        <v>#N/A</v>
      </c>
      <c r="K7" s="72">
        <f t="shared" si="1"/>
        <v>1</v>
      </c>
      <c r="N7" s="72" t="s">
        <v>713</v>
      </c>
      <c r="O7" s="72" t="s">
        <v>74</v>
      </c>
      <c r="P7" s="72" t="s">
        <v>733</v>
      </c>
      <c r="Q7" s="72" t="e">
        <f>'DP instruction'!H12</f>
        <v>#REF!</v>
      </c>
      <c r="R7" s="72" t="str">
        <f>'DP instruction'!I12</f>
        <v>B</v>
      </c>
      <c r="S7" s="72" t="e">
        <f t="shared" si="2"/>
        <v>#REF!</v>
      </c>
      <c r="T7" s="72">
        <f t="shared" si="3"/>
        <v>3</v>
      </c>
    </row>
    <row r="8" spans="2:20" ht="18" customHeight="1">
      <c r="C8" s="72" t="s">
        <v>735</v>
      </c>
      <c r="D8" s="72" t="s">
        <v>736</v>
      </c>
      <c r="E8" s="72" t="s">
        <v>737</v>
      </c>
      <c r="F8" s="74" t="s">
        <v>78</v>
      </c>
      <c r="G8" s="72" t="s">
        <v>733</v>
      </c>
      <c r="H8" s="72" t="e">
        <f>'Safety Instruction.'!H13</f>
        <v>#N/A</v>
      </c>
      <c r="I8" s="72" t="str">
        <f>'Safety Instruction.'!I13</f>
        <v>A</v>
      </c>
      <c r="J8" s="72" t="e">
        <f t="shared" si="0"/>
        <v>#N/A</v>
      </c>
      <c r="K8" s="72">
        <f t="shared" si="1"/>
        <v>5</v>
      </c>
      <c r="N8" s="72"/>
      <c r="O8" s="72" t="s">
        <v>738</v>
      </c>
      <c r="P8" s="72" t="s">
        <v>733</v>
      </c>
      <c r="Q8" s="72" t="e">
        <f>'DP instruction'!H13</f>
        <v>#REF!</v>
      </c>
      <c r="R8" s="72" t="str">
        <f>'DP instruction'!I13</f>
        <v>B</v>
      </c>
      <c r="S8" s="72" t="e">
        <f t="shared" si="2"/>
        <v>#REF!</v>
      </c>
      <c r="T8" s="72">
        <f t="shared" si="3"/>
        <v>3</v>
      </c>
    </row>
    <row r="9" spans="2:20" ht="16.5">
      <c r="C9" s="72"/>
      <c r="D9" s="72"/>
      <c r="E9" s="72"/>
      <c r="F9" s="74" t="s">
        <v>80</v>
      </c>
      <c r="G9" s="72" t="s">
        <v>733</v>
      </c>
      <c r="H9" s="72" t="e">
        <f>'Safety Instruction.'!H14</f>
        <v>#N/A</v>
      </c>
      <c r="I9" s="72" t="str">
        <f>'Safety Instruction.'!I14</f>
        <v>A</v>
      </c>
      <c r="J9" s="72" t="e">
        <f t="shared" si="0"/>
        <v>#N/A</v>
      </c>
      <c r="K9" s="72">
        <f t="shared" si="1"/>
        <v>5</v>
      </c>
      <c r="N9" s="72"/>
      <c r="O9" s="72" t="s">
        <v>739</v>
      </c>
      <c r="P9" s="72" t="s">
        <v>733</v>
      </c>
      <c r="Q9" s="72" t="e">
        <f>'DP instruction'!H14</f>
        <v>#REF!</v>
      </c>
      <c r="R9" s="72" t="str">
        <f>'DP instruction'!I14</f>
        <v>B</v>
      </c>
      <c r="S9" s="72" t="e">
        <f t="shared" si="2"/>
        <v>#REF!</v>
      </c>
      <c r="T9" s="72">
        <f t="shared" si="3"/>
        <v>3</v>
      </c>
    </row>
    <row r="10" spans="2:20" ht="16.5">
      <c r="C10" s="72"/>
      <c r="D10" s="72"/>
      <c r="E10" s="72"/>
      <c r="F10" s="74" t="s">
        <v>82</v>
      </c>
      <c r="G10" s="72" t="s">
        <v>733</v>
      </c>
      <c r="H10" s="72" t="e">
        <f>'Safety Instruction.'!H15</f>
        <v>#N/A</v>
      </c>
      <c r="I10" s="72" t="str">
        <f>'Safety Instruction.'!I15</f>
        <v>A</v>
      </c>
      <c r="J10" s="72" t="e">
        <f t="shared" si="0"/>
        <v>#N/A</v>
      </c>
      <c r="K10" s="72">
        <f t="shared" si="1"/>
        <v>5</v>
      </c>
      <c r="N10" s="72"/>
      <c r="O10" s="72" t="s">
        <v>740</v>
      </c>
      <c r="P10" s="72" t="s">
        <v>733</v>
      </c>
      <c r="Q10" s="72" t="e">
        <f>'DP instruction'!H15</f>
        <v>#REF!</v>
      </c>
      <c r="R10" s="72" t="str">
        <f>'DP instruction'!I15</f>
        <v>A</v>
      </c>
      <c r="S10" s="72" t="e">
        <f t="shared" si="2"/>
        <v>#REF!</v>
      </c>
      <c r="T10" s="72">
        <f t="shared" si="3"/>
        <v>5</v>
      </c>
    </row>
    <row r="11" spans="2:20" ht="16.5">
      <c r="C11" s="72"/>
      <c r="D11" s="72"/>
      <c r="E11" s="72"/>
      <c r="F11" s="74" t="s">
        <v>86</v>
      </c>
      <c r="G11" s="72" t="s">
        <v>609</v>
      </c>
      <c r="H11" s="72" t="e">
        <f>'Safety Instruction.'!H16</f>
        <v>#N/A</v>
      </c>
      <c r="I11" s="72" t="str">
        <f>'Safety Instruction.'!I16</f>
        <v>A</v>
      </c>
      <c r="J11" s="72" t="e">
        <f t="shared" si="0"/>
        <v>#N/A</v>
      </c>
      <c r="K11" s="72">
        <f t="shared" si="1"/>
        <v>5</v>
      </c>
      <c r="N11" s="72"/>
      <c r="O11" s="72" t="s">
        <v>741</v>
      </c>
      <c r="P11" s="72" t="s">
        <v>733</v>
      </c>
      <c r="Q11" s="72" t="e">
        <f>'DP instruction'!H16</f>
        <v>#REF!</v>
      </c>
      <c r="R11" s="72" t="str">
        <f>'DP instruction'!I16</f>
        <v>A</v>
      </c>
      <c r="S11" s="72" t="e">
        <f t="shared" si="2"/>
        <v>#REF!</v>
      </c>
      <c r="T11" s="72">
        <f t="shared" si="3"/>
        <v>5</v>
      </c>
    </row>
    <row r="12" spans="2:20" ht="16.5">
      <c r="C12" s="72"/>
      <c r="D12" s="72"/>
      <c r="E12" s="72"/>
      <c r="F12" s="74" t="s">
        <v>89</v>
      </c>
      <c r="G12" s="72" t="s">
        <v>609</v>
      </c>
      <c r="H12" s="72" t="e">
        <f>'Safety Instruction.'!H19</f>
        <v>#N/A</v>
      </c>
      <c r="I12" s="72" t="str">
        <f>'Safety Instruction.'!I19</f>
        <v>A</v>
      </c>
      <c r="J12" s="72" t="e">
        <f t="shared" si="0"/>
        <v>#N/A</v>
      </c>
      <c r="K12" s="72">
        <f t="shared" si="1"/>
        <v>5</v>
      </c>
      <c r="N12" s="72"/>
      <c r="O12" s="72" t="s">
        <v>742</v>
      </c>
      <c r="P12" s="72" t="s">
        <v>733</v>
      </c>
      <c r="Q12" s="72" t="e">
        <f>'DP instruction'!H17</f>
        <v>#REF!</v>
      </c>
      <c r="R12" s="72" t="str">
        <f>'DP instruction'!I17</f>
        <v>A</v>
      </c>
      <c r="S12" s="72" t="e">
        <f t="shared" si="2"/>
        <v>#REF!</v>
      </c>
      <c r="T12" s="72">
        <f t="shared" si="3"/>
        <v>5</v>
      </c>
    </row>
    <row r="13" spans="2:20" ht="18" customHeight="1">
      <c r="C13" s="72" t="s">
        <v>743</v>
      </c>
      <c r="D13" s="72" t="s">
        <v>744</v>
      </c>
      <c r="E13" s="72" t="s">
        <v>485</v>
      </c>
      <c r="F13" s="74" t="s">
        <v>94</v>
      </c>
      <c r="G13" s="72" t="s">
        <v>732</v>
      </c>
      <c r="H13" s="72" t="e">
        <f>'Safety Instruction.'!H20</f>
        <v>#N/A</v>
      </c>
      <c r="I13" s="72" t="str">
        <f>'Safety Instruction.'!I20</f>
        <v>A</v>
      </c>
      <c r="J13" s="72" t="e">
        <f t="shared" si="0"/>
        <v>#N/A</v>
      </c>
      <c r="K13" s="72">
        <f t="shared" si="1"/>
        <v>5</v>
      </c>
      <c r="N13" s="72" t="s">
        <v>714</v>
      </c>
      <c r="O13" s="72" t="s">
        <v>97</v>
      </c>
      <c r="P13" s="72" t="s">
        <v>732</v>
      </c>
      <c r="Q13" s="72" t="e">
        <f>'DP instruction'!H18</f>
        <v>#REF!</v>
      </c>
      <c r="R13" s="72" t="str">
        <f>'DP instruction'!I18</f>
        <v>A</v>
      </c>
      <c r="S13" s="72" t="e">
        <f t="shared" si="2"/>
        <v>#REF!</v>
      </c>
      <c r="T13" s="72">
        <f t="shared" si="3"/>
        <v>5</v>
      </c>
    </row>
    <row r="14" spans="2:20" ht="33">
      <c r="C14" s="72"/>
      <c r="D14" s="72"/>
      <c r="E14" s="72"/>
      <c r="F14" s="74" t="s">
        <v>96</v>
      </c>
      <c r="G14" s="72" t="s">
        <v>732</v>
      </c>
      <c r="H14" s="72" t="e">
        <f>'Safety Instruction.'!H21</f>
        <v>#N/A</v>
      </c>
      <c r="I14" s="72" t="str">
        <f>'Safety Instruction.'!I21</f>
        <v>A</v>
      </c>
      <c r="J14" s="72" t="e">
        <f t="shared" si="0"/>
        <v>#N/A</v>
      </c>
      <c r="K14" s="72">
        <f t="shared" si="1"/>
        <v>5</v>
      </c>
      <c r="N14" s="72"/>
      <c r="O14" s="72" t="s">
        <v>99</v>
      </c>
      <c r="P14" s="72" t="s">
        <v>732</v>
      </c>
      <c r="Q14" s="72" t="e">
        <f>'DP instruction'!H19</f>
        <v>#REF!</v>
      </c>
      <c r="R14" s="72" t="str">
        <f>'DP instruction'!I19</f>
        <v>B</v>
      </c>
      <c r="S14" s="72" t="e">
        <f t="shared" si="2"/>
        <v>#REF!</v>
      </c>
      <c r="T14" s="72">
        <f t="shared" si="3"/>
        <v>3</v>
      </c>
    </row>
    <row r="15" spans="2:20" ht="16.5">
      <c r="C15" s="72"/>
      <c r="D15" s="72"/>
      <c r="E15" s="72"/>
      <c r="F15" s="74" t="s">
        <v>98</v>
      </c>
      <c r="G15" s="72" t="s">
        <v>732</v>
      </c>
      <c r="H15" s="72" t="e">
        <f>'Safety Instruction.'!H22</f>
        <v>#N/A</v>
      </c>
      <c r="I15" s="72" t="str">
        <f>'Safety Instruction.'!I22</f>
        <v>A</v>
      </c>
      <c r="J15" s="72" t="e">
        <f t="shared" si="0"/>
        <v>#N/A</v>
      </c>
      <c r="K15" s="72">
        <f t="shared" si="1"/>
        <v>5</v>
      </c>
      <c r="N15" s="72"/>
      <c r="O15" s="72" t="s">
        <v>108</v>
      </c>
      <c r="P15" s="72" t="s">
        <v>732</v>
      </c>
      <c r="Q15" s="72" t="e">
        <f>'DP instruction'!H20</f>
        <v>#REF!</v>
      </c>
      <c r="R15" s="72" t="str">
        <f>'DP instruction'!I20</f>
        <v>B+</v>
      </c>
      <c r="S15" s="72" t="e">
        <f t="shared" si="2"/>
        <v>#REF!</v>
      </c>
      <c r="T15" s="72">
        <f t="shared" si="3"/>
        <v>4</v>
      </c>
    </row>
    <row r="16" spans="2:20" ht="18" customHeight="1">
      <c r="C16" s="72" t="s">
        <v>745</v>
      </c>
      <c r="D16" s="72" t="s">
        <v>746</v>
      </c>
      <c r="E16" s="72" t="s">
        <v>487</v>
      </c>
      <c r="F16" s="74" t="s">
        <v>111</v>
      </c>
      <c r="G16" s="72" t="s">
        <v>609</v>
      </c>
      <c r="H16" s="72" t="e">
        <f>'Safety Instruction.'!H26</f>
        <v>#N/A</v>
      </c>
      <c r="I16" s="72" t="str">
        <f>'Safety Instruction.'!I26</f>
        <v>A</v>
      </c>
      <c r="J16" s="72" t="e">
        <f>IF(H16="A",5,IF(H16="B+",4,IF(H16="B",3,IF(H16="B-",2,IF(H16="C",1,"-")))))</f>
        <v>#N/A</v>
      </c>
      <c r="K16" s="72">
        <f t="shared" si="1"/>
        <v>5</v>
      </c>
      <c r="N16" s="72" t="s">
        <v>715</v>
      </c>
      <c r="O16" s="72" t="s">
        <v>747</v>
      </c>
      <c r="P16" s="72" t="s">
        <v>733</v>
      </c>
      <c r="Q16" s="72" t="e">
        <f>'DP instruction'!H21</f>
        <v>#REF!</v>
      </c>
      <c r="R16" s="72" t="str">
        <f>'DP instruction'!I21</f>
        <v>B+</v>
      </c>
      <c r="S16" s="72" t="e">
        <f t="shared" si="2"/>
        <v>#REF!</v>
      </c>
      <c r="T16" s="72">
        <f t="shared" si="3"/>
        <v>4</v>
      </c>
    </row>
    <row r="17" spans="3:22" ht="16.5">
      <c r="C17" s="72"/>
      <c r="D17" s="72"/>
      <c r="E17" s="72"/>
      <c r="F17" s="74" t="s">
        <v>109</v>
      </c>
      <c r="G17" s="72" t="s">
        <v>733</v>
      </c>
      <c r="H17" s="72" t="e">
        <f>'Safety Instruction.'!H27</f>
        <v>#N/A</v>
      </c>
      <c r="I17" s="72" t="str">
        <f>'Safety Instruction.'!I27</f>
        <v>A</v>
      </c>
      <c r="J17" s="72" t="e">
        <f t="shared" ref="J17:J29" si="4">IF(H17="A",5,IF(H17="B+",4,IF(H17="B",3,IF(H17="B-",2,IF(H17="C",1,"-")))))</f>
        <v>#N/A</v>
      </c>
      <c r="K17" s="72">
        <f t="shared" si="1"/>
        <v>5</v>
      </c>
      <c r="N17" s="72"/>
      <c r="O17" s="72" t="s">
        <v>748</v>
      </c>
      <c r="P17" s="72" t="s">
        <v>609</v>
      </c>
      <c r="Q17" s="72" t="e">
        <f>'DP instruction'!H22</f>
        <v>#REF!</v>
      </c>
      <c r="R17" s="72" t="str">
        <f>'DP instruction'!I22</f>
        <v>A</v>
      </c>
      <c r="S17" s="72" t="e">
        <f t="shared" si="2"/>
        <v>#REF!</v>
      </c>
      <c r="T17" s="72">
        <f t="shared" si="3"/>
        <v>5</v>
      </c>
    </row>
    <row r="18" spans="3:22" ht="33">
      <c r="C18" s="72"/>
      <c r="D18" s="72"/>
      <c r="E18" s="72"/>
      <c r="F18" s="74" t="s">
        <v>112</v>
      </c>
      <c r="G18" s="72" t="s">
        <v>609</v>
      </c>
      <c r="H18" s="72" t="e">
        <f>'Safety Instruction.'!H28</f>
        <v>#N/A</v>
      </c>
      <c r="I18" s="72" t="str">
        <f>'Safety Instruction.'!I28</f>
        <v>A</v>
      </c>
      <c r="J18" s="72" t="e">
        <f t="shared" si="4"/>
        <v>#N/A</v>
      </c>
      <c r="K18" s="72">
        <f t="shared" si="1"/>
        <v>5</v>
      </c>
      <c r="N18" s="72"/>
      <c r="O18" s="72" t="s">
        <v>749</v>
      </c>
      <c r="P18" s="72" t="s">
        <v>733</v>
      </c>
      <c r="Q18" s="72" t="e">
        <f>'DP instruction'!H23</f>
        <v>#REF!</v>
      </c>
      <c r="R18" s="72" t="str">
        <f>'DP instruction'!I23</f>
        <v>B+</v>
      </c>
      <c r="S18" s="72" t="e">
        <f t="shared" si="2"/>
        <v>#REF!</v>
      </c>
      <c r="T18" s="72">
        <f t="shared" si="3"/>
        <v>4</v>
      </c>
    </row>
    <row r="19" spans="3:22" ht="33">
      <c r="C19" s="72"/>
      <c r="D19" s="72"/>
      <c r="E19" s="72"/>
      <c r="F19" s="74" t="s">
        <v>114</v>
      </c>
      <c r="G19" s="72" t="s">
        <v>733</v>
      </c>
      <c r="H19" s="72" t="e">
        <f>'Safety Instruction.'!#REF!</f>
        <v>#REF!</v>
      </c>
      <c r="I19" s="72" t="e">
        <f>'Safety Instruction.'!#REF!</f>
        <v>#REF!</v>
      </c>
      <c r="J19" s="72" t="e">
        <f t="shared" si="4"/>
        <v>#REF!</v>
      </c>
      <c r="K19" s="72" t="e">
        <f t="shared" si="1"/>
        <v>#REF!</v>
      </c>
      <c r="N19" s="72"/>
      <c r="O19" s="72" t="s">
        <v>750</v>
      </c>
      <c r="P19" s="72" t="s">
        <v>622</v>
      </c>
      <c r="Q19" s="72" t="e">
        <f>'DP instruction'!H24</f>
        <v>#REF!</v>
      </c>
      <c r="R19" s="72" t="str">
        <f>'DP instruction'!I24</f>
        <v>C</v>
      </c>
      <c r="S19" s="72" t="e">
        <f t="shared" si="2"/>
        <v>#REF!</v>
      </c>
      <c r="T19" s="72">
        <f t="shared" si="3"/>
        <v>1</v>
      </c>
    </row>
    <row r="20" spans="3:22" ht="16.5">
      <c r="C20" s="72"/>
      <c r="D20" s="72"/>
      <c r="E20" s="72"/>
      <c r="F20" s="74" t="s">
        <v>116</v>
      </c>
      <c r="G20" s="72" t="s">
        <v>733</v>
      </c>
      <c r="H20" s="72" t="e">
        <f>'Safety Instruction.'!H29</f>
        <v>#N/A</v>
      </c>
      <c r="I20" s="72" t="str">
        <f>'Safety Instruction.'!I29</f>
        <v>A</v>
      </c>
      <c r="J20" s="72" t="e">
        <f t="shared" si="4"/>
        <v>#N/A</v>
      </c>
      <c r="K20" s="72">
        <f t="shared" si="1"/>
        <v>5</v>
      </c>
      <c r="N20" s="72"/>
      <c r="O20" s="72" t="s">
        <v>751</v>
      </c>
      <c r="P20" s="72" t="s">
        <v>622</v>
      </c>
      <c r="Q20" s="72" t="e">
        <f>'DP instruction'!H25</f>
        <v>#REF!</v>
      </c>
      <c r="R20" s="72" t="str">
        <f>'DP instruction'!I25</f>
        <v>A</v>
      </c>
      <c r="S20" s="72" t="e">
        <f t="shared" si="2"/>
        <v>#REF!</v>
      </c>
      <c r="T20" s="72">
        <f t="shared" si="3"/>
        <v>5</v>
      </c>
    </row>
    <row r="21" spans="3:22" ht="16.5">
      <c r="C21" s="72"/>
      <c r="D21" s="72"/>
      <c r="E21" s="72"/>
      <c r="F21" s="74" t="s">
        <v>118</v>
      </c>
      <c r="G21" s="72" t="s">
        <v>609</v>
      </c>
      <c r="H21" s="72" t="e">
        <f>'Safety Instruction.'!H30</f>
        <v>#N/A</v>
      </c>
      <c r="I21" s="72" t="str">
        <f>'Safety Instruction.'!I30</f>
        <v>A</v>
      </c>
      <c r="J21" s="72" t="e">
        <f t="shared" si="4"/>
        <v>#N/A</v>
      </c>
      <c r="K21" s="72">
        <f t="shared" si="1"/>
        <v>5</v>
      </c>
      <c r="N21" s="72"/>
      <c r="O21" s="72" t="s">
        <v>752</v>
      </c>
      <c r="P21" s="72" t="s">
        <v>609</v>
      </c>
      <c r="Q21" s="72" t="e">
        <f>'DP instruction'!H26</f>
        <v>#REF!</v>
      </c>
      <c r="R21" s="72" t="str">
        <f>'DP instruction'!I26</f>
        <v>A</v>
      </c>
      <c r="S21" s="72" t="e">
        <f t="shared" si="2"/>
        <v>#REF!</v>
      </c>
      <c r="T21" s="72">
        <f t="shared" si="3"/>
        <v>5</v>
      </c>
    </row>
    <row r="22" spans="3:22" ht="33">
      <c r="C22" s="72"/>
      <c r="D22" s="72"/>
      <c r="E22" s="72"/>
      <c r="F22" s="74" t="s">
        <v>120</v>
      </c>
      <c r="G22" s="72" t="s">
        <v>733</v>
      </c>
      <c r="H22" s="72" t="e">
        <f>'Safety Instruction.'!H31</f>
        <v>#N/A</v>
      </c>
      <c r="I22" s="72" t="str">
        <f>'Safety Instruction.'!I31</f>
        <v>A</v>
      </c>
      <c r="J22" s="72" t="e">
        <f t="shared" si="4"/>
        <v>#N/A</v>
      </c>
      <c r="K22" s="72">
        <f t="shared" si="1"/>
        <v>5</v>
      </c>
      <c r="N22" s="72"/>
      <c r="O22" s="72" t="s">
        <v>753</v>
      </c>
      <c r="P22" s="72" t="s">
        <v>622</v>
      </c>
      <c r="Q22" s="72" t="e">
        <f>'DP instruction'!H27</f>
        <v>#REF!</v>
      </c>
      <c r="R22" s="72" t="str">
        <f>'DP instruction'!I27</f>
        <v>A</v>
      </c>
      <c r="S22" s="72" t="e">
        <f t="shared" si="2"/>
        <v>#REF!</v>
      </c>
      <c r="T22" s="72">
        <f t="shared" si="3"/>
        <v>5</v>
      </c>
    </row>
    <row r="23" spans="3:22" ht="18" customHeight="1">
      <c r="C23" s="72"/>
      <c r="D23" s="72"/>
      <c r="E23" s="72" t="s">
        <v>754</v>
      </c>
      <c r="F23" s="74" t="s">
        <v>122</v>
      </c>
      <c r="G23" s="72" t="s">
        <v>732</v>
      </c>
      <c r="H23" s="72" t="e">
        <f>'Safety Instruction.'!H32</f>
        <v>#N/A</v>
      </c>
      <c r="I23" s="72" t="str">
        <f>'Safety Instruction.'!I32</f>
        <v>A</v>
      </c>
      <c r="J23" s="72" t="e">
        <f t="shared" si="4"/>
        <v>#N/A</v>
      </c>
      <c r="K23" s="72">
        <f t="shared" si="1"/>
        <v>5</v>
      </c>
      <c r="N23" s="72"/>
      <c r="O23" s="72" t="s">
        <v>755</v>
      </c>
      <c r="P23" s="72" t="s">
        <v>622</v>
      </c>
      <c r="Q23" s="72" t="e">
        <f>'DP instruction'!H28</f>
        <v>#REF!</v>
      </c>
      <c r="R23" s="72" t="str">
        <f>'DP instruction'!I28</f>
        <v>A</v>
      </c>
      <c r="S23" s="72" t="e">
        <f t="shared" si="2"/>
        <v>#REF!</v>
      </c>
      <c r="T23" s="72">
        <f t="shared" si="3"/>
        <v>5</v>
      </c>
    </row>
    <row r="24" spans="3:22" ht="49.5">
      <c r="C24" s="72"/>
      <c r="D24" s="72"/>
      <c r="E24" s="72"/>
      <c r="F24" s="74" t="s">
        <v>124</v>
      </c>
      <c r="G24" s="72" t="s">
        <v>732</v>
      </c>
      <c r="H24" s="72" t="e">
        <f>'Safety Instruction.'!H33</f>
        <v>#N/A</v>
      </c>
      <c r="I24" s="72" t="str">
        <f>'Safety Instruction.'!I33</f>
        <v>A</v>
      </c>
      <c r="J24" s="72" t="e">
        <f t="shared" si="4"/>
        <v>#N/A</v>
      </c>
      <c r="K24" s="72">
        <f t="shared" si="1"/>
        <v>5</v>
      </c>
      <c r="N24" s="72"/>
      <c r="O24" s="72" t="s">
        <v>756</v>
      </c>
      <c r="P24" s="72" t="s">
        <v>622</v>
      </c>
      <c r="Q24" s="72" t="e">
        <f>'DP instruction'!H29</f>
        <v>#REF!</v>
      </c>
      <c r="R24" s="72" t="str">
        <f>'DP instruction'!I29</f>
        <v>A</v>
      </c>
      <c r="S24" s="72" t="e">
        <f t="shared" si="2"/>
        <v>#REF!</v>
      </c>
      <c r="T24" s="72">
        <f t="shared" si="3"/>
        <v>5</v>
      </c>
    </row>
    <row r="25" spans="3:22" ht="49.5">
      <c r="C25" s="72"/>
      <c r="D25" s="72"/>
      <c r="E25" s="72"/>
      <c r="F25" s="74" t="s">
        <v>126</v>
      </c>
      <c r="G25" s="72" t="s">
        <v>732</v>
      </c>
      <c r="H25" s="72" t="e">
        <f>'Safety Instruction.'!H34</f>
        <v>#N/A</v>
      </c>
      <c r="I25" s="72" t="str">
        <f>'Safety Instruction.'!I34</f>
        <v>A</v>
      </c>
      <c r="J25" s="72" t="e">
        <f t="shared" si="4"/>
        <v>#N/A</v>
      </c>
      <c r="K25" s="72">
        <f t="shared" si="1"/>
        <v>5</v>
      </c>
      <c r="N25" s="72"/>
      <c r="O25" s="72" t="s">
        <v>757</v>
      </c>
      <c r="P25" s="72" t="s">
        <v>622</v>
      </c>
      <c r="Q25" s="72" t="e">
        <f>'DP instruction'!H30</f>
        <v>#REF!</v>
      </c>
      <c r="R25" s="72" t="str">
        <f>'DP instruction'!I30</f>
        <v>A</v>
      </c>
      <c r="S25" s="72" t="e">
        <f t="shared" si="2"/>
        <v>#REF!</v>
      </c>
      <c r="T25" s="72">
        <f t="shared" si="3"/>
        <v>5</v>
      </c>
    </row>
    <row r="26" spans="3:22" ht="49.5">
      <c r="C26" s="72"/>
      <c r="D26" s="72"/>
      <c r="E26" s="72"/>
      <c r="F26" s="74" t="s">
        <v>128</v>
      </c>
      <c r="G26" s="72" t="s">
        <v>732</v>
      </c>
      <c r="H26" s="72" t="e">
        <f>'Safety Instruction.'!H35</f>
        <v>#N/A</v>
      </c>
      <c r="I26" s="72" t="str">
        <f>'Safety Instruction.'!I35</f>
        <v>A</v>
      </c>
      <c r="J26" s="72" t="e">
        <f t="shared" si="4"/>
        <v>#N/A</v>
      </c>
      <c r="K26" s="72">
        <f t="shared" si="1"/>
        <v>5</v>
      </c>
      <c r="N26" s="72"/>
      <c r="O26" s="72"/>
      <c r="P26" s="72"/>
      <c r="Q26" s="72" t="e">
        <f>'DP instruction'!H31</f>
        <v>#REF!</v>
      </c>
      <c r="R26" s="72"/>
      <c r="S26" s="72" t="e">
        <f t="shared" si="2"/>
        <v>#REF!</v>
      </c>
      <c r="T26" s="72"/>
    </row>
    <row r="27" spans="3:22" ht="18" customHeight="1">
      <c r="C27" s="72" t="s">
        <v>758</v>
      </c>
      <c r="D27" s="72" t="s">
        <v>759</v>
      </c>
      <c r="E27" s="72" t="s">
        <v>490</v>
      </c>
      <c r="F27" s="74" t="s">
        <v>133</v>
      </c>
      <c r="G27" s="72" t="s">
        <v>732</v>
      </c>
      <c r="H27" s="72" t="e">
        <f>'Safety Instruction.'!H36</f>
        <v>#N/A</v>
      </c>
      <c r="I27" s="72" t="str">
        <f>'Safety Instruction.'!I36</f>
        <v>A</v>
      </c>
      <c r="J27" s="72" t="e">
        <f t="shared" si="4"/>
        <v>#N/A</v>
      </c>
      <c r="K27" s="72">
        <f t="shared" si="1"/>
        <v>5</v>
      </c>
      <c r="N27" s="72"/>
      <c r="O27" s="72"/>
      <c r="P27" s="72"/>
      <c r="Q27" s="72" t="e">
        <f>'DP instruction'!H32</f>
        <v>#REF!</v>
      </c>
      <c r="R27" s="72"/>
      <c r="S27" s="72" t="e">
        <f t="shared" si="2"/>
        <v>#REF!</v>
      </c>
      <c r="T27" s="72"/>
    </row>
    <row r="28" spans="3:22" ht="16.5">
      <c r="C28" s="72"/>
      <c r="D28" s="72"/>
      <c r="E28" s="72"/>
      <c r="F28" s="74" t="s">
        <v>135</v>
      </c>
      <c r="G28" s="72" t="s">
        <v>732</v>
      </c>
      <c r="H28" s="72" t="e">
        <f>'Safety Instruction.'!H37</f>
        <v>#N/A</v>
      </c>
      <c r="I28" s="72" t="str">
        <f>'Safety Instruction.'!I37</f>
        <v>A</v>
      </c>
      <c r="J28" s="72" t="e">
        <f t="shared" si="4"/>
        <v>#N/A</v>
      </c>
      <c r="K28" s="72">
        <f t="shared" si="1"/>
        <v>5</v>
      </c>
      <c r="N28" s="72" t="s">
        <v>716</v>
      </c>
      <c r="O28" s="72" t="s">
        <v>760</v>
      </c>
      <c r="P28" s="72" t="s">
        <v>732</v>
      </c>
      <c r="Q28" s="72" t="e">
        <f>'DP instruction'!H33</f>
        <v>#REF!</v>
      </c>
      <c r="R28" s="72" t="str">
        <f>'DP instruction'!I33</f>
        <v>A</v>
      </c>
      <c r="S28" s="72" t="e">
        <f t="shared" si="2"/>
        <v>#REF!</v>
      </c>
      <c r="T28" s="72">
        <f t="shared" si="3"/>
        <v>5</v>
      </c>
      <c r="V28" s="57" t="s">
        <v>760</v>
      </c>
    </row>
    <row r="29" spans="3:22" ht="16.5">
      <c r="C29" s="72"/>
      <c r="D29" s="72"/>
      <c r="E29" s="72"/>
      <c r="F29" s="73" t="s">
        <v>137</v>
      </c>
      <c r="G29" s="72" t="s">
        <v>732</v>
      </c>
      <c r="H29" s="72" t="e">
        <f>'Safety Instruction.'!H38</f>
        <v>#N/A</v>
      </c>
      <c r="I29" s="72" t="str">
        <f>'Safety Instruction.'!I38</f>
        <v>A</v>
      </c>
      <c r="J29" s="72" t="e">
        <f t="shared" si="4"/>
        <v>#N/A</v>
      </c>
      <c r="K29" s="72">
        <f t="shared" si="1"/>
        <v>5</v>
      </c>
      <c r="N29" s="72"/>
      <c r="O29" s="72"/>
      <c r="P29" s="72"/>
      <c r="Q29" s="72" t="e">
        <f>'DP instruction'!H34</f>
        <v>#REF!</v>
      </c>
      <c r="R29" s="72"/>
      <c r="S29" s="72" t="e">
        <f t="shared" si="2"/>
        <v>#REF!</v>
      </c>
      <c r="T29" s="72"/>
      <c r="V29" s="57" t="s">
        <v>761</v>
      </c>
    </row>
    <row r="30" spans="3:22">
      <c r="J30" s="57">
        <f>COUNTIF(J4:J29,4)+COUNTIF(J4:J29,5)</f>
        <v>0</v>
      </c>
      <c r="N30" s="72"/>
      <c r="O30" s="72" t="s">
        <v>762</v>
      </c>
      <c r="P30" s="72" t="s">
        <v>732</v>
      </c>
      <c r="Q30" s="72" t="e">
        <f>'DP instruction'!H35</f>
        <v>#REF!</v>
      </c>
      <c r="R30" s="72" t="str">
        <f>'DP instruction'!I35</f>
        <v>C</v>
      </c>
      <c r="S30" s="72" t="e">
        <f t="shared" si="2"/>
        <v>#REF!</v>
      </c>
      <c r="T30" s="72">
        <f t="shared" si="3"/>
        <v>1</v>
      </c>
      <c r="V30" s="57" t="s">
        <v>762</v>
      </c>
    </row>
    <row r="36" spans="2:33">
      <c r="B36" s="83" t="s">
        <v>429</v>
      </c>
      <c r="C36" s="82"/>
      <c r="D36" s="82"/>
      <c r="E36" s="82"/>
      <c r="F36" s="82"/>
      <c r="G36" s="82"/>
      <c r="H36" s="82"/>
      <c r="I36" s="82"/>
      <c r="J36" s="82"/>
      <c r="K36" s="82"/>
      <c r="L36" s="82"/>
      <c r="M36" s="82"/>
      <c r="N36" s="82"/>
      <c r="O36" s="82"/>
      <c r="P36" s="82"/>
      <c r="Q36" s="82"/>
      <c r="R36" s="82"/>
      <c r="S36" s="82"/>
      <c r="T36" s="82"/>
      <c r="U36" s="82"/>
      <c r="V36" s="82"/>
      <c r="W36" s="82"/>
      <c r="X36" s="82"/>
      <c r="Y36" s="82"/>
      <c r="Z36" s="82"/>
      <c r="AA36" s="82"/>
      <c r="AB36" s="82"/>
      <c r="AC36" s="82"/>
      <c r="AD36" s="82"/>
      <c r="AE36" s="82"/>
      <c r="AF36" s="82"/>
      <c r="AG36" s="82"/>
    </row>
    <row r="37" spans="2:33">
      <c r="B37" s="85"/>
    </row>
    <row r="38" spans="2:33">
      <c r="C38" s="57" t="s">
        <v>763</v>
      </c>
    </row>
    <row r="39" spans="2:33">
      <c r="C39" s="72"/>
      <c r="D39" s="72">
        <v>2024</v>
      </c>
      <c r="E39" s="72">
        <v>2025</v>
      </c>
      <c r="N39" s="57" t="s">
        <v>721</v>
      </c>
      <c r="S39" s="57" t="s">
        <v>722</v>
      </c>
    </row>
    <row r="40" spans="2:33">
      <c r="B40" s="94" t="s">
        <v>22</v>
      </c>
      <c r="C40" s="72" t="s">
        <v>622</v>
      </c>
      <c r="D40" s="93" t="e">
        <f>AVERAGEIFS($J$4:$J$29,$G$4:$G$29,$C$40)</f>
        <v>#N/A</v>
      </c>
      <c r="E40" s="93">
        <f>AVERAGEIFS($K$4:$K$29,$G$4:$G$29,$C$40)</f>
        <v>5</v>
      </c>
    </row>
    <row r="41" spans="2:33">
      <c r="B41" s="94" t="s">
        <v>23</v>
      </c>
      <c r="C41" s="72" t="s">
        <v>535</v>
      </c>
      <c r="D41" s="93" t="e">
        <f>AVERAGEIFS($J$4:$J$29,$G$4:$G$29,$C$41)</f>
        <v>#N/A</v>
      </c>
      <c r="E41" s="93">
        <f>AVERAGEIFS($K$4:$K$29,$G$4:$G$29,$C$41)</f>
        <v>5</v>
      </c>
    </row>
    <row r="42" spans="2:33">
      <c r="B42" s="94" t="s">
        <v>20</v>
      </c>
      <c r="C42" s="72" t="s">
        <v>542</v>
      </c>
      <c r="D42" s="93" t="e">
        <f>AVERAGEIFS($J$4:$J$29,$G$4:$G$29,$C$42)</f>
        <v>#N/A</v>
      </c>
      <c r="E42" s="93" t="e">
        <f>AVERAGEIFS($K$4:$K$29,$G$4:$G$29,$C$42)</f>
        <v>#REF!</v>
      </c>
    </row>
    <row r="43" spans="2:33">
      <c r="C43" s="72" t="s">
        <v>764</v>
      </c>
      <c r="D43" s="93" t="e">
        <f>AVERAGE(D40:D42)</f>
        <v>#N/A</v>
      </c>
      <c r="E43" s="93" t="e">
        <f>AVERAGE(E40:E42)</f>
        <v>#REF!</v>
      </c>
    </row>
    <row r="45" spans="2:33">
      <c r="C45" s="57" t="s">
        <v>765</v>
      </c>
    </row>
    <row r="46" spans="2:33">
      <c r="D46" s="638">
        <v>2024</v>
      </c>
      <c r="E46" s="638"/>
      <c r="F46" s="638">
        <v>2025</v>
      </c>
      <c r="G46" s="638"/>
    </row>
    <row r="47" spans="2:33">
      <c r="C47" s="72"/>
      <c r="D47" s="72" t="s">
        <v>722</v>
      </c>
      <c r="E47" s="72" t="s">
        <v>721</v>
      </c>
      <c r="F47" s="72" t="s">
        <v>722</v>
      </c>
      <c r="G47" s="72" t="s">
        <v>721</v>
      </c>
    </row>
    <row r="48" spans="2:33">
      <c r="B48" s="94" t="s">
        <v>63</v>
      </c>
      <c r="C48" s="72" t="s">
        <v>712</v>
      </c>
      <c r="D48" s="93" t="e">
        <f>MIN(J4:J7)</f>
        <v>#N/A</v>
      </c>
      <c r="E48" s="93" t="e">
        <f>AVERAGE(J4:J7)</f>
        <v>#N/A</v>
      </c>
      <c r="F48" s="93">
        <f>MIN(K4:K7)</f>
        <v>1</v>
      </c>
      <c r="G48" s="93">
        <f>AVERAGE(K4:K7)</f>
        <v>4</v>
      </c>
    </row>
    <row r="49" spans="2:14">
      <c r="B49" s="94" t="s">
        <v>75</v>
      </c>
      <c r="C49" s="72" t="s">
        <v>713</v>
      </c>
      <c r="D49" s="93" t="e">
        <f>MIN(J8:J12)</f>
        <v>#N/A</v>
      </c>
      <c r="E49" s="93" t="e">
        <f>AVERAGE(J8:J12)</f>
        <v>#N/A</v>
      </c>
      <c r="F49" s="93">
        <f>MIN(K8:K12)</f>
        <v>5</v>
      </c>
      <c r="G49" s="93">
        <f>AVERAGE(K8:K12)</f>
        <v>5</v>
      </c>
    </row>
    <row r="50" spans="2:14">
      <c r="B50" s="94" t="s">
        <v>584</v>
      </c>
      <c r="C50" s="72" t="s">
        <v>714</v>
      </c>
      <c r="D50" s="93" t="e">
        <f>MIN(J13:J15)</f>
        <v>#N/A</v>
      </c>
      <c r="E50" s="93" t="e">
        <f>AVERAGE(J13:J15)</f>
        <v>#N/A</v>
      </c>
      <c r="F50" s="93">
        <f>MIN(K13:K15)</f>
        <v>5</v>
      </c>
      <c r="G50" s="93">
        <f>AVERAGE(K13:K15)</f>
        <v>5</v>
      </c>
    </row>
    <row r="51" spans="2:14">
      <c r="B51" s="94" t="s">
        <v>104</v>
      </c>
      <c r="C51" s="72" t="s">
        <v>715</v>
      </c>
      <c r="D51" s="93" t="e">
        <f>MIN(J16:J26)</f>
        <v>#N/A</v>
      </c>
      <c r="E51" s="93" t="e">
        <f>AVERAGE(J16:J26)</f>
        <v>#N/A</v>
      </c>
      <c r="F51" s="93" t="e">
        <f>MIN(K16:K26)</f>
        <v>#REF!</v>
      </c>
      <c r="G51" s="93" t="e">
        <f>AVERAGE(K16:K26)</f>
        <v>#REF!</v>
      </c>
    </row>
    <row r="52" spans="2:14">
      <c r="B52" s="94" t="s">
        <v>720</v>
      </c>
      <c r="C52" s="72" t="s">
        <v>716</v>
      </c>
      <c r="D52" s="93" t="e">
        <f>MIN(J27:J29)</f>
        <v>#N/A</v>
      </c>
      <c r="E52" s="93" t="e">
        <f>AVERAGE(J27:J29)</f>
        <v>#N/A</v>
      </c>
      <c r="F52" s="93">
        <f>MIN(K27:K29)</f>
        <v>5</v>
      </c>
      <c r="G52" s="93">
        <f>AVERAGE(K27:K29)</f>
        <v>5</v>
      </c>
    </row>
    <row r="53" spans="2:14">
      <c r="C53" s="72" t="s">
        <v>721</v>
      </c>
      <c r="D53" s="93" t="e">
        <f>AVERAGE(D48:D52)</f>
        <v>#N/A</v>
      </c>
      <c r="E53" s="93" t="e">
        <f>AVERAGE(E48:E52)</f>
        <v>#N/A</v>
      </c>
      <c r="F53" s="93" t="e">
        <f>AVERAGE(F48:F52)</f>
        <v>#REF!</v>
      </c>
      <c r="G53" s="93" t="e">
        <f>AVERAGE(G48:G52)</f>
        <v>#REF!</v>
      </c>
    </row>
    <row r="55" spans="2:14">
      <c r="C55" s="57" t="s">
        <v>766</v>
      </c>
    </row>
    <row r="56" spans="2:14">
      <c r="C56" s="72"/>
      <c r="D56" s="72"/>
      <c r="E56" s="72">
        <v>2024</v>
      </c>
      <c r="F56" s="72">
        <v>2025</v>
      </c>
      <c r="I56" s="72"/>
      <c r="J56" s="72"/>
      <c r="K56" s="72" t="s">
        <v>767</v>
      </c>
      <c r="L56" s="72" t="s">
        <v>16</v>
      </c>
      <c r="M56" s="72" t="s">
        <v>17</v>
      </c>
      <c r="N56" s="72" t="s">
        <v>18</v>
      </c>
    </row>
    <row r="57" spans="2:14">
      <c r="C57" s="72" t="s">
        <v>542</v>
      </c>
      <c r="D57" s="72" t="s">
        <v>767</v>
      </c>
      <c r="E57" s="72">
        <f>COUNTIFS($G$4:$G$29,$C$57,$J$4:$J$29,4)+COUNTIFS($G$4:$G$29,$C$57,$J$4:$J$29,5)</f>
        <v>0</v>
      </c>
      <c r="F57" s="72">
        <f>COUNTIFS($G$4:$G$29,$C$57,$K$4:$K$29,4)+COUNTIFS($G$4:$G$29,$C$57,$K$4:$K$29,5)</f>
        <v>7</v>
      </c>
      <c r="I57" s="72" t="s">
        <v>535</v>
      </c>
      <c r="J57" s="72">
        <v>2024</v>
      </c>
      <c r="K57" s="116" t="e">
        <f>E69/SUM(E69:E72)</f>
        <v>#DIV/0!</v>
      </c>
      <c r="L57" s="116" t="e">
        <f>E70/SUM(E69:E72)</f>
        <v>#DIV/0!</v>
      </c>
      <c r="M57" s="116" t="e">
        <f>E71/SUM(E69:E72)</f>
        <v>#DIV/0!</v>
      </c>
      <c r="N57" s="116" t="e">
        <f>E72/SUM(E69:E72)</f>
        <v>#DIV/0!</v>
      </c>
    </row>
    <row r="58" spans="2:14">
      <c r="C58" s="72"/>
      <c r="D58" s="72" t="s">
        <v>16</v>
      </c>
      <c r="E58" s="72">
        <f>COUNTIFS($G$4:$G$29,$C$57,$J$4:$J$29,3)</f>
        <v>0</v>
      </c>
      <c r="F58" s="72">
        <f>COUNTIFS($G$4:$G$29,$C$57,$K$4:$K$29,3)</f>
        <v>0</v>
      </c>
      <c r="I58" s="72"/>
      <c r="J58" s="72">
        <v>2025</v>
      </c>
      <c r="K58" s="116">
        <f>F69/SUM(F69:F72)</f>
        <v>1</v>
      </c>
      <c r="L58" s="116">
        <f>F70/SUM(F69:F72)</f>
        <v>0</v>
      </c>
      <c r="M58" s="116">
        <f>F71/SUM(F69:F72)</f>
        <v>0</v>
      </c>
      <c r="N58" s="116">
        <f>F72/SUM(F69:F72)</f>
        <v>0</v>
      </c>
    </row>
    <row r="59" spans="2:14">
      <c r="C59" s="72"/>
      <c r="D59" s="72" t="s">
        <v>17</v>
      </c>
      <c r="E59" s="72">
        <f>COUNTIFS($G$4:$G$29,$C$57,$J$4:$J$29,2)</f>
        <v>0</v>
      </c>
      <c r="F59" s="72">
        <f>COUNTIFS($G$4:$G$29,$C$57,$K$4:$K$29,2)</f>
        <v>0</v>
      </c>
      <c r="I59" s="72" t="s">
        <v>609</v>
      </c>
      <c r="J59" s="72">
        <v>2024</v>
      </c>
      <c r="K59" s="116" t="e">
        <f>E63/SUM(E63:E66)</f>
        <v>#DIV/0!</v>
      </c>
      <c r="L59" s="116" t="e">
        <f>E64/SUM(E63:E66)</f>
        <v>#DIV/0!</v>
      </c>
      <c r="M59" s="116" t="e">
        <f>E65/SUM(E63:E66)</f>
        <v>#DIV/0!</v>
      </c>
      <c r="N59" s="116" t="e">
        <f>E66/SUM(E63:E66)</f>
        <v>#DIV/0!</v>
      </c>
    </row>
    <row r="60" spans="2:14">
      <c r="C60" s="72"/>
      <c r="D60" s="72" t="s">
        <v>18</v>
      </c>
      <c r="E60" s="72">
        <f>COUNTIFS($G$4:$G$29,$C$57,$J$4:$J$29,1)</f>
        <v>0</v>
      </c>
      <c r="F60" s="72">
        <f>COUNTIFS($G$4:$G$29,$C$57,$K$4:$K$29,1)</f>
        <v>1</v>
      </c>
      <c r="I60" s="72"/>
      <c r="J60" s="72">
        <v>2025</v>
      </c>
      <c r="K60" s="116">
        <f>F63/SUM(F63:F66)</f>
        <v>1</v>
      </c>
      <c r="L60" s="116">
        <f>F64/SUM(F63:F66)</f>
        <v>0</v>
      </c>
      <c r="M60" s="116">
        <f>F65/SUM(F63:F66)</f>
        <v>0</v>
      </c>
      <c r="N60" s="116">
        <f>F66/SUM(F63:F66)</f>
        <v>0</v>
      </c>
    </row>
    <row r="61" spans="2:14">
      <c r="I61" s="72" t="s">
        <v>542</v>
      </c>
      <c r="J61" s="72">
        <v>2024</v>
      </c>
      <c r="K61" s="116" t="e">
        <f>E57/SUM(E57:E60)</f>
        <v>#DIV/0!</v>
      </c>
      <c r="L61" s="116" t="e">
        <f>E58/SUM(E57:E60)</f>
        <v>#DIV/0!</v>
      </c>
      <c r="M61" s="116" t="e">
        <f>E59/SUM(E57:E60)</f>
        <v>#DIV/0!</v>
      </c>
      <c r="N61" s="116" t="e">
        <f>E60/SUM(E57:E60)</f>
        <v>#DIV/0!</v>
      </c>
    </row>
    <row r="62" spans="2:14">
      <c r="C62" s="72"/>
      <c r="D62" s="72"/>
      <c r="E62" s="72">
        <v>2024</v>
      </c>
      <c r="F62" s="72">
        <v>2025</v>
      </c>
      <c r="I62" s="72"/>
      <c r="J62" s="72">
        <v>2025</v>
      </c>
      <c r="K62" s="116">
        <f>F57/SUM(F57:F60)</f>
        <v>0.875</v>
      </c>
      <c r="L62" s="116">
        <f>F58/SUM(F57:F60)</f>
        <v>0</v>
      </c>
      <c r="M62" s="116">
        <f>F59/SUM(F57:F60)</f>
        <v>0</v>
      </c>
      <c r="N62" s="116">
        <f>F60/SUM(F57:F60)</f>
        <v>0.125</v>
      </c>
    </row>
    <row r="63" spans="2:14">
      <c r="C63" s="72" t="s">
        <v>609</v>
      </c>
      <c r="D63" s="72" t="s">
        <v>767</v>
      </c>
      <c r="E63" s="72">
        <f>COUNTIFS($G$4:$G$29,$C$63,$J$4:$J$29,4)+COUNTIFS($G$4:$G$29,$C$63,$J$4:$J$29,5)</f>
        <v>0</v>
      </c>
      <c r="F63" s="72">
        <f>COUNTIFS($G$4:$G$29,$C$63,$K$4:$K$29,4)+COUNTIFS($G$4:$G$29,$C$63,$K$4:$K$29,5)</f>
        <v>5</v>
      </c>
    </row>
    <row r="64" spans="2:14">
      <c r="C64" s="72"/>
      <c r="D64" s="72" t="s">
        <v>16</v>
      </c>
      <c r="E64" s="72">
        <f>COUNTIFS($G$4:$G$29,$C$63,$J$4:$J$29,3)</f>
        <v>0</v>
      </c>
      <c r="F64" s="72">
        <f>COUNTIFS($G$4:$G$29,$C$63,$K$4:$K$29,3)</f>
        <v>0</v>
      </c>
    </row>
    <row r="65" spans="2:33">
      <c r="C65" s="72"/>
      <c r="D65" s="72" t="s">
        <v>17</v>
      </c>
      <c r="E65" s="72">
        <f>COUNTIFS($G$4:$G$29,$C$63,$J$4:$J$29,2)</f>
        <v>0</v>
      </c>
      <c r="F65" s="72">
        <f>COUNTIFS($G$4:$G$29,$C$63,$K$4:$K$29,2)</f>
        <v>0</v>
      </c>
    </row>
    <row r="66" spans="2:33">
      <c r="C66" s="72"/>
      <c r="D66" s="72" t="s">
        <v>18</v>
      </c>
      <c r="E66" s="72">
        <f>COUNTIFS($G$4:$G$29,$C$63,$J$4:$J$29,1)</f>
        <v>0</v>
      </c>
      <c r="F66" s="72">
        <f>COUNTIFS($G$4:$G$29,$C$63,$K$4:$K$29,1)</f>
        <v>0</v>
      </c>
    </row>
    <row r="68" spans="2:33">
      <c r="C68" s="72"/>
      <c r="D68" s="72"/>
      <c r="E68" s="72">
        <v>2024</v>
      </c>
      <c r="F68" s="72">
        <v>2025</v>
      </c>
    </row>
    <row r="69" spans="2:33">
      <c r="C69" s="72" t="s">
        <v>535</v>
      </c>
      <c r="D69" s="72" t="s">
        <v>767</v>
      </c>
      <c r="E69" s="72">
        <f>COUNTIFS($G$4:$G$29,$C$69,$J$4:$J$29,4)+COUNTIFS($G$4:$G$29,$C$69,$J$4:$J$29,5)</f>
        <v>0</v>
      </c>
      <c r="F69" s="72">
        <f>COUNTIFS($G$4:$G$29,$C$69,$K$4:$K$29,4)+COUNTIFS($G$4:$G$29,$C$69,$K$4:$K$29,5)</f>
        <v>12</v>
      </c>
    </row>
    <row r="70" spans="2:33">
      <c r="C70" s="72"/>
      <c r="D70" s="72" t="s">
        <v>16</v>
      </c>
      <c r="E70" s="72">
        <f>COUNTIFS($G$4:$G$29,$C$69,$J$4:$J$29,3)</f>
        <v>0</v>
      </c>
      <c r="F70" s="72">
        <f>COUNTIFS($G$4:$G$29,$C$69,$K$4:$K$29,3)</f>
        <v>0</v>
      </c>
    </row>
    <row r="71" spans="2:33">
      <c r="C71" s="72"/>
      <c r="D71" s="72" t="s">
        <v>17</v>
      </c>
      <c r="E71" s="72">
        <f>COUNTIFS($G$4:$G$29,$C$69,$J$4:$J$29,2)</f>
        <v>0</v>
      </c>
      <c r="F71" s="72">
        <f>COUNTIFS($G$4:$G$29,$C$69,$K$4:$K$29,2)</f>
        <v>0</v>
      </c>
    </row>
    <row r="72" spans="2:33">
      <c r="C72" s="72"/>
      <c r="D72" s="72" t="s">
        <v>18</v>
      </c>
      <c r="E72" s="72">
        <f>COUNTIFS($G$4:$G$29,$C$69,$J$4:$J$29,1)</f>
        <v>0</v>
      </c>
      <c r="F72" s="72">
        <f>COUNTIFS($G$4:$G$29,$C$69,$K$4:$K$29,1)</f>
        <v>0</v>
      </c>
    </row>
    <row r="74" spans="2:33">
      <c r="B74" s="84" t="s">
        <v>534</v>
      </c>
      <c r="C74" s="71"/>
      <c r="D74" s="71"/>
      <c r="E74" s="71"/>
      <c r="F74" s="71"/>
      <c r="G74" s="71"/>
      <c r="H74" s="71"/>
      <c r="I74" s="71"/>
      <c r="J74" s="71"/>
      <c r="K74" s="71"/>
      <c r="L74" s="71"/>
      <c r="M74" s="71"/>
      <c r="N74" s="71"/>
      <c r="O74" s="71"/>
      <c r="P74" s="71"/>
      <c r="Q74" s="71"/>
      <c r="R74" s="71"/>
      <c r="S74" s="71"/>
      <c r="T74" s="71"/>
      <c r="U74" s="71"/>
      <c r="V74" s="71"/>
      <c r="W74" s="71"/>
      <c r="X74" s="71"/>
      <c r="Y74" s="71"/>
      <c r="Z74" s="71"/>
      <c r="AA74" s="71"/>
      <c r="AB74" s="71"/>
      <c r="AC74" s="71"/>
      <c r="AD74" s="71"/>
      <c r="AE74" s="71"/>
      <c r="AF74" s="71"/>
      <c r="AG74" s="71"/>
    </row>
    <row r="75" spans="2:33">
      <c r="B75" s="85"/>
    </row>
    <row r="76" spans="2:33">
      <c r="C76" s="57" t="s">
        <v>763</v>
      </c>
      <c r="O76" s="57" t="s">
        <v>721</v>
      </c>
      <c r="V76" s="57" t="s">
        <v>722</v>
      </c>
    </row>
    <row r="77" spans="2:33">
      <c r="C77" s="72"/>
      <c r="D77" s="72">
        <v>2024</v>
      </c>
      <c r="E77" s="72">
        <v>2025</v>
      </c>
    </row>
    <row r="78" spans="2:33">
      <c r="B78" s="94" t="s">
        <v>22</v>
      </c>
      <c r="C78" s="72" t="s">
        <v>622</v>
      </c>
      <c r="D78" s="93" t="e">
        <f>AVERAGEIFS($S$4:$S$30,$P$4:$P$30,$C$78)</f>
        <v>#REF!</v>
      </c>
      <c r="E78" s="93">
        <f>AVERAGEIFS($T$4:$T$30,$P$4:$P$30,$C$78)</f>
        <v>4.5</v>
      </c>
    </row>
    <row r="79" spans="2:33">
      <c r="B79" s="94" t="s">
        <v>23</v>
      </c>
      <c r="C79" s="72" t="s">
        <v>535</v>
      </c>
      <c r="D79" s="93" t="e">
        <f>AVERAGEIFS($S$4:$S$30,$P$4:$P$30,$C$79)</f>
        <v>#REF!</v>
      </c>
      <c r="E79" s="93">
        <f>AVERAGEIFS($T$4:$T$30,$P$4:$P$30,$C$79)</f>
        <v>4</v>
      </c>
    </row>
    <row r="80" spans="2:33">
      <c r="B80" s="94" t="s">
        <v>20</v>
      </c>
      <c r="C80" s="72" t="s">
        <v>542</v>
      </c>
      <c r="D80" s="93" t="e">
        <f>AVERAGEIFS($S$4:$S$30,$P$4:$P$30,$C$80)</f>
        <v>#REF!</v>
      </c>
      <c r="E80" s="93">
        <f>AVERAGEIFS($T$4:$T$30,$P$4:$P$30,$C$80)</f>
        <v>4</v>
      </c>
    </row>
    <row r="81" spans="2:14">
      <c r="C81" s="72" t="s">
        <v>764</v>
      </c>
      <c r="D81" s="72" t="e">
        <f>AVERAGE(D78:D80)</f>
        <v>#REF!</v>
      </c>
      <c r="E81" s="72">
        <f>AVERAGE(E78:E80)</f>
        <v>4.166666666666667</v>
      </c>
    </row>
    <row r="83" spans="2:14">
      <c r="C83" s="57" t="s">
        <v>765</v>
      </c>
      <c r="D83" s="638">
        <v>2024</v>
      </c>
      <c r="E83" s="638"/>
      <c r="F83" s="638">
        <v>2025</v>
      </c>
      <c r="G83" s="638"/>
    </row>
    <row r="84" spans="2:14">
      <c r="C84" s="72"/>
      <c r="D84" s="72" t="s">
        <v>722</v>
      </c>
      <c r="E84" s="72" t="s">
        <v>721</v>
      </c>
      <c r="F84" s="72" t="s">
        <v>722</v>
      </c>
      <c r="G84" s="72" t="s">
        <v>721</v>
      </c>
    </row>
    <row r="85" spans="2:14">
      <c r="B85" s="94" t="s">
        <v>63</v>
      </c>
      <c r="C85" s="72" t="s">
        <v>712</v>
      </c>
      <c r="D85" s="93" t="e">
        <f>MIN(S4:S6)</f>
        <v>#REF!</v>
      </c>
      <c r="E85" s="93" t="e">
        <f>AVERAGE(S4:S6)</f>
        <v>#REF!</v>
      </c>
      <c r="F85" s="93">
        <f>MIN(T4:T6)</f>
        <v>4</v>
      </c>
      <c r="G85" s="93">
        <f>AVERAGE(T4:T6)</f>
        <v>4.666666666666667</v>
      </c>
    </row>
    <row r="86" spans="2:14">
      <c r="B86" s="94" t="s">
        <v>75</v>
      </c>
      <c r="C86" s="72" t="s">
        <v>713</v>
      </c>
      <c r="D86" s="93" t="e">
        <f>MIN(S7:S12)</f>
        <v>#REF!</v>
      </c>
      <c r="E86" s="93" t="e">
        <f>AVERAGE(S7:S12)</f>
        <v>#REF!</v>
      </c>
      <c r="F86" s="93">
        <f>MIN(T7:T12)</f>
        <v>3</v>
      </c>
      <c r="G86" s="93">
        <f>AVERAGE(T7:T12)</f>
        <v>4</v>
      </c>
    </row>
    <row r="87" spans="2:14">
      <c r="B87" s="94" t="s">
        <v>584</v>
      </c>
      <c r="C87" s="72" t="s">
        <v>714</v>
      </c>
      <c r="D87" s="93" t="e">
        <f>MIN(S13:S15)</f>
        <v>#REF!</v>
      </c>
      <c r="E87" s="93" t="e">
        <f>AVERAGE(S13:S15)</f>
        <v>#REF!</v>
      </c>
      <c r="F87" s="93">
        <f>MIN(T13:T15)</f>
        <v>3</v>
      </c>
      <c r="G87" s="93">
        <f>AVERAGE(T13:T15)</f>
        <v>4</v>
      </c>
    </row>
    <row r="88" spans="2:14">
      <c r="B88" s="94" t="s">
        <v>104</v>
      </c>
      <c r="C88" s="72" t="s">
        <v>715</v>
      </c>
      <c r="D88" s="93" t="e">
        <f>MIN(S16:S27)</f>
        <v>#REF!</v>
      </c>
      <c r="E88" s="93" t="e">
        <f>AVERAGE(S16:S27)</f>
        <v>#REF!</v>
      </c>
      <c r="F88" s="93">
        <f>MIN(T16:T27)</f>
        <v>1</v>
      </c>
      <c r="G88" s="93">
        <f>AVERAGE(T16:T27)</f>
        <v>4.4000000000000004</v>
      </c>
    </row>
    <row r="89" spans="2:14">
      <c r="B89" s="94" t="s">
        <v>720</v>
      </c>
      <c r="C89" s="72" t="s">
        <v>716</v>
      </c>
      <c r="D89" s="93" t="e">
        <f>MIN(S28:S30)</f>
        <v>#REF!</v>
      </c>
      <c r="E89" s="93" t="e">
        <f>AVERAGE(S28:S30)</f>
        <v>#REF!</v>
      </c>
      <c r="F89" s="93">
        <f>MIN(T28:T30)</f>
        <v>1</v>
      </c>
      <c r="G89" s="93">
        <f>AVERAGE(T28:T30)</f>
        <v>3</v>
      </c>
    </row>
    <row r="91" spans="2:14">
      <c r="C91" s="57" t="s">
        <v>766</v>
      </c>
    </row>
    <row r="92" spans="2:14">
      <c r="C92" s="72"/>
      <c r="D92" s="72"/>
      <c r="E92" s="72">
        <v>2024</v>
      </c>
      <c r="F92" s="72">
        <v>2025</v>
      </c>
      <c r="I92" s="72"/>
      <c r="J92" s="72"/>
      <c r="K92" s="72" t="s">
        <v>767</v>
      </c>
      <c r="L92" s="72" t="s">
        <v>16</v>
      </c>
      <c r="M92" s="72" t="s">
        <v>17</v>
      </c>
      <c r="N92" s="72" t="s">
        <v>18</v>
      </c>
    </row>
    <row r="93" spans="2:14">
      <c r="C93" s="72" t="s">
        <v>542</v>
      </c>
      <c r="D93" s="72" t="s">
        <v>767</v>
      </c>
      <c r="E93" s="72">
        <f>COUNTIFS($P$4:$P$30,$C$57,$S$4:$S$30,4)+COUNTIFS($P$4:$P$30,$C$57,$S$4:$S$30,5)</f>
        <v>0</v>
      </c>
      <c r="F93" s="72">
        <f>COUNTIFS($P$4:$P$30,$C$93,$T$4:$T$30,4)+COUNTIFS($P$4:$P$30,$C$93,$T$4:$T$30,5)</f>
        <v>6</v>
      </c>
      <c r="I93" s="72" t="s">
        <v>535</v>
      </c>
      <c r="J93" s="72">
        <v>2024</v>
      </c>
      <c r="K93" s="116" t="e">
        <f>E105/SUM(E105:E108)</f>
        <v>#DIV/0!</v>
      </c>
      <c r="L93" s="116" t="e">
        <f>E106/SUM(E105:E108)</f>
        <v>#DIV/0!</v>
      </c>
      <c r="M93" s="116" t="e">
        <f>E107/SUM(E105:E108)</f>
        <v>#DIV/0!</v>
      </c>
      <c r="N93" s="116" t="e">
        <f>E108/SUM(E105:E108)</f>
        <v>#DIV/0!</v>
      </c>
    </row>
    <row r="94" spans="2:14">
      <c r="C94" s="72"/>
      <c r="D94" s="72" t="s">
        <v>16</v>
      </c>
      <c r="E94" s="72">
        <f>COUNTIFS($P$4:$P$30,$C$93,$S$4:$S$30,3)</f>
        <v>0</v>
      </c>
      <c r="F94" s="72">
        <f>COUNTIFS($P$4:$P$30,$C$93,$T$4:$T$30,3)</f>
        <v>3</v>
      </c>
      <c r="I94" s="72"/>
      <c r="J94" s="72">
        <v>2025</v>
      </c>
      <c r="K94" s="116">
        <f>F105/SUM(F105:F108)</f>
        <v>0.7142857142857143</v>
      </c>
      <c r="L94" s="116">
        <f>F106/SUM(F105:F108)</f>
        <v>0.14285714285714285</v>
      </c>
      <c r="M94" s="116">
        <f>F107/SUM(F105:F108)</f>
        <v>0</v>
      </c>
      <c r="N94" s="116">
        <f>F108/SUM(F105:F108)</f>
        <v>0.14285714285714285</v>
      </c>
    </row>
    <row r="95" spans="2:14">
      <c r="C95" s="72"/>
      <c r="D95" s="72" t="s">
        <v>17</v>
      </c>
      <c r="E95" s="72">
        <f>COUNTIFS($P$4:$P$30,$C$93,$S$4:$S$30,2)</f>
        <v>0</v>
      </c>
      <c r="F95" s="72">
        <f>COUNTIFS($P$4:$P$30,$C$93,$T$4:$T$30,2)</f>
        <v>0</v>
      </c>
      <c r="I95" s="72" t="s">
        <v>609</v>
      </c>
      <c r="J95" s="72">
        <v>2024</v>
      </c>
      <c r="K95" s="116" t="e">
        <f>E99/SUM(E99:E102)</f>
        <v>#DIV/0!</v>
      </c>
      <c r="L95" s="116" t="e">
        <f>E100/SUM(E99:E102)</f>
        <v>#DIV/0!</v>
      </c>
      <c r="M95" s="116" t="e">
        <f>E101/SUM(E99:E102)</f>
        <v>#DIV/0!</v>
      </c>
      <c r="N95" s="116" t="e">
        <f>E102/SUM(E99:E102)</f>
        <v>#DIV/0!</v>
      </c>
    </row>
    <row r="96" spans="2:14">
      <c r="C96" s="72"/>
      <c r="D96" s="72" t="s">
        <v>18</v>
      </c>
      <c r="E96" s="72">
        <f>COUNTIFS($P$4:$P$30,$C$93,$S$4:$S$30,1)</f>
        <v>0</v>
      </c>
      <c r="F96" s="72">
        <f>COUNTIFS($P$4:$P$30,$C$93,$T$4:$T$30,1)</f>
        <v>0</v>
      </c>
      <c r="I96" s="72"/>
      <c r="J96" s="72">
        <v>2025</v>
      </c>
      <c r="K96" s="116">
        <f>F99/SUM(F99:F102)</f>
        <v>0.875</v>
      </c>
      <c r="L96" s="116">
        <f>F100/SUM(F99:F102)</f>
        <v>0</v>
      </c>
      <c r="M96" s="116">
        <f>F101/SUM(F99:F102)</f>
        <v>0</v>
      </c>
      <c r="N96" s="116">
        <f>F102/SUM(F99:F102)</f>
        <v>0.125</v>
      </c>
    </row>
    <row r="97" spans="3:14">
      <c r="I97" s="72" t="s">
        <v>542</v>
      </c>
      <c r="J97" s="72">
        <v>2024</v>
      </c>
      <c r="K97" s="116" t="e">
        <f>E93/SUM(E93:E96)</f>
        <v>#DIV/0!</v>
      </c>
      <c r="L97" s="116" t="e">
        <f>E94/SUM(E93:E96)</f>
        <v>#DIV/0!</v>
      </c>
      <c r="M97" s="116" t="e">
        <f>E95/SUM(E93:E96)</f>
        <v>#DIV/0!</v>
      </c>
      <c r="N97" s="116" t="e">
        <f>E96/SUM(E93:E96)</f>
        <v>#DIV/0!</v>
      </c>
    </row>
    <row r="98" spans="3:14">
      <c r="C98" s="72"/>
      <c r="D98" s="72"/>
      <c r="E98" s="72">
        <v>2024</v>
      </c>
      <c r="F98" s="72">
        <v>2025</v>
      </c>
      <c r="I98" s="72"/>
      <c r="J98" s="72">
        <v>2025</v>
      </c>
      <c r="K98" s="116">
        <f>F93/SUM(F93:F96)</f>
        <v>0.66666666666666663</v>
      </c>
      <c r="L98" s="116">
        <f>F94/SUM(F93:F96)</f>
        <v>0.33333333333333331</v>
      </c>
      <c r="M98" s="116">
        <f>F95/SUM(F93:F96)</f>
        <v>0</v>
      </c>
      <c r="N98" s="116">
        <f>F96/SUM(F93:F96)</f>
        <v>0</v>
      </c>
    </row>
    <row r="99" spans="3:14">
      <c r="C99" s="72" t="s">
        <v>609</v>
      </c>
      <c r="D99" s="72" t="s">
        <v>767</v>
      </c>
      <c r="E99" s="72">
        <f>COUNTIFS($P$4:$P$30,$C$63,$S$4:$S$30,4)+COUNTIFS($P$4:$P$30,$C$63,$S$4:$S$30,5)</f>
        <v>0</v>
      </c>
      <c r="F99" s="72">
        <f>COUNTIFS($P$4:$P$30,$C$99,$T$4:$T$30,4)+COUNTIFS($P$4:$P$30,$C$99,$T$4:$T$30,5)</f>
        <v>7</v>
      </c>
    </row>
    <row r="100" spans="3:14">
      <c r="C100" s="72"/>
      <c r="D100" s="72" t="s">
        <v>16</v>
      </c>
      <c r="E100" s="72">
        <f>COUNTIFS($P$4:$P$30,$C$99,$S$4:$S$30,3)</f>
        <v>0</v>
      </c>
      <c r="F100" s="72">
        <f>COUNTIFS($P$4:$P$30,$C$99,$T$4:$T$30,3)</f>
        <v>0</v>
      </c>
    </row>
    <row r="101" spans="3:14">
      <c r="C101" s="72"/>
      <c r="D101" s="72" t="s">
        <v>17</v>
      </c>
      <c r="E101" s="72">
        <f>COUNTIFS($P$4:$P$30,$C$99,$S$4:$S$30,2)</f>
        <v>0</v>
      </c>
      <c r="F101" s="72">
        <f>COUNTIFS($P$4:$P$30,$C$99,$T$4:$T$30,2)</f>
        <v>0</v>
      </c>
    </row>
    <row r="102" spans="3:14">
      <c r="C102" s="72"/>
      <c r="D102" s="72" t="s">
        <v>18</v>
      </c>
      <c r="E102" s="72">
        <f>COUNTIFS($P$4:$P$30,$C$99,$S$4:$S$30,1)</f>
        <v>0</v>
      </c>
      <c r="F102" s="72">
        <f>COUNTIFS($P$4:$P$30,$C$99,$T$4:$T$30,1)</f>
        <v>1</v>
      </c>
    </row>
    <row r="104" spans="3:14">
      <c r="C104" s="72"/>
      <c r="D104" s="72"/>
      <c r="E104" s="72">
        <v>2024</v>
      </c>
      <c r="F104" s="72">
        <v>2025</v>
      </c>
    </row>
    <row r="105" spans="3:14">
      <c r="C105" s="72" t="s">
        <v>535</v>
      </c>
      <c r="D105" s="72" t="s">
        <v>767</v>
      </c>
      <c r="E105" s="72">
        <f>COUNTIFS($P$4:$P$30,$C$69,$S$4:$S$30,4)+COUNTIFS($P$4:$P$30,$C$69,$S$4:$S$30,5)</f>
        <v>0</v>
      </c>
      <c r="F105" s="72">
        <f>COUNTIFS($P$4:$P$30,$C$105,$T$4:$T$30,4)+COUNTIFS($P$4:$P$30,$C$105,$T$4:$T$30,5)</f>
        <v>5</v>
      </c>
    </row>
    <row r="106" spans="3:14">
      <c r="C106" s="72"/>
      <c r="D106" s="72" t="s">
        <v>16</v>
      </c>
      <c r="E106" s="72">
        <f>COUNTIFS($P$4:$P$30,$C$105,$S$4:$S$30,3)</f>
        <v>0</v>
      </c>
      <c r="F106" s="72">
        <f>COUNTIFS($P$4:$P$30,$C$105,$T$4:$T$30,3)</f>
        <v>1</v>
      </c>
    </row>
    <row r="107" spans="3:14">
      <c r="C107" s="72"/>
      <c r="D107" s="72" t="s">
        <v>17</v>
      </c>
      <c r="E107" s="72">
        <f>COUNTIFS($P$4:$P$30,$C$105,$S$4:$S$30,2)</f>
        <v>0</v>
      </c>
      <c r="F107" s="72">
        <f>COUNTIFS($P$4:$P$30,$C$105,$T$4:$T$30,2)</f>
        <v>0</v>
      </c>
    </row>
    <row r="108" spans="3:14">
      <c r="C108" s="72"/>
      <c r="D108" s="72" t="s">
        <v>18</v>
      </c>
      <c r="E108" s="72">
        <f>COUNTIFS($P$4:$P$30,$C$105,$S$4:$S$30,1)</f>
        <v>0</v>
      </c>
      <c r="F108" s="72">
        <f>COUNTIFS($P$4:$P$30,$C$105,$T$4:$T$30,1)</f>
        <v>1</v>
      </c>
    </row>
  </sheetData>
  <mergeCells count="4">
    <mergeCell ref="D83:E83"/>
    <mergeCell ref="F83:G83"/>
    <mergeCell ref="D46:E46"/>
    <mergeCell ref="F46:G46"/>
  </mergeCells>
  <phoneticPr fontId="6"/>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4E613-7A21-4D5C-B0D6-5B77667A4A78}">
  <sheetPr codeName="Sheet19">
    <tabColor rgb="FFFFC000"/>
  </sheetPr>
  <dimension ref="B2:D7"/>
  <sheetViews>
    <sheetView workbookViewId="0">
      <selection activeCell="G11" sqref="G11"/>
    </sheetView>
  </sheetViews>
  <sheetFormatPr defaultColWidth="8.5703125" defaultRowHeight="14.45"/>
  <cols>
    <col min="1" max="1" width="8.5703125" style="126"/>
    <col min="2" max="2" width="4.85546875" style="158" customWidth="1"/>
    <col min="3" max="3" width="13.5703125" style="266" customWidth="1"/>
    <col min="4" max="4" width="29" style="126" customWidth="1"/>
    <col min="5" max="16384" width="8.5703125" style="126"/>
  </cols>
  <sheetData>
    <row r="2" spans="2:4">
      <c r="B2" s="404" t="s">
        <v>768</v>
      </c>
      <c r="C2" s="404"/>
      <c r="D2" s="177" t="s">
        <v>769</v>
      </c>
    </row>
    <row r="3" spans="2:4" ht="37.5" customHeight="1">
      <c r="B3" s="177" t="s">
        <v>152</v>
      </c>
      <c r="C3" s="265" t="s">
        <v>770</v>
      </c>
      <c r="D3" s="267" t="s">
        <v>771</v>
      </c>
    </row>
    <row r="4" spans="2:4" ht="37.5" customHeight="1">
      <c r="B4" s="177" t="s">
        <v>164</v>
      </c>
      <c r="C4" s="177" t="s">
        <v>772</v>
      </c>
      <c r="D4" s="267" t="s">
        <v>773</v>
      </c>
    </row>
    <row r="5" spans="2:4" ht="37.5" customHeight="1">
      <c r="B5" s="177" t="s">
        <v>16</v>
      </c>
      <c r="C5" s="177" t="s">
        <v>774</v>
      </c>
      <c r="D5" s="267" t="s">
        <v>775</v>
      </c>
    </row>
    <row r="6" spans="2:4" ht="37.5" customHeight="1">
      <c r="B6" s="177" t="s">
        <v>17</v>
      </c>
      <c r="C6" s="177" t="s">
        <v>776</v>
      </c>
      <c r="D6" s="267" t="s">
        <v>777</v>
      </c>
    </row>
    <row r="7" spans="2:4" ht="37.5" customHeight="1">
      <c r="B7" s="177" t="s">
        <v>18</v>
      </c>
      <c r="C7" s="177" t="s">
        <v>778</v>
      </c>
      <c r="D7" s="267" t="s">
        <v>779</v>
      </c>
    </row>
  </sheetData>
  <mergeCells count="1">
    <mergeCell ref="B2:C2"/>
  </mergeCells>
  <phoneticPr fontId="6"/>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34738BC8E87CE45B30F19336FE890F9" ma:contentTypeVersion="26" ma:contentTypeDescription="Create a new document." ma:contentTypeScope="" ma:versionID="4347e8434eb38cd612e69b5916e10a9c">
  <xsd:schema xmlns:xsd="http://www.w3.org/2001/XMLSchema" xmlns:xs="http://www.w3.org/2001/XMLSchema" xmlns:p="http://schemas.microsoft.com/office/2006/metadata/properties" xmlns:ns2="03b60f28-079f-43d1-9249-332661775cbe" xmlns:ns3="af3caa82-8770-4ae6-9d87-4ed5e3aca054" xmlns:ns4="711ca9e5-348f-44ca-81e6-5e47be3e6231" targetNamespace="http://schemas.microsoft.com/office/2006/metadata/properties" ma:root="true" ma:fieldsID="7e3e1c9d19e5bda5efa19047f227bf7c" ns2:_="" ns3:_="" ns4:_="">
    <xsd:import namespace="03b60f28-079f-43d1-9249-332661775cbe"/>
    <xsd:import namespace="af3caa82-8770-4ae6-9d87-4ed5e3aca054"/>
    <xsd:import namespace="711ca9e5-348f-44ca-81e6-5e47be3e6231"/>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LengthInSeconds" minOccurs="0"/>
                <xsd:element ref="ns3:lcf76f155ced4ddcb4097134ff3c332f" minOccurs="0"/>
                <xsd:element ref="ns4:TaxCatchAll" minOccurs="0"/>
                <xsd:element ref="ns3:MediaServiceOCR" minOccurs="0"/>
                <xsd:element ref="ns3:MediaServiceGenerationTime" minOccurs="0"/>
                <xsd:element ref="ns3:MediaServiceEventHashCode" minOccurs="0"/>
                <xsd:element ref="ns3:MediaServiceLocation" minOccurs="0"/>
                <xsd:element ref="ns3:New"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b60f28-079f-43d1-9249-332661775cb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f3caa82-8770-4ae6-9d87-4ed5e3aca05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06ecaf4-4d5a-477e-abf9-411f6e59a072"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New" ma:index="21" nillable="true" ma:displayName="New" ma:default="1" ma:format="Dropdown" ma:internalName="New">
      <xsd:simpleType>
        <xsd:restriction base="dms:Boolea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11ca9e5-348f-44ca-81e6-5e47be3e6231"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6a2da3f-59c9-436b-967f-8130650e9c75}" ma:internalName="TaxCatchAll" ma:showField="CatchAllData" ma:web="711ca9e5-348f-44ca-81e6-5e47be3e623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New xmlns="af3caa82-8770-4ae6-9d87-4ed5e3aca054">true</New>
    <TaxCatchAll xmlns="711ca9e5-348f-44ca-81e6-5e47be3e6231" xsi:nil="true"/>
    <lcf76f155ced4ddcb4097134ff3c332f xmlns="af3caa82-8770-4ae6-9d87-4ed5e3aca05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3930467-DC76-4AEF-A250-4ECCD3F34D59}"/>
</file>

<file path=customXml/itemProps2.xml><?xml version="1.0" encoding="utf-8"?>
<ds:datastoreItem xmlns:ds="http://schemas.openxmlformats.org/officeDocument/2006/customXml" ds:itemID="{12BC5AF0-94B1-4FB5-ABA9-4437C3ED05C5}"/>
</file>

<file path=customXml/itemProps3.xml><?xml version="1.0" encoding="utf-8"?>
<ds:datastoreItem xmlns:ds="http://schemas.openxmlformats.org/officeDocument/2006/customXml" ds:itemID="{D99F5C91-5835-4160-8BD5-37B1F9033A4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2015-06-05T18:19:34Z</dcterms:created>
  <dcterms:modified xsi:type="dcterms:W3CDTF">2026-01-07T04:06:35Z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0x010100434738BC8E87CE45B30F19336FE890F9</vt:lpwstr>
  </property>
  <property fmtid="{D5CDD505-2E9C-101B-9397-08002B2CF9AE}" pid="3" name="MediaServiceImageTags">
    <vt:lpwstr/>
  </property>
</Properties>
</file>