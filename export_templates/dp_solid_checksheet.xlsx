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2.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alesbridge-my.sharepoint.com/personal/thanida_wanamkang_bridgestone_com/Documents/Desktop/Cont. 2026/01. Current Task/02. Audit/03. Solidification Assessment/"/>
    </mc:Choice>
  </mc:AlternateContent>
  <xr:revisionPtr revIDLastSave="40" documentId="8_{26C65EE9-CF1B-4EBE-AF0B-BC19160CFA59}" xr6:coauthVersionLast="47" xr6:coauthVersionMax="47" xr10:uidLastSave="{0A33E1C6-3611-4971-9B8A-A2F94DE901C4}"/>
  <bookViews>
    <workbookView xWindow="-110" yWindow="-110" windowWidth="19420" windowHeight="11500" tabRatio="624" firstSheet="2" activeTab="2" xr2:uid="{D36E7955-4090-4E34-87FF-E8D2A695B76B}"/>
  </bookViews>
  <sheets>
    <sheet name="Safety Cover" sheetId="82" state="hidden" r:id="rId1"/>
    <sheet name="Safety Instruction" sheetId="46" state="hidden" r:id="rId2"/>
    <sheet name="DP Report" sheetId="107" r:id="rId3"/>
    <sheet name="DP Cover" sheetId="93" state="hidden" r:id="rId4"/>
    <sheet name="DP overall" sheetId="79" r:id="rId5"/>
    <sheet name="Safety cal." sheetId="78" state="hidden" r:id="rId6"/>
    <sheet name="Safety manager" sheetId="84" state="hidden" r:id="rId7"/>
    <sheet name="Manager(Safety)" sheetId="86" state="hidden" r:id="rId8"/>
    <sheet name="Safety SV" sheetId="85" state="hidden" r:id="rId9"/>
    <sheet name="Safety Operator" sheetId="83" state="hidden" r:id="rId10"/>
    <sheet name="DP MGR" sheetId="97" r:id="rId11"/>
    <sheet name="MGR" sheetId="103" r:id="rId12"/>
    <sheet name="SV" sheetId="104" r:id="rId13"/>
    <sheet name="OP" sheetId="105" r:id="rId14"/>
    <sheet name="DP instruction" sheetId="47" r:id="rId15"/>
    <sheet name="Sheet1" sheetId="106" state="hidden" r:id="rId16"/>
    <sheet name="Cal" sheetId="91" state="hidden" r:id="rId17"/>
    <sheet name="Data" sheetId="92" state="hidden" r:id="rId18"/>
    <sheet name="memo" sheetId="101" state="hidden" r:id="rId19"/>
  </sheets>
  <definedNames>
    <definedName name="_xlnm._FilterDatabase" localSheetId="14" hidden="1">'DP instruction'!$B$8:$P$41</definedName>
    <definedName name="_xlnm._FilterDatabase" localSheetId="1" hidden="1">'Safety Instruction'!$B$8:$P$34</definedName>
    <definedName name="_xlnm.Print_Area" localSheetId="3">'DP Cover'!$A$1:$Y$50</definedName>
    <definedName name="_xlnm.Print_Area" localSheetId="14">'DP instruction'!$A$1:$P$41</definedName>
    <definedName name="_xlnm.Print_Area" localSheetId="10">'DP MGR'!$A$1:$H$108</definedName>
    <definedName name="_xlnm.Print_Area" localSheetId="4">'DP overall'!$A$3:$O$47</definedName>
    <definedName name="_xlnm.Print_Area" localSheetId="2">'DP Report'!$A$1:$Y$67</definedName>
    <definedName name="_xlnm.Print_Area" localSheetId="7">'Manager(Safety)'!$A$1:$J$33</definedName>
    <definedName name="_xlnm.Print_Area" localSheetId="5">'Safety cal.'!$A$1:$Q$40</definedName>
    <definedName name="_xlnm.Print_Area" localSheetId="0">'Safety Cover'!$A$1:$Y$59</definedName>
    <definedName name="_xlnm.Print_Area" localSheetId="1">'Safety Instruction'!$A$1:$P$34</definedName>
    <definedName name="_xlnm.Print_Area" localSheetId="6">'Safety manager'!$A$1:$K$47</definedName>
    <definedName name="_xlnm.Print_Area" localSheetId="9">'Safety Operator'!$A$1:$N$30</definedName>
    <definedName name="_xlnm.Print_Area" localSheetId="8">'Safety SV'!$A$1:$J$40</definedName>
    <definedName name="_xlnm.Print_Titles" localSheetId="4">'DP overall'!$13:$15</definedName>
    <definedName name="_xlnm.Print_Titles" localSheetId="5">'Safety cal.'!$12:$14</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47" l="1"/>
  <c r="I18" i="47"/>
  <c r="I19" i="47"/>
  <c r="I20" i="47"/>
  <c r="I21" i="47"/>
  <c r="I22" i="47"/>
  <c r="I23" i="47"/>
  <c r="I24" i="47"/>
  <c r="I25" i="47"/>
  <c r="I26" i="47"/>
  <c r="I27" i="47"/>
  <c r="I28" i="47"/>
  <c r="I29" i="47"/>
  <c r="I30" i="47"/>
  <c r="I31" i="47"/>
  <c r="I32" i="47"/>
  <c r="I33" i="47"/>
  <c r="I34" i="47"/>
  <c r="I35" i="47"/>
  <c r="I36" i="47"/>
  <c r="I37" i="47"/>
  <c r="I38" i="47"/>
  <c r="I39" i="47"/>
  <c r="I40" i="47"/>
  <c r="I41" i="47"/>
  <c r="L25" i="107"/>
  <c r="L24" i="107"/>
  <c r="L23" i="107"/>
  <c r="L22" i="107"/>
  <c r="L21" i="107"/>
  <c r="M21" i="107" s="1"/>
  <c r="L20" i="107"/>
  <c r="L19" i="107"/>
  <c r="L18" i="107"/>
  <c r="L17" i="107"/>
  <c r="M16" i="107"/>
  <c r="L16" i="107"/>
  <c r="L15" i="107"/>
  <c r="L14" i="107"/>
  <c r="L13" i="107"/>
  <c r="L12" i="107"/>
  <c r="L11" i="107"/>
  <c r="M11" i="107" s="1"/>
  <c r="L10" i="107"/>
  <c r="I43" i="79" l="1"/>
  <c r="K35" i="79"/>
  <c r="L16" i="93"/>
  <c r="L21" i="93"/>
  <c r="L11" i="93"/>
  <c r="L10" i="93"/>
  <c r="K18" i="79"/>
  <c r="F88" i="97" l="1"/>
  <c r="G88" i="97"/>
  <c r="G87" i="97"/>
  <c r="G86" i="97"/>
  <c r="G85" i="97"/>
  <c r="G84" i="97"/>
  <c r="G83" i="97"/>
  <c r="G53" i="97"/>
  <c r="G49" i="97"/>
  <c r="F11" i="103"/>
  <c r="O40" i="79"/>
  <c r="M40" i="79"/>
  <c r="K40" i="79"/>
  <c r="I40" i="79"/>
  <c r="G40" i="79"/>
  <c r="O47" i="79"/>
  <c r="G108" i="97"/>
  <c r="F108" i="97"/>
  <c r="O46" i="79"/>
  <c r="V46" i="79" s="1"/>
  <c r="M46" i="79"/>
  <c r="U46" i="79" s="1"/>
  <c r="K46" i="79"/>
  <c r="T46" i="79" s="1"/>
  <c r="I46" i="79"/>
  <c r="S46" i="79" s="1"/>
  <c r="G46" i="79"/>
  <c r="R46" i="79" s="1"/>
  <c r="G107" i="97"/>
  <c r="G106" i="97"/>
  <c r="G105" i="97"/>
  <c r="G104" i="97"/>
  <c r="G103" i="97"/>
  <c r="O45" i="79"/>
  <c r="M45" i="79"/>
  <c r="K45" i="79"/>
  <c r="I45" i="79"/>
  <c r="G45" i="79"/>
  <c r="G102" i="97"/>
  <c r="G101" i="97"/>
  <c r="G100" i="97"/>
  <c r="G99" i="97"/>
  <c r="G98" i="97"/>
  <c r="F103" i="97"/>
  <c r="D107" i="97"/>
  <c r="D106" i="97"/>
  <c r="D105" i="97"/>
  <c r="D104" i="97"/>
  <c r="D103" i="97"/>
  <c r="G95" i="97"/>
  <c r="O44" i="79"/>
  <c r="V44" i="79" s="1"/>
  <c r="M44" i="79"/>
  <c r="U44" i="79" s="1"/>
  <c r="K44" i="79"/>
  <c r="T44" i="79" s="1"/>
  <c r="I44" i="79"/>
  <c r="S44" i="79" s="1"/>
  <c r="G44" i="79"/>
  <c r="R44" i="79" s="1"/>
  <c r="W44" i="79" s="1"/>
  <c r="X44" i="79" s="1"/>
  <c r="F31" i="91" s="1"/>
  <c r="H31" i="91" s="1"/>
  <c r="G97" i="97"/>
  <c r="G96" i="97"/>
  <c r="G94" i="97"/>
  <c r="G93" i="97"/>
  <c r="F93" i="97"/>
  <c r="D97" i="97"/>
  <c r="D96" i="97"/>
  <c r="D95" i="97"/>
  <c r="D94" i="97"/>
  <c r="D93" i="97"/>
  <c r="O43" i="79"/>
  <c r="V43" i="79" s="1"/>
  <c r="M43" i="79"/>
  <c r="U43" i="79" s="1"/>
  <c r="K43" i="79"/>
  <c r="T43" i="79" s="1"/>
  <c r="S43" i="79"/>
  <c r="G43" i="79"/>
  <c r="R43" i="79" s="1"/>
  <c r="G92" i="97"/>
  <c r="G91" i="97"/>
  <c r="G90" i="97"/>
  <c r="G89" i="97"/>
  <c r="D92" i="97"/>
  <c r="D91" i="97"/>
  <c r="D90" i="97"/>
  <c r="D89" i="97"/>
  <c r="D88" i="97"/>
  <c r="D87" i="97"/>
  <c r="D86" i="97"/>
  <c r="D85" i="97"/>
  <c r="D84" i="97"/>
  <c r="D83" i="97"/>
  <c r="O39" i="79"/>
  <c r="M39" i="79"/>
  <c r="K39" i="79"/>
  <c r="I39" i="79"/>
  <c r="G39" i="79"/>
  <c r="G82" i="97"/>
  <c r="G81" i="97"/>
  <c r="G80" i="97"/>
  <c r="G79" i="97"/>
  <c r="G78" i="97"/>
  <c r="F78" i="97"/>
  <c r="D82" i="97"/>
  <c r="D81" i="97"/>
  <c r="D80" i="97"/>
  <c r="D79" i="97"/>
  <c r="D78" i="97"/>
  <c r="O38" i="79"/>
  <c r="M38" i="79"/>
  <c r="K38" i="79"/>
  <c r="I38" i="79"/>
  <c r="G38" i="79"/>
  <c r="G77" i="97"/>
  <c r="G76" i="97"/>
  <c r="G75" i="97"/>
  <c r="G74" i="97"/>
  <c r="G73" i="97"/>
  <c r="F73" i="97"/>
  <c r="D77" i="97"/>
  <c r="D76" i="97"/>
  <c r="D75" i="97"/>
  <c r="D74" i="97"/>
  <c r="D73" i="97"/>
  <c r="O37" i="79"/>
  <c r="M37" i="79"/>
  <c r="K37" i="79"/>
  <c r="I37" i="79"/>
  <c r="G37" i="79"/>
  <c r="G72" i="97"/>
  <c r="G71" i="97"/>
  <c r="G70" i="97"/>
  <c r="G69" i="97"/>
  <c r="G68" i="97"/>
  <c r="F68" i="97"/>
  <c r="D72" i="97"/>
  <c r="D71" i="97"/>
  <c r="D70" i="97"/>
  <c r="D69" i="97"/>
  <c r="D68" i="97"/>
  <c r="M36" i="79"/>
  <c r="K36" i="79"/>
  <c r="I36" i="79"/>
  <c r="G36" i="79"/>
  <c r="O36" i="79"/>
  <c r="G67" i="97"/>
  <c r="G66" i="97"/>
  <c r="G65" i="97"/>
  <c r="G64" i="97"/>
  <c r="G63" i="97"/>
  <c r="F63" i="97"/>
  <c r="O35" i="79"/>
  <c r="M35" i="79"/>
  <c r="I35" i="79"/>
  <c r="G35" i="79"/>
  <c r="G62" i="97"/>
  <c r="G61" i="97"/>
  <c r="G60" i="97"/>
  <c r="G59" i="97"/>
  <c r="G58" i="97"/>
  <c r="F58" i="97"/>
  <c r="D62" i="97"/>
  <c r="D61" i="97"/>
  <c r="D60" i="97"/>
  <c r="D59" i="97"/>
  <c r="D58" i="97"/>
  <c r="O34" i="79"/>
  <c r="M34" i="79"/>
  <c r="K34" i="79"/>
  <c r="I34" i="79"/>
  <c r="G34" i="79"/>
  <c r="G57" i="97"/>
  <c r="G56" i="97"/>
  <c r="G55" i="97"/>
  <c r="G54" i="97"/>
  <c r="F53" i="97"/>
  <c r="K32" i="79"/>
  <c r="I32" i="79"/>
  <c r="G32" i="79"/>
  <c r="G52" i="97"/>
  <c r="G51" i="97"/>
  <c r="G50" i="97"/>
  <c r="O31" i="79"/>
  <c r="M31" i="79"/>
  <c r="K31" i="79"/>
  <c r="I31" i="79"/>
  <c r="G31" i="79"/>
  <c r="G48" i="97"/>
  <c r="G47" i="97"/>
  <c r="G46" i="97"/>
  <c r="G45" i="97"/>
  <c r="W46" i="79" l="1"/>
  <c r="X46" i="79" s="1"/>
  <c r="F33" i="91" s="1"/>
  <c r="H33" i="91" s="1"/>
  <c r="W43" i="79"/>
  <c r="X43" i="79" s="1"/>
  <c r="F30" i="91" s="1"/>
  <c r="H30" i="91" s="1"/>
  <c r="O28" i="79"/>
  <c r="G44" i="97"/>
  <c r="F44" i="97"/>
  <c r="O27" i="79"/>
  <c r="M27" i="79"/>
  <c r="K27" i="79"/>
  <c r="I27" i="79"/>
  <c r="G27" i="79"/>
  <c r="G43" i="97"/>
  <c r="G42" i="97"/>
  <c r="G41" i="97"/>
  <c r="G40" i="97"/>
  <c r="G39" i="97"/>
  <c r="G26" i="79"/>
  <c r="G38" i="97"/>
  <c r="G25" i="79"/>
  <c r="O25" i="79"/>
  <c r="G37" i="97"/>
  <c r="G36" i="97"/>
  <c r="O24" i="79"/>
  <c r="M24" i="79"/>
  <c r="K24" i="79"/>
  <c r="I24" i="79"/>
  <c r="G24" i="79"/>
  <c r="G35" i="97"/>
  <c r="G34" i="97"/>
  <c r="G33" i="97"/>
  <c r="G32" i="97"/>
  <c r="G31" i="97"/>
  <c r="G26" i="97"/>
  <c r="F31" i="97"/>
  <c r="O23" i="79"/>
  <c r="M23" i="79"/>
  <c r="K23" i="79"/>
  <c r="I23" i="79"/>
  <c r="G23" i="79"/>
  <c r="G30" i="97"/>
  <c r="G29" i="97"/>
  <c r="G28" i="97"/>
  <c r="G27" i="97"/>
  <c r="O22" i="79"/>
  <c r="M22" i="79"/>
  <c r="K22" i="79"/>
  <c r="I22" i="79"/>
  <c r="G22" i="79"/>
  <c r="G25" i="97"/>
  <c r="G24" i="97"/>
  <c r="G23" i="97"/>
  <c r="G22" i="97"/>
  <c r="G21" i="97"/>
  <c r="O21" i="79"/>
  <c r="M21" i="79"/>
  <c r="K21" i="79"/>
  <c r="I21" i="79"/>
  <c r="G21" i="79"/>
  <c r="G20" i="97"/>
  <c r="G19" i="97"/>
  <c r="G18" i="97"/>
  <c r="G17" i="97"/>
  <c r="G16" i="97"/>
  <c r="K20" i="79"/>
  <c r="I20" i="79"/>
  <c r="G20" i="79"/>
  <c r="G15" i="97"/>
  <c r="G14" i="97"/>
  <c r="G13" i="97"/>
  <c r="O19" i="79"/>
  <c r="M19" i="79"/>
  <c r="K19" i="79"/>
  <c r="I19" i="79"/>
  <c r="G19" i="79"/>
  <c r="G12" i="97"/>
  <c r="G11" i="97"/>
  <c r="G10" i="97"/>
  <c r="G9" i="97"/>
  <c r="G8" i="97"/>
  <c r="M18" i="79"/>
  <c r="I18" i="79"/>
  <c r="G18" i="79"/>
  <c r="G7" i="97"/>
  <c r="G6" i="97"/>
  <c r="G5" i="97"/>
  <c r="G4" i="97"/>
  <c r="I42" i="79"/>
  <c r="S42" i="79" s="1"/>
  <c r="K42" i="79"/>
  <c r="T42" i="79" s="1"/>
  <c r="O42" i="79"/>
  <c r="V42" i="79" s="1"/>
  <c r="G20" i="105"/>
  <c r="G19" i="105"/>
  <c r="G18" i="105"/>
  <c r="F18" i="105"/>
  <c r="O30" i="79"/>
  <c r="K30" i="79"/>
  <c r="I30" i="79"/>
  <c r="G17" i="105"/>
  <c r="G16" i="105"/>
  <c r="G15" i="105"/>
  <c r="F15" i="105"/>
  <c r="D17" i="105"/>
  <c r="D15" i="105"/>
  <c r="D16" i="105"/>
  <c r="M28" i="79"/>
  <c r="K28" i="79"/>
  <c r="G28" i="79"/>
  <c r="G14" i="105"/>
  <c r="G13" i="105"/>
  <c r="G12" i="105"/>
  <c r="D13" i="105"/>
  <c r="D12" i="105"/>
  <c r="D14" i="105"/>
  <c r="O20" i="79"/>
  <c r="G11" i="105"/>
  <c r="D11" i="105"/>
  <c r="M17" i="79"/>
  <c r="I17" i="79"/>
  <c r="G10" i="105"/>
  <c r="G9" i="105"/>
  <c r="D9" i="105"/>
  <c r="D10" i="105"/>
  <c r="O16" i="79"/>
  <c r="M16" i="79"/>
  <c r="K16" i="79"/>
  <c r="I16" i="79"/>
  <c r="G16" i="79"/>
  <c r="G8" i="105"/>
  <c r="G7" i="105"/>
  <c r="G6" i="105"/>
  <c r="G5" i="105"/>
  <c r="G4" i="105"/>
  <c r="F4" i="105"/>
  <c r="D8" i="105"/>
  <c r="D7" i="105"/>
  <c r="D6" i="105"/>
  <c r="D5" i="105"/>
  <c r="D4" i="105"/>
  <c r="D20" i="105"/>
  <c r="D19" i="105"/>
  <c r="D18" i="105"/>
  <c r="F12" i="105"/>
  <c r="F11" i="105"/>
  <c r="F9" i="105"/>
  <c r="G19" i="104"/>
  <c r="G18" i="104"/>
  <c r="G42" i="79"/>
  <c r="R42" i="79" s="1"/>
  <c r="M42" i="79"/>
  <c r="U42" i="79" s="1"/>
  <c r="G31" i="104"/>
  <c r="G30" i="104"/>
  <c r="F30" i="104"/>
  <c r="D31" i="104"/>
  <c r="D30" i="104"/>
  <c r="G41" i="79"/>
  <c r="R41" i="79" s="1"/>
  <c r="I41" i="79"/>
  <c r="S41" i="79" s="1"/>
  <c r="K41" i="79"/>
  <c r="T41" i="79" s="1"/>
  <c r="M41" i="79"/>
  <c r="U41" i="79" s="1"/>
  <c r="O41" i="79"/>
  <c r="V41" i="79" s="1"/>
  <c r="G29" i="104"/>
  <c r="G28" i="104"/>
  <c r="G27" i="104"/>
  <c r="G26" i="104"/>
  <c r="G25" i="104"/>
  <c r="F25" i="104"/>
  <c r="D29" i="104"/>
  <c r="D28" i="104"/>
  <c r="D27" i="104"/>
  <c r="D26" i="104"/>
  <c r="D25" i="104"/>
  <c r="M33" i="79"/>
  <c r="O33" i="79"/>
  <c r="K33" i="79"/>
  <c r="I33" i="79"/>
  <c r="G33" i="79"/>
  <c r="G24" i="104"/>
  <c r="G23" i="104"/>
  <c r="G22" i="104"/>
  <c r="G21" i="104"/>
  <c r="G20" i="104"/>
  <c r="F20" i="104"/>
  <c r="D24" i="104"/>
  <c r="D23" i="104"/>
  <c r="D22" i="104"/>
  <c r="D21" i="104"/>
  <c r="D20" i="104"/>
  <c r="F18" i="104"/>
  <c r="M32" i="79"/>
  <c r="O32" i="79"/>
  <c r="D19" i="104"/>
  <c r="D18" i="104"/>
  <c r="G30" i="79"/>
  <c r="M30" i="79"/>
  <c r="G17" i="104"/>
  <c r="G16" i="104"/>
  <c r="F16" i="104"/>
  <c r="D17" i="104"/>
  <c r="D16" i="104"/>
  <c r="G15" i="104"/>
  <c r="F15" i="104"/>
  <c r="D15" i="104"/>
  <c r="G29" i="79"/>
  <c r="I29" i="79"/>
  <c r="K29" i="79"/>
  <c r="M29" i="79"/>
  <c r="O29" i="79"/>
  <c r="G14" i="104"/>
  <c r="G13" i="104"/>
  <c r="G12" i="104"/>
  <c r="G11" i="104"/>
  <c r="G10" i="104"/>
  <c r="F10" i="104"/>
  <c r="D10" i="104"/>
  <c r="D11" i="104"/>
  <c r="I28" i="79"/>
  <c r="F9" i="104"/>
  <c r="G9" i="104"/>
  <c r="M20" i="79"/>
  <c r="F8" i="104"/>
  <c r="G8" i="104"/>
  <c r="D8" i="104"/>
  <c r="G17" i="79"/>
  <c r="K17" i="79"/>
  <c r="O17" i="79"/>
  <c r="O18" i="79"/>
  <c r="G7" i="104"/>
  <c r="F7" i="104"/>
  <c r="G4" i="104"/>
  <c r="G6" i="104"/>
  <c r="G5" i="104"/>
  <c r="F4" i="104"/>
  <c r="D6" i="104"/>
  <c r="D7" i="104"/>
  <c r="D5" i="104"/>
  <c r="D4" i="104"/>
  <c r="D14" i="104"/>
  <c r="D13" i="104"/>
  <c r="D12" i="104"/>
  <c r="D9" i="104"/>
  <c r="G47" i="79"/>
  <c r="I47" i="79"/>
  <c r="K47" i="79"/>
  <c r="M47" i="79"/>
  <c r="G14" i="103"/>
  <c r="G13" i="103"/>
  <c r="G12" i="103"/>
  <c r="G11" i="103"/>
  <c r="I25" i="79"/>
  <c r="O26" i="79"/>
  <c r="M26" i="79"/>
  <c r="K26" i="79"/>
  <c r="I26" i="79"/>
  <c r="M25" i="79"/>
  <c r="K25" i="79"/>
  <c r="G10" i="103"/>
  <c r="G9" i="103"/>
  <c r="G8" i="103"/>
  <c r="G7" i="103"/>
  <c r="F4" i="103"/>
  <c r="F7" i="103"/>
  <c r="G4" i="103"/>
  <c r="G6" i="103"/>
  <c r="G5" i="103"/>
  <c r="D6" i="103"/>
  <c r="D5" i="103"/>
  <c r="D4" i="103"/>
  <c r="D14" i="103"/>
  <c r="D13" i="103"/>
  <c r="D12" i="103"/>
  <c r="D11" i="103"/>
  <c r="D10" i="103"/>
  <c r="D9" i="103"/>
  <c r="D8" i="103"/>
  <c r="D7" i="103"/>
  <c r="W42" i="79" l="1"/>
  <c r="X42" i="79" s="1"/>
  <c r="F29" i="91" s="1"/>
  <c r="H29" i="91" s="1"/>
  <c r="W41" i="79"/>
  <c r="X41" i="79" s="1"/>
  <c r="F28" i="91" s="1"/>
  <c r="H28" i="91" s="1"/>
  <c r="V35" i="79"/>
  <c r="U35" i="79"/>
  <c r="T35" i="79"/>
  <c r="S35" i="79"/>
  <c r="R35" i="79"/>
  <c r="V37" i="79"/>
  <c r="U37" i="79"/>
  <c r="T37" i="79"/>
  <c r="S37" i="79"/>
  <c r="R37" i="79"/>
  <c r="W35" i="79" l="1"/>
  <c r="X35" i="79" s="1"/>
  <c r="F22" i="91" s="1"/>
  <c r="W37" i="79"/>
  <c r="X37" i="79" s="1"/>
  <c r="F24" i="91" s="1"/>
  <c r="V38" i="79"/>
  <c r="U38" i="79"/>
  <c r="T38" i="79"/>
  <c r="S38" i="79"/>
  <c r="R38" i="79"/>
  <c r="V39" i="79"/>
  <c r="U39" i="79"/>
  <c r="T39" i="79"/>
  <c r="S39" i="79"/>
  <c r="R39" i="79"/>
  <c r="V16" i="79"/>
  <c r="U16" i="79"/>
  <c r="T16" i="79"/>
  <c r="S16" i="79"/>
  <c r="R16" i="79"/>
  <c r="W38" i="79" l="1"/>
  <c r="X38" i="79" s="1"/>
  <c r="F25" i="91" s="1"/>
  <c r="W39" i="79"/>
  <c r="X39" i="79" s="1"/>
  <c r="F26" i="91" s="1"/>
  <c r="W16" i="79"/>
  <c r="X16" i="79" s="1"/>
  <c r="I9" i="47" s="1"/>
  <c r="F3" i="91" s="1"/>
  <c r="I40" i="85" l="1"/>
  <c r="I12" i="84" l="1"/>
  <c r="I13" i="84"/>
  <c r="I11" i="84"/>
  <c r="I10" i="84"/>
  <c r="I9" i="84"/>
  <c r="I8" i="84"/>
  <c r="I7" i="84"/>
  <c r="H23" i="46" l="1"/>
  <c r="H22" i="46"/>
  <c r="H9" i="46"/>
  <c r="D4" i="46"/>
  <c r="I45" i="84"/>
  <c r="I44" i="84" l="1"/>
  <c r="I34" i="84"/>
  <c r="I25" i="84"/>
  <c r="I19" i="84" l="1"/>
  <c r="I6" i="83"/>
  <c r="D108" i="97" l="1"/>
  <c r="D102" i="97"/>
  <c r="D101" i="97"/>
  <c r="D100" i="97"/>
  <c r="D99" i="97"/>
  <c r="D98" i="97"/>
  <c r="D67" i="97"/>
  <c r="D66" i="97"/>
  <c r="D65" i="97"/>
  <c r="D64" i="97"/>
  <c r="D63" i="97"/>
  <c r="D57" i="97"/>
  <c r="D56" i="97"/>
  <c r="D55" i="97"/>
  <c r="D54" i="97"/>
  <c r="D53" i="97"/>
  <c r="D52" i="97"/>
  <c r="D51" i="97"/>
  <c r="D50" i="97"/>
  <c r="D49" i="97"/>
  <c r="D48" i="97"/>
  <c r="D47" i="97"/>
  <c r="D46" i="97"/>
  <c r="D45" i="97"/>
  <c r="D44" i="97"/>
  <c r="D43" i="97"/>
  <c r="D42" i="97"/>
  <c r="D41" i="97"/>
  <c r="D40" i="97"/>
  <c r="D39" i="97"/>
  <c r="D38" i="97"/>
  <c r="D37" i="97"/>
  <c r="D36" i="97"/>
  <c r="D35" i="97"/>
  <c r="D34" i="97"/>
  <c r="D33" i="97"/>
  <c r="D32" i="97"/>
  <c r="D31" i="97"/>
  <c r="D30" i="97"/>
  <c r="D29" i="97"/>
  <c r="D28" i="97"/>
  <c r="D27" i="97"/>
  <c r="D26" i="97"/>
  <c r="D25" i="97"/>
  <c r="D24" i="97"/>
  <c r="D23" i="97"/>
  <c r="D22" i="97"/>
  <c r="D21" i="97"/>
  <c r="D20" i="97"/>
  <c r="D19" i="97"/>
  <c r="D18" i="97"/>
  <c r="D17" i="97"/>
  <c r="D16" i="97"/>
  <c r="D15" i="97"/>
  <c r="D14" i="97"/>
  <c r="D13" i="97"/>
  <c r="D12" i="97"/>
  <c r="D11" i="97"/>
  <c r="D10" i="97"/>
  <c r="D9" i="97"/>
  <c r="D8" i="97"/>
  <c r="D7" i="97"/>
  <c r="D6" i="97"/>
  <c r="D5" i="97"/>
  <c r="D4" i="97"/>
  <c r="I30" i="83"/>
  <c r="I29" i="83"/>
  <c r="I28" i="83"/>
  <c r="I27" i="83"/>
  <c r="I26" i="83"/>
  <c r="I25" i="83"/>
  <c r="I24" i="83"/>
  <c r="I23" i="83"/>
  <c r="I22" i="83"/>
  <c r="I21" i="83"/>
  <c r="I20" i="83"/>
  <c r="I19" i="83"/>
  <c r="I18" i="83"/>
  <c r="I17" i="83"/>
  <c r="I16" i="83"/>
  <c r="I15" i="83"/>
  <c r="I14" i="83"/>
  <c r="I13" i="83"/>
  <c r="I12" i="83"/>
  <c r="I11" i="83"/>
  <c r="I10" i="83"/>
  <c r="I9" i="83"/>
  <c r="I8" i="83"/>
  <c r="I7" i="83"/>
  <c r="I5" i="83"/>
  <c r="I4" i="83"/>
  <c r="I33" i="85"/>
  <c r="I39" i="85" l="1"/>
  <c r="I38" i="85"/>
  <c r="I37" i="85"/>
  <c r="I36" i="85"/>
  <c r="I35" i="85"/>
  <c r="I34" i="85"/>
  <c r="I32" i="85"/>
  <c r="I31" i="85"/>
  <c r="I30" i="85"/>
  <c r="I29" i="85"/>
  <c r="I28" i="85"/>
  <c r="I27" i="85"/>
  <c r="I26" i="85"/>
  <c r="I25" i="85"/>
  <c r="I24" i="85"/>
  <c r="I23" i="85"/>
  <c r="I22" i="85"/>
  <c r="I21" i="85"/>
  <c r="I20" i="85"/>
  <c r="I19" i="85"/>
  <c r="I18" i="85"/>
  <c r="I17" i="85"/>
  <c r="I16" i="85"/>
  <c r="I15" i="85"/>
  <c r="I14" i="85"/>
  <c r="I13" i="85"/>
  <c r="I12" i="85"/>
  <c r="I11" i="85"/>
  <c r="I10" i="85"/>
  <c r="I9" i="85"/>
  <c r="I8" i="85"/>
  <c r="I7" i="85"/>
  <c r="I6" i="85"/>
  <c r="I5" i="85"/>
  <c r="I4" i="85"/>
  <c r="I35" i="86"/>
  <c r="I34" i="86"/>
  <c r="I33" i="86"/>
  <c r="I32" i="86"/>
  <c r="I31" i="86"/>
  <c r="I30" i="86"/>
  <c r="I29" i="86"/>
  <c r="I28" i="86"/>
  <c r="I27" i="86"/>
  <c r="I26" i="86"/>
  <c r="I25" i="86"/>
  <c r="I24" i="86"/>
  <c r="I23" i="86"/>
  <c r="I22" i="86"/>
  <c r="I21" i="86"/>
  <c r="I20" i="86"/>
  <c r="I19" i="86"/>
  <c r="I18" i="86"/>
  <c r="I17" i="86"/>
  <c r="I16" i="86"/>
  <c r="I15" i="86"/>
  <c r="I14" i="86"/>
  <c r="I13" i="86"/>
  <c r="I12" i="86"/>
  <c r="I11" i="86"/>
  <c r="I10" i="86"/>
  <c r="I9" i="86"/>
  <c r="I8" i="86"/>
  <c r="I7" i="86"/>
  <c r="I47" i="84"/>
  <c r="I46" i="84"/>
  <c r="I43" i="84"/>
  <c r="I42" i="84"/>
  <c r="I41" i="84"/>
  <c r="I40" i="84"/>
  <c r="I39" i="84"/>
  <c r="I38" i="84"/>
  <c r="I37" i="84"/>
  <c r="I36" i="84"/>
  <c r="I35" i="84"/>
  <c r="I33" i="84"/>
  <c r="I32" i="84"/>
  <c r="I31" i="84"/>
  <c r="I30" i="84"/>
  <c r="I29" i="84"/>
  <c r="I28" i="84"/>
  <c r="I27" i="84"/>
  <c r="I26" i="84"/>
  <c r="I24" i="84"/>
  <c r="I23" i="84"/>
  <c r="I22" i="84"/>
  <c r="I21" i="84"/>
  <c r="I20" i="84"/>
  <c r="I18" i="84"/>
  <c r="I17" i="84"/>
  <c r="I16" i="84"/>
  <c r="I15" i="84"/>
  <c r="I14" i="84"/>
  <c r="F43" i="92" l="1"/>
  <c r="G43" i="92"/>
  <c r="H43" i="92"/>
  <c r="I43" i="92"/>
  <c r="J43" i="92"/>
  <c r="K43" i="92"/>
  <c r="L43" i="92"/>
  <c r="M43" i="92"/>
  <c r="F44" i="92"/>
  <c r="G44" i="92"/>
  <c r="H44" i="92"/>
  <c r="I44" i="92"/>
  <c r="J44" i="92"/>
  <c r="K44" i="92"/>
  <c r="L44" i="92"/>
  <c r="M44" i="92"/>
  <c r="F45" i="92"/>
  <c r="G45" i="92"/>
  <c r="H45" i="92"/>
  <c r="I45" i="92"/>
  <c r="J45" i="92"/>
  <c r="K45" i="92"/>
  <c r="L45" i="92"/>
  <c r="M45" i="92"/>
  <c r="E44" i="92"/>
  <c r="E45" i="92"/>
  <c r="E43" i="92"/>
  <c r="E38" i="92"/>
  <c r="E40" i="92"/>
  <c r="E39" i="92"/>
  <c r="F36" i="92"/>
  <c r="G36" i="92"/>
  <c r="H36" i="92"/>
  <c r="I36" i="92"/>
  <c r="J36" i="92"/>
  <c r="K36" i="92"/>
  <c r="L36" i="92"/>
  <c r="M36" i="92"/>
  <c r="F37" i="92"/>
  <c r="G37" i="92"/>
  <c r="H37" i="92"/>
  <c r="I37" i="92"/>
  <c r="J37" i="92"/>
  <c r="K37" i="92"/>
  <c r="L37" i="92"/>
  <c r="M37" i="92"/>
  <c r="F38" i="92"/>
  <c r="G38" i="92"/>
  <c r="H38" i="92"/>
  <c r="I38" i="92"/>
  <c r="J38" i="92"/>
  <c r="K38" i="92"/>
  <c r="L38" i="92"/>
  <c r="M38" i="92"/>
  <c r="F39" i="92"/>
  <c r="G39" i="92"/>
  <c r="H39" i="92"/>
  <c r="I39" i="92"/>
  <c r="J39" i="92"/>
  <c r="K39" i="92"/>
  <c r="L39" i="92"/>
  <c r="M39" i="92"/>
  <c r="F40" i="92"/>
  <c r="G40" i="92"/>
  <c r="H40" i="92"/>
  <c r="I40" i="92"/>
  <c r="J40" i="92"/>
  <c r="K40" i="92"/>
  <c r="L40" i="92"/>
  <c r="M40" i="92"/>
  <c r="E37" i="92"/>
  <c r="E36" i="92"/>
  <c r="E41" i="92" l="1"/>
  <c r="F41" i="92"/>
  <c r="G41" i="92"/>
  <c r="H41" i="92"/>
  <c r="E46" i="92"/>
  <c r="L41" i="92"/>
  <c r="K41" i="92"/>
  <c r="J41" i="92"/>
  <c r="I41" i="92"/>
  <c r="M41" i="92"/>
  <c r="J46" i="92"/>
  <c r="I46" i="92"/>
  <c r="L46" i="92"/>
  <c r="G46" i="92"/>
  <c r="F46" i="92"/>
  <c r="M46" i="92"/>
  <c r="H46" i="92"/>
  <c r="K46" i="92"/>
  <c r="T51" i="92" l="1"/>
  <c r="U51" i="92"/>
  <c r="V51" i="92"/>
  <c r="W51" i="92"/>
  <c r="X51" i="92"/>
  <c r="Y51" i="92"/>
  <c r="Z51" i="92"/>
  <c r="AA51" i="92"/>
  <c r="T52" i="92"/>
  <c r="U52" i="92"/>
  <c r="V52" i="92"/>
  <c r="W52" i="92"/>
  <c r="X52" i="92"/>
  <c r="Y52" i="92"/>
  <c r="Z52" i="92"/>
  <c r="AA52" i="92"/>
  <c r="T53" i="92"/>
  <c r="U53" i="92"/>
  <c r="V53" i="92"/>
  <c r="W53" i="92"/>
  <c r="X53" i="92"/>
  <c r="Y53" i="92"/>
  <c r="Z53" i="92"/>
  <c r="AA53" i="92"/>
  <c r="T54" i="92"/>
  <c r="U54" i="92"/>
  <c r="V54" i="92"/>
  <c r="W54" i="92"/>
  <c r="X54" i="92"/>
  <c r="Y54" i="92"/>
  <c r="Z54" i="92"/>
  <c r="AA54" i="92"/>
  <c r="T55" i="92"/>
  <c r="U55" i="92"/>
  <c r="V55" i="92"/>
  <c r="W55" i="92"/>
  <c r="X55" i="92"/>
  <c r="Y55" i="92"/>
  <c r="Z55" i="92"/>
  <c r="AA55" i="92"/>
  <c r="T56" i="92"/>
  <c r="U56" i="92"/>
  <c r="V56" i="92"/>
  <c r="W56" i="92"/>
  <c r="X56" i="92"/>
  <c r="Y56" i="92"/>
  <c r="Z56" i="92"/>
  <c r="AA56" i="92"/>
  <c r="T57" i="92"/>
  <c r="U57" i="92"/>
  <c r="V57" i="92"/>
  <c r="W57" i="92"/>
  <c r="X57" i="92"/>
  <c r="Y57" i="92"/>
  <c r="Z57" i="92"/>
  <c r="AA57" i="92"/>
  <c r="T58" i="92"/>
  <c r="U58" i="92"/>
  <c r="V58" i="92"/>
  <c r="W58" i="92"/>
  <c r="X58" i="92"/>
  <c r="Y58" i="92"/>
  <c r="Z58" i="92"/>
  <c r="AA58" i="92"/>
  <c r="T59" i="92"/>
  <c r="U59" i="92"/>
  <c r="V59" i="92"/>
  <c r="W59" i="92"/>
  <c r="X59" i="92"/>
  <c r="Y59" i="92"/>
  <c r="Z59" i="92"/>
  <c r="AA59" i="92"/>
  <c r="T60" i="92"/>
  <c r="U60" i="92"/>
  <c r="V60" i="92"/>
  <c r="W60" i="92"/>
  <c r="X60" i="92"/>
  <c r="Y60" i="92"/>
  <c r="Z60" i="92"/>
  <c r="AA60" i="92"/>
  <c r="T61" i="92"/>
  <c r="U61" i="92"/>
  <c r="V61" i="92"/>
  <c r="W61" i="92"/>
  <c r="X61" i="92"/>
  <c r="Y61" i="92"/>
  <c r="Z61" i="92"/>
  <c r="AA61" i="92"/>
  <c r="T62" i="92"/>
  <c r="U62" i="92"/>
  <c r="V62" i="92"/>
  <c r="W62" i="92"/>
  <c r="X62" i="92"/>
  <c r="Y62" i="92"/>
  <c r="Z62" i="92"/>
  <c r="AA62" i="92"/>
  <c r="T63" i="92"/>
  <c r="U63" i="92"/>
  <c r="V63" i="92"/>
  <c r="W63" i="92"/>
  <c r="X63" i="92"/>
  <c r="Y63" i="92"/>
  <c r="Z63" i="92"/>
  <c r="AA63" i="92"/>
  <c r="T64" i="92"/>
  <c r="U64" i="92"/>
  <c r="V64" i="92"/>
  <c r="W64" i="92"/>
  <c r="X64" i="92"/>
  <c r="Y64" i="92"/>
  <c r="Z64" i="92"/>
  <c r="AA64" i="92"/>
  <c r="T65" i="92"/>
  <c r="U65" i="92"/>
  <c r="V65" i="92"/>
  <c r="W65" i="92"/>
  <c r="X65" i="92"/>
  <c r="Y65" i="92"/>
  <c r="Z65" i="92"/>
  <c r="AA65" i="92"/>
  <c r="T66" i="92"/>
  <c r="U66" i="92"/>
  <c r="V66" i="92"/>
  <c r="W66" i="92"/>
  <c r="X66" i="92"/>
  <c r="Y66" i="92"/>
  <c r="Z66" i="92"/>
  <c r="AA66" i="92"/>
  <c r="T67" i="92"/>
  <c r="U67" i="92"/>
  <c r="V67" i="92"/>
  <c r="W67" i="92"/>
  <c r="X67" i="92"/>
  <c r="Y67" i="92"/>
  <c r="Z67" i="92"/>
  <c r="AA67" i="92"/>
  <c r="T68" i="92"/>
  <c r="U68" i="92"/>
  <c r="V68" i="92"/>
  <c r="W68" i="92"/>
  <c r="X68" i="92"/>
  <c r="Y68" i="92"/>
  <c r="Z68" i="92"/>
  <c r="AA68" i="92"/>
  <c r="T69" i="92"/>
  <c r="U69" i="92"/>
  <c r="V69" i="92"/>
  <c r="W69" i="92"/>
  <c r="X69" i="92"/>
  <c r="Y69" i="92"/>
  <c r="Z69" i="92"/>
  <c r="AA69" i="92"/>
  <c r="T70" i="92"/>
  <c r="U70" i="92"/>
  <c r="V70" i="92"/>
  <c r="W70" i="92"/>
  <c r="X70" i="92"/>
  <c r="Y70" i="92"/>
  <c r="Z70" i="92"/>
  <c r="AA70" i="92"/>
  <c r="T71" i="92"/>
  <c r="U71" i="92"/>
  <c r="V71" i="92"/>
  <c r="W71" i="92"/>
  <c r="X71" i="92"/>
  <c r="Y71" i="92"/>
  <c r="Z71" i="92"/>
  <c r="AA71" i="92"/>
  <c r="T72" i="92"/>
  <c r="U72" i="92"/>
  <c r="V72" i="92"/>
  <c r="W72" i="92"/>
  <c r="X72" i="92"/>
  <c r="Y72" i="92"/>
  <c r="Z72" i="92"/>
  <c r="AA72" i="92"/>
  <c r="T73" i="92"/>
  <c r="U73" i="92"/>
  <c r="V73" i="92"/>
  <c r="W73" i="92"/>
  <c r="X73" i="92"/>
  <c r="Y73" i="92"/>
  <c r="Z73" i="92"/>
  <c r="AA73" i="92"/>
  <c r="T74" i="92"/>
  <c r="U74" i="92"/>
  <c r="V74" i="92"/>
  <c r="W74" i="92"/>
  <c r="X74" i="92"/>
  <c r="Y74" i="92"/>
  <c r="Z74" i="92"/>
  <c r="AA74" i="92"/>
  <c r="T75" i="92"/>
  <c r="U75" i="92"/>
  <c r="V75" i="92"/>
  <c r="W75" i="92"/>
  <c r="X75" i="92"/>
  <c r="Y75" i="92"/>
  <c r="Z75" i="92"/>
  <c r="AA75" i="92"/>
  <c r="T76" i="92"/>
  <c r="U76" i="92"/>
  <c r="V76" i="92"/>
  <c r="W76" i="92"/>
  <c r="X76" i="92"/>
  <c r="Y76" i="92"/>
  <c r="Z76" i="92"/>
  <c r="AA76" i="92"/>
  <c r="T77" i="92"/>
  <c r="U77" i="92"/>
  <c r="V77" i="92"/>
  <c r="W77" i="92"/>
  <c r="X77" i="92"/>
  <c r="Y77" i="92"/>
  <c r="Z77" i="92"/>
  <c r="AA77" i="92"/>
  <c r="T78" i="92"/>
  <c r="U78" i="92"/>
  <c r="V78" i="92"/>
  <c r="W78" i="92"/>
  <c r="X78" i="92"/>
  <c r="Y78" i="92"/>
  <c r="Z78" i="92"/>
  <c r="AA78" i="92"/>
  <c r="T79" i="92"/>
  <c r="U79" i="92"/>
  <c r="V79" i="92"/>
  <c r="W79" i="92"/>
  <c r="X79" i="92"/>
  <c r="Y79" i="92"/>
  <c r="Z79" i="92"/>
  <c r="AA79" i="92"/>
  <c r="T80" i="92"/>
  <c r="U80" i="92"/>
  <c r="V80" i="92"/>
  <c r="W80" i="92"/>
  <c r="X80" i="92"/>
  <c r="Y80" i="92"/>
  <c r="Z80" i="92"/>
  <c r="AA80" i="92"/>
  <c r="S52" i="92"/>
  <c r="S53" i="92"/>
  <c r="S54" i="92"/>
  <c r="S55" i="92"/>
  <c r="S56" i="92"/>
  <c r="S57" i="92"/>
  <c r="S58" i="92"/>
  <c r="S59" i="92"/>
  <c r="S60" i="92"/>
  <c r="S61" i="92"/>
  <c r="S62" i="92"/>
  <c r="S63" i="92"/>
  <c r="S64" i="92"/>
  <c r="S65" i="92"/>
  <c r="S66" i="92"/>
  <c r="S67" i="92"/>
  <c r="S68" i="92"/>
  <c r="S69" i="92"/>
  <c r="S70" i="92"/>
  <c r="S71" i="92"/>
  <c r="S72" i="92"/>
  <c r="S73" i="92"/>
  <c r="S74" i="92"/>
  <c r="S75" i="92"/>
  <c r="S76" i="92"/>
  <c r="S77" i="92"/>
  <c r="S78" i="92"/>
  <c r="S79" i="92"/>
  <c r="S80" i="92"/>
  <c r="S51" i="92"/>
  <c r="T5" i="92"/>
  <c r="U5" i="92"/>
  <c r="V5" i="92"/>
  <c r="W5" i="92"/>
  <c r="X5" i="92"/>
  <c r="Y5" i="92"/>
  <c r="Z5" i="92"/>
  <c r="AA5" i="92"/>
  <c r="T6" i="92"/>
  <c r="U6" i="92"/>
  <c r="V6" i="92"/>
  <c r="W6" i="92"/>
  <c r="X6" i="92"/>
  <c r="Y6" i="92"/>
  <c r="Z6" i="92"/>
  <c r="AA6" i="92"/>
  <c r="T7" i="92"/>
  <c r="U7" i="92"/>
  <c r="V7" i="92"/>
  <c r="W7" i="92"/>
  <c r="X7" i="92"/>
  <c r="Y7" i="92"/>
  <c r="Z7" i="92"/>
  <c r="AA7" i="92"/>
  <c r="T8" i="92"/>
  <c r="U8" i="92"/>
  <c r="V8" i="92"/>
  <c r="W8" i="92"/>
  <c r="X8" i="92"/>
  <c r="Y8" i="92"/>
  <c r="Z8" i="92"/>
  <c r="AA8" i="92"/>
  <c r="T9" i="92"/>
  <c r="U9" i="92"/>
  <c r="V9" i="92"/>
  <c r="W9" i="92"/>
  <c r="X9" i="92"/>
  <c r="Y9" i="92"/>
  <c r="Z9" i="92"/>
  <c r="AA9" i="92"/>
  <c r="T10" i="92"/>
  <c r="U10" i="92"/>
  <c r="V10" i="92"/>
  <c r="W10" i="92"/>
  <c r="X10" i="92"/>
  <c r="Y10" i="92"/>
  <c r="Z10" i="92"/>
  <c r="AA10" i="92"/>
  <c r="T11" i="92"/>
  <c r="U11" i="92"/>
  <c r="V11" i="92"/>
  <c r="W11" i="92"/>
  <c r="X11" i="92"/>
  <c r="Y11" i="92"/>
  <c r="Z11" i="92"/>
  <c r="AA11" i="92"/>
  <c r="T12" i="92"/>
  <c r="U12" i="92"/>
  <c r="V12" i="92"/>
  <c r="W12" i="92"/>
  <c r="X12" i="92"/>
  <c r="Y12" i="92"/>
  <c r="Z12" i="92"/>
  <c r="AA12" i="92"/>
  <c r="T13" i="92"/>
  <c r="U13" i="92"/>
  <c r="V13" i="92"/>
  <c r="W13" i="92"/>
  <c r="X13" i="92"/>
  <c r="Y13" i="92"/>
  <c r="Z13" i="92"/>
  <c r="AA13" i="92"/>
  <c r="T14" i="92"/>
  <c r="U14" i="92"/>
  <c r="V14" i="92"/>
  <c r="W14" i="92"/>
  <c r="X14" i="92"/>
  <c r="Y14" i="92"/>
  <c r="Z14" i="92"/>
  <c r="AA14" i="92"/>
  <c r="T15" i="92"/>
  <c r="U15" i="92"/>
  <c r="V15" i="92"/>
  <c r="W15" i="92"/>
  <c r="X15" i="92"/>
  <c r="Y15" i="92"/>
  <c r="Z15" i="92"/>
  <c r="AA15" i="92"/>
  <c r="T16" i="92"/>
  <c r="U16" i="92"/>
  <c r="V16" i="92"/>
  <c r="W16" i="92"/>
  <c r="X16" i="92"/>
  <c r="Y16" i="92"/>
  <c r="Z16" i="92"/>
  <c r="AA16" i="92"/>
  <c r="T17" i="92"/>
  <c r="U17" i="92"/>
  <c r="V17" i="92"/>
  <c r="W17" i="92"/>
  <c r="X17" i="92"/>
  <c r="Y17" i="92"/>
  <c r="Z17" i="92"/>
  <c r="AA17" i="92"/>
  <c r="T18" i="92"/>
  <c r="U18" i="92"/>
  <c r="V18" i="92"/>
  <c r="W18" i="92"/>
  <c r="X18" i="92"/>
  <c r="Y18" i="92"/>
  <c r="Z18" i="92"/>
  <c r="AA18" i="92"/>
  <c r="T19" i="92"/>
  <c r="U19" i="92"/>
  <c r="V19" i="92"/>
  <c r="W19" i="92"/>
  <c r="X19" i="92"/>
  <c r="Y19" i="92"/>
  <c r="Z19" i="92"/>
  <c r="AA19" i="92"/>
  <c r="T20" i="92"/>
  <c r="U20" i="92"/>
  <c r="V20" i="92"/>
  <c r="W20" i="92"/>
  <c r="X20" i="92"/>
  <c r="Y20" i="92"/>
  <c r="Z20" i="92"/>
  <c r="AA20" i="92"/>
  <c r="T21" i="92"/>
  <c r="U21" i="92"/>
  <c r="V21" i="92"/>
  <c r="W21" i="92"/>
  <c r="X21" i="92"/>
  <c r="Y21" i="92"/>
  <c r="Z21" i="92"/>
  <c r="AA21" i="92"/>
  <c r="T22" i="92"/>
  <c r="U22" i="92"/>
  <c r="V22" i="92"/>
  <c r="W22" i="92"/>
  <c r="X22" i="92"/>
  <c r="Y22" i="92"/>
  <c r="Z22" i="92"/>
  <c r="AA22" i="92"/>
  <c r="T23" i="92"/>
  <c r="U23" i="92"/>
  <c r="V23" i="92"/>
  <c r="W23" i="92"/>
  <c r="X23" i="92"/>
  <c r="Y23" i="92"/>
  <c r="Z23" i="92"/>
  <c r="AA23" i="92"/>
  <c r="T24" i="92"/>
  <c r="U24" i="92"/>
  <c r="V24" i="92"/>
  <c r="W24" i="92"/>
  <c r="X24" i="92"/>
  <c r="Y24" i="92"/>
  <c r="Z24" i="92"/>
  <c r="AA24" i="92"/>
  <c r="T25" i="92"/>
  <c r="U25" i="92"/>
  <c r="V25" i="92"/>
  <c r="W25" i="92"/>
  <c r="X25" i="92"/>
  <c r="Y25" i="92"/>
  <c r="Z25" i="92"/>
  <c r="AA25" i="92"/>
  <c r="T26" i="92"/>
  <c r="U26" i="92"/>
  <c r="V26" i="92"/>
  <c r="W26" i="92"/>
  <c r="X26" i="92"/>
  <c r="Y26" i="92"/>
  <c r="Z26" i="92"/>
  <c r="AA26" i="92"/>
  <c r="T27" i="92"/>
  <c r="U27" i="92"/>
  <c r="V27" i="92"/>
  <c r="W27" i="92"/>
  <c r="X27" i="92"/>
  <c r="Y27" i="92"/>
  <c r="Z27" i="92"/>
  <c r="AA27" i="92"/>
  <c r="T28" i="92"/>
  <c r="U28" i="92"/>
  <c r="V28" i="92"/>
  <c r="W28" i="92"/>
  <c r="X28" i="92"/>
  <c r="Y28" i="92"/>
  <c r="Z28" i="92"/>
  <c r="AA28" i="92"/>
  <c r="T29" i="92"/>
  <c r="U29" i="92"/>
  <c r="V29" i="92"/>
  <c r="W29" i="92"/>
  <c r="X29" i="92"/>
  <c r="Y29" i="92"/>
  <c r="Z29" i="92"/>
  <c r="AA29" i="92"/>
  <c r="T30" i="92"/>
  <c r="U30" i="92"/>
  <c r="V30" i="92"/>
  <c r="W30" i="92"/>
  <c r="X30" i="92"/>
  <c r="Y30" i="92"/>
  <c r="Z30" i="92"/>
  <c r="AA30" i="92"/>
  <c r="T31" i="92"/>
  <c r="U31" i="92"/>
  <c r="V31" i="92"/>
  <c r="W31" i="92"/>
  <c r="X31" i="92"/>
  <c r="Y31" i="92"/>
  <c r="Z31" i="92"/>
  <c r="AA31" i="92"/>
  <c r="T32" i="92"/>
  <c r="U32" i="92"/>
  <c r="V32" i="92"/>
  <c r="W32" i="92"/>
  <c r="X32" i="92"/>
  <c r="Y32" i="92"/>
  <c r="Z32" i="92"/>
  <c r="AA32" i="92"/>
  <c r="T33" i="92"/>
  <c r="U33" i="92"/>
  <c r="V33" i="92"/>
  <c r="W33" i="92"/>
  <c r="X33" i="92"/>
  <c r="Y33" i="92"/>
  <c r="Z33" i="92"/>
  <c r="AA33" i="92"/>
  <c r="S6" i="92"/>
  <c r="S7" i="92"/>
  <c r="S8" i="92"/>
  <c r="S9" i="92"/>
  <c r="S10" i="92"/>
  <c r="S11" i="92"/>
  <c r="S12" i="92"/>
  <c r="S13" i="92"/>
  <c r="S14" i="92"/>
  <c r="S15" i="92"/>
  <c r="S16" i="92"/>
  <c r="S17" i="92"/>
  <c r="S18" i="92"/>
  <c r="S19" i="92"/>
  <c r="S20" i="92"/>
  <c r="S21" i="92"/>
  <c r="S22" i="92"/>
  <c r="S23" i="92"/>
  <c r="S24" i="92"/>
  <c r="S25" i="92"/>
  <c r="S26" i="92"/>
  <c r="S27" i="92"/>
  <c r="S28" i="92"/>
  <c r="S29" i="92"/>
  <c r="S30" i="92"/>
  <c r="S31" i="92"/>
  <c r="S32" i="92"/>
  <c r="S33" i="92"/>
  <c r="S5" i="92"/>
  <c r="AM51" i="92" l="1"/>
  <c r="AN51" i="92"/>
  <c r="AO51" i="92"/>
  <c r="AP51" i="92"/>
  <c r="AQ51" i="92"/>
  <c r="AR51" i="92"/>
  <c r="AS51" i="92"/>
  <c r="AT51" i="92"/>
  <c r="AM52" i="92"/>
  <c r="AN52" i="92"/>
  <c r="AO52" i="92"/>
  <c r="AP52" i="92"/>
  <c r="AQ52" i="92"/>
  <c r="AR52" i="92"/>
  <c r="AS52" i="92"/>
  <c r="AT52" i="92"/>
  <c r="AM53" i="92"/>
  <c r="AN53" i="92"/>
  <c r="AO53" i="92"/>
  <c r="AP53" i="92"/>
  <c r="AQ53" i="92"/>
  <c r="AR53" i="92"/>
  <c r="AS53" i="92"/>
  <c r="AT53" i="92"/>
  <c r="AM54" i="92"/>
  <c r="AN54" i="92"/>
  <c r="AO54" i="92"/>
  <c r="AP54" i="92"/>
  <c r="AQ54" i="92"/>
  <c r="AR54" i="92"/>
  <c r="AS54" i="92"/>
  <c r="AT54" i="92"/>
  <c r="AM55" i="92"/>
  <c r="AN55" i="92"/>
  <c r="AO55" i="92"/>
  <c r="AP55" i="92"/>
  <c r="AQ55" i="92"/>
  <c r="AR55" i="92"/>
  <c r="AS55" i="92"/>
  <c r="AT55" i="92"/>
  <c r="AL55" i="92"/>
  <c r="AL54" i="92"/>
  <c r="AL53" i="92"/>
  <c r="AL52" i="92"/>
  <c r="AL51" i="92"/>
  <c r="AM60" i="92"/>
  <c r="AN60" i="92"/>
  <c r="AO60" i="92"/>
  <c r="AP60" i="92"/>
  <c r="AQ60" i="92"/>
  <c r="AR60" i="92"/>
  <c r="AS60" i="92"/>
  <c r="AT60" i="92"/>
  <c r="AM61" i="92"/>
  <c r="AN61" i="92"/>
  <c r="AO61" i="92"/>
  <c r="AP61" i="92"/>
  <c r="AQ61" i="92"/>
  <c r="AR61" i="92"/>
  <c r="AS61" i="92"/>
  <c r="AT61" i="92"/>
  <c r="AM62" i="92"/>
  <c r="AN62" i="92"/>
  <c r="AO62" i="92"/>
  <c r="AP62" i="92"/>
  <c r="AQ62" i="92"/>
  <c r="AR62" i="92"/>
  <c r="AS62" i="92"/>
  <c r="AT62" i="92"/>
  <c r="AL61" i="92"/>
  <c r="AL62" i="92"/>
  <c r="AL60" i="92"/>
  <c r="AM15" i="92"/>
  <c r="AN15" i="92"/>
  <c r="AO15" i="92"/>
  <c r="AP15" i="92"/>
  <c r="AQ15" i="92"/>
  <c r="AR15" i="92"/>
  <c r="AS15" i="92"/>
  <c r="AT15" i="92"/>
  <c r="AM16" i="92"/>
  <c r="AN16" i="92"/>
  <c r="AO16" i="92"/>
  <c r="AP16" i="92"/>
  <c r="AQ16" i="92"/>
  <c r="AR16" i="92"/>
  <c r="AS16" i="92"/>
  <c r="AT16" i="92"/>
  <c r="AM17" i="92"/>
  <c r="AN17" i="92"/>
  <c r="AO17" i="92"/>
  <c r="AP17" i="92"/>
  <c r="AQ17" i="92"/>
  <c r="AR17" i="92"/>
  <c r="AS17" i="92"/>
  <c r="AT17" i="92"/>
  <c r="AL16" i="92"/>
  <c r="AL17" i="92"/>
  <c r="AL15" i="92"/>
  <c r="AM5" i="92"/>
  <c r="AN5" i="92"/>
  <c r="AO5" i="92"/>
  <c r="AP5" i="92"/>
  <c r="AQ5" i="92"/>
  <c r="AR5" i="92"/>
  <c r="AS5" i="92"/>
  <c r="AT5" i="92"/>
  <c r="AM6" i="92"/>
  <c r="AN6" i="92"/>
  <c r="AO6" i="92"/>
  <c r="AP6" i="92"/>
  <c r="AQ6" i="92"/>
  <c r="AR6" i="92"/>
  <c r="AS6" i="92"/>
  <c r="AT6" i="92"/>
  <c r="AM7" i="92"/>
  <c r="AN7" i="92"/>
  <c r="AO7" i="92"/>
  <c r="AP7" i="92"/>
  <c r="AQ7" i="92"/>
  <c r="AR7" i="92"/>
  <c r="AS7" i="92"/>
  <c r="AT7" i="92"/>
  <c r="AM8" i="92"/>
  <c r="AN8" i="92"/>
  <c r="AO8" i="92"/>
  <c r="AP8" i="92"/>
  <c r="AQ8" i="92"/>
  <c r="AR8" i="92"/>
  <c r="AS8" i="92"/>
  <c r="AT8" i="92"/>
  <c r="AM9" i="92"/>
  <c r="AN9" i="92"/>
  <c r="AO9" i="92"/>
  <c r="AP9" i="92"/>
  <c r="AQ9" i="92"/>
  <c r="AR9" i="92"/>
  <c r="AS9" i="92"/>
  <c r="AT9" i="92"/>
  <c r="AL5" i="92"/>
  <c r="AL7" i="92"/>
  <c r="AL9" i="92"/>
  <c r="AL8" i="92"/>
  <c r="AL6" i="92"/>
  <c r="AM10" i="92" l="1"/>
  <c r="AN10" i="92"/>
  <c r="AR10" i="92"/>
  <c r="AS10" i="92"/>
  <c r="AQ10" i="92"/>
  <c r="AT10" i="92"/>
  <c r="AP10" i="92"/>
  <c r="AL10" i="92"/>
  <c r="AO10" i="92"/>
  <c r="G8" i="86" l="1"/>
  <c r="G9" i="86"/>
  <c r="G10" i="86"/>
  <c r="G11" i="86"/>
  <c r="G12" i="86"/>
  <c r="G13" i="86"/>
  <c r="G14" i="86"/>
  <c r="G15" i="86"/>
  <c r="G16" i="86"/>
  <c r="G17" i="86"/>
  <c r="G18" i="86"/>
  <c r="G19" i="86"/>
  <c r="G20" i="86"/>
  <c r="G21" i="86"/>
  <c r="G22" i="86"/>
  <c r="G23" i="86"/>
  <c r="G24" i="86"/>
  <c r="G25" i="86"/>
  <c r="G26" i="86"/>
  <c r="G27" i="86"/>
  <c r="G28" i="86"/>
  <c r="G29" i="86"/>
  <c r="G30" i="86"/>
  <c r="G31" i="86"/>
  <c r="G32" i="86"/>
  <c r="G33" i="86"/>
  <c r="G34" i="86"/>
  <c r="G35" i="86"/>
  <c r="G7" i="86"/>
  <c r="G5" i="85"/>
  <c r="G6" i="85"/>
  <c r="G7" i="85"/>
  <c r="G8" i="85"/>
  <c r="G9" i="85"/>
  <c r="G10" i="85"/>
  <c r="G11" i="85"/>
  <c r="G12" i="85"/>
  <c r="G13" i="85"/>
  <c r="G14" i="85"/>
  <c r="G15" i="85"/>
  <c r="G16" i="85"/>
  <c r="G17" i="85"/>
  <c r="G18" i="85"/>
  <c r="G19" i="85"/>
  <c r="G20" i="85"/>
  <c r="G21" i="85"/>
  <c r="G22" i="85"/>
  <c r="G23" i="85"/>
  <c r="G24" i="85"/>
  <c r="G25" i="85"/>
  <c r="G26" i="85"/>
  <c r="G27" i="85"/>
  <c r="G28" i="85"/>
  <c r="G29" i="85"/>
  <c r="G30" i="85"/>
  <c r="G31" i="85"/>
  <c r="G32" i="85"/>
  <c r="G34" i="85"/>
  <c r="G35" i="85"/>
  <c r="G36" i="85"/>
  <c r="G37" i="85"/>
  <c r="G38" i="85"/>
  <c r="G39" i="85"/>
  <c r="G40" i="85"/>
  <c r="G4" i="85"/>
  <c r="G8" i="84"/>
  <c r="G9" i="84"/>
  <c r="G10" i="84"/>
  <c r="G11" i="84"/>
  <c r="G12" i="84"/>
  <c r="G13" i="84"/>
  <c r="G14" i="84"/>
  <c r="G15" i="84"/>
  <c r="G16" i="84"/>
  <c r="G17" i="84"/>
  <c r="G18" i="84"/>
  <c r="G19" i="84"/>
  <c r="G20" i="84"/>
  <c r="G21" i="84"/>
  <c r="G22" i="84"/>
  <c r="G23" i="84"/>
  <c r="G24" i="84"/>
  <c r="G25" i="84"/>
  <c r="G26" i="84"/>
  <c r="G27" i="84"/>
  <c r="G28" i="84"/>
  <c r="G29" i="84"/>
  <c r="G30" i="84"/>
  <c r="G31" i="84"/>
  <c r="G32" i="84"/>
  <c r="G33" i="84"/>
  <c r="G34" i="84"/>
  <c r="G35" i="84"/>
  <c r="G36" i="84"/>
  <c r="G37" i="84"/>
  <c r="G38" i="84"/>
  <c r="G39" i="84"/>
  <c r="G40" i="84"/>
  <c r="G41" i="84"/>
  <c r="G42" i="84"/>
  <c r="G43" i="84"/>
  <c r="G44" i="84"/>
  <c r="G45" i="84"/>
  <c r="G46" i="84"/>
  <c r="G47" i="84"/>
  <c r="G7" i="84"/>
  <c r="G5" i="83"/>
  <c r="G6" i="83"/>
  <c r="G7" i="83"/>
  <c r="G8" i="83"/>
  <c r="G9" i="83"/>
  <c r="G10" i="83"/>
  <c r="G11" i="83"/>
  <c r="G12" i="83"/>
  <c r="G13" i="83"/>
  <c r="G14" i="83"/>
  <c r="G15" i="83"/>
  <c r="G16" i="83"/>
  <c r="G17" i="83"/>
  <c r="G18" i="83"/>
  <c r="G19" i="83"/>
  <c r="G20" i="83"/>
  <c r="G21" i="83"/>
  <c r="G22" i="83"/>
  <c r="G23" i="83"/>
  <c r="G24" i="83"/>
  <c r="G25" i="83"/>
  <c r="G26" i="83"/>
  <c r="G27" i="83"/>
  <c r="G28" i="83"/>
  <c r="G29" i="83"/>
  <c r="G30" i="83"/>
  <c r="G4" i="83"/>
  <c r="X40" i="78"/>
  <c r="W40" i="78"/>
  <c r="V40" i="78"/>
  <c r="X39" i="78"/>
  <c r="W39" i="78"/>
  <c r="V39" i="78"/>
  <c r="X38" i="78"/>
  <c r="W38" i="78"/>
  <c r="V38" i="78"/>
  <c r="X33" i="78"/>
  <c r="W33" i="78"/>
  <c r="X32" i="78"/>
  <c r="W32" i="78"/>
  <c r="X31" i="78"/>
  <c r="W31" i="78"/>
  <c r="X30" i="78"/>
  <c r="W30" i="78"/>
  <c r="X29" i="78"/>
  <c r="W29" i="78"/>
  <c r="X28" i="78"/>
  <c r="W28" i="78"/>
  <c r="X27" i="78"/>
  <c r="W27" i="78"/>
  <c r="X26" i="78"/>
  <c r="W26" i="78"/>
  <c r="X25" i="78"/>
  <c r="W25" i="78"/>
  <c r="X24" i="78"/>
  <c r="W24" i="78"/>
  <c r="X23" i="78"/>
  <c r="W23" i="78"/>
  <c r="X22" i="78"/>
  <c r="W22" i="78"/>
  <c r="X21" i="78"/>
  <c r="W21" i="78"/>
  <c r="X20" i="78"/>
  <c r="W20" i="78"/>
  <c r="X19" i="78"/>
  <c r="W19" i="78"/>
  <c r="X18" i="78"/>
  <c r="W18" i="78"/>
  <c r="X17" i="78"/>
  <c r="W17" i="78"/>
  <c r="X16" i="78"/>
  <c r="W16" i="78"/>
  <c r="X15" i="78"/>
  <c r="W15" i="78"/>
  <c r="V34" i="78"/>
  <c r="V33" i="78"/>
  <c r="V32" i="78"/>
  <c r="V31" i="78"/>
  <c r="V30" i="78"/>
  <c r="V29" i="78"/>
  <c r="V28" i="78"/>
  <c r="V27" i="78"/>
  <c r="V26" i="78"/>
  <c r="V25" i="78"/>
  <c r="V24" i="78"/>
  <c r="V23" i="78"/>
  <c r="V22" i="78"/>
  <c r="V21" i="78"/>
  <c r="V20" i="78"/>
  <c r="V19" i="78"/>
  <c r="V18" i="78"/>
  <c r="V17" i="78"/>
  <c r="V16" i="78"/>
  <c r="V15" i="78"/>
  <c r="T34" i="78"/>
  <c r="T33" i="78"/>
  <c r="T32" i="78"/>
  <c r="T31" i="78"/>
  <c r="T30" i="78"/>
  <c r="T29" i="78"/>
  <c r="T28" i="78"/>
  <c r="T27" i="78"/>
  <c r="T26" i="78"/>
  <c r="T25" i="78"/>
  <c r="T24" i="78"/>
  <c r="T23" i="78"/>
  <c r="T22" i="78"/>
  <c r="T21" i="78"/>
  <c r="T20" i="78"/>
  <c r="T19" i="78"/>
  <c r="T18" i="78"/>
  <c r="T17" i="78"/>
  <c r="T16" i="78"/>
  <c r="T15" i="78"/>
  <c r="T40" i="78"/>
  <c r="T39" i="78"/>
  <c r="T38" i="78"/>
  <c r="U40" i="78"/>
  <c r="U39" i="78"/>
  <c r="U38" i="78"/>
  <c r="U36" i="78"/>
  <c r="U35" i="78"/>
  <c r="U34" i="78"/>
  <c r="U33" i="78"/>
  <c r="U32" i="78"/>
  <c r="U31" i="78"/>
  <c r="U30" i="78"/>
  <c r="U29" i="78"/>
  <c r="U28" i="78"/>
  <c r="U27" i="78"/>
  <c r="U26" i="78"/>
  <c r="U23" i="78"/>
  <c r="U22" i="78"/>
  <c r="U21" i="78"/>
  <c r="U20" i="78"/>
  <c r="U19" i="78"/>
  <c r="U18" i="78"/>
  <c r="U17" i="78"/>
  <c r="U16" i="78"/>
  <c r="U15" i="78"/>
  <c r="Y15" i="78" l="1"/>
  <c r="Z15" i="78" s="1"/>
  <c r="I9" i="46" s="1"/>
  <c r="H10" i="46"/>
  <c r="H34" i="46"/>
  <c r="H11" i="46"/>
  <c r="H12" i="46"/>
  <c r="H24" i="46"/>
  <c r="H26" i="46"/>
  <c r="H13" i="46"/>
  <c r="H25" i="46"/>
  <c r="H14" i="46"/>
  <c r="H15" i="46"/>
  <c r="H27" i="46"/>
  <c r="H19" i="46"/>
  <c r="H16" i="46"/>
  <c r="H28" i="46"/>
  <c r="H30" i="46"/>
  <c r="H17" i="46"/>
  <c r="H29" i="46"/>
  <c r="H18" i="46"/>
  <c r="H20" i="46"/>
  <c r="H32" i="46"/>
  <c r="H31" i="46"/>
  <c r="H21" i="46"/>
  <c r="H33" i="46"/>
  <c r="Y40" i="78"/>
  <c r="Z40" i="78" s="1"/>
  <c r="I34" i="46" s="1"/>
  <c r="Y39" i="78"/>
  <c r="Z39" i="78" s="1"/>
  <c r="I33" i="46" s="1"/>
  <c r="Y38" i="78"/>
  <c r="Z38" i="78" s="1"/>
  <c r="I32" i="46" s="1"/>
  <c r="Y33" i="78"/>
  <c r="Z33" i="78" s="1"/>
  <c r="I27" i="46" s="1"/>
  <c r="Y32" i="78"/>
  <c r="Z32" i="78" s="1"/>
  <c r="I26" i="46" s="1"/>
  <c r="Y31" i="78"/>
  <c r="Z31" i="78" s="1"/>
  <c r="I25" i="46" s="1"/>
  <c r="Y30" i="78"/>
  <c r="Z30" i="78" s="1"/>
  <c r="I24" i="46" s="1"/>
  <c r="Y29" i="78"/>
  <c r="Z29" i="78" s="1"/>
  <c r="I23" i="46" s="1"/>
  <c r="Y28" i="78"/>
  <c r="Z28" i="78" s="1"/>
  <c r="I22" i="46" s="1"/>
  <c r="Y27" i="78"/>
  <c r="Z27" i="78" s="1"/>
  <c r="I21" i="46" s="1"/>
  <c r="Y26" i="78"/>
  <c r="Z26" i="78" s="1"/>
  <c r="I20" i="46" s="1"/>
  <c r="Y23" i="78"/>
  <c r="Z23" i="78" s="1"/>
  <c r="I17" i="46" s="1"/>
  <c r="Y22" i="78"/>
  <c r="Z22" i="78" s="1"/>
  <c r="Y21" i="78"/>
  <c r="Z21" i="78" s="1"/>
  <c r="I15" i="46" s="1"/>
  <c r="Y20" i="78"/>
  <c r="Z20" i="78" s="1"/>
  <c r="I14" i="46" s="1"/>
  <c r="Y19" i="78"/>
  <c r="Z19" i="78" s="1"/>
  <c r="I13" i="46" s="1"/>
  <c r="Y18" i="78"/>
  <c r="Z18" i="78" s="1"/>
  <c r="I12" i="46" s="1"/>
  <c r="Y17" i="78"/>
  <c r="Z17" i="78" s="1"/>
  <c r="I11" i="46" s="1"/>
  <c r="Y16" i="78"/>
  <c r="Z16" i="78" s="1"/>
  <c r="I10" i="46" s="1"/>
  <c r="I16" i="46" l="1"/>
  <c r="L16" i="82"/>
  <c r="J13" i="82"/>
  <c r="J12" i="82"/>
  <c r="J11" i="82"/>
  <c r="K11" i="82" s="1"/>
  <c r="J34" i="82"/>
  <c r="K34" i="82" s="1"/>
  <c r="L34" i="82"/>
  <c r="M34" i="82" s="1"/>
  <c r="L36" i="82"/>
  <c r="M36" i="82" s="1"/>
  <c r="J36" i="82"/>
  <c r="K36" i="82" s="1"/>
  <c r="J33" i="82"/>
  <c r="K33" i="82" s="1"/>
  <c r="L33" i="82"/>
  <c r="M33" i="82" s="1"/>
  <c r="L14" i="82"/>
  <c r="L13" i="82"/>
  <c r="L15" i="82"/>
  <c r="L12" i="82"/>
  <c r="L19" i="82"/>
  <c r="L20" i="82"/>
  <c r="L17" i="82"/>
  <c r="L18" i="82"/>
  <c r="L21" i="82"/>
  <c r="L24" i="82"/>
  <c r="L23" i="82"/>
  <c r="L22" i="82"/>
  <c r="L25" i="82"/>
  <c r="H25" i="91"/>
  <c r="H26" i="91"/>
  <c r="H3" i="91"/>
  <c r="H22" i="91"/>
  <c r="H24" i="91"/>
  <c r="J35" i="82"/>
  <c r="K35" i="82" s="1"/>
  <c r="L35" i="82"/>
  <c r="M35" i="82" s="1"/>
  <c r="F36" i="82"/>
  <c r="G36" i="82" s="1"/>
  <c r="H36" i="82"/>
  <c r="I36" i="82" s="1"/>
  <c r="V45" i="79"/>
  <c r="S45" i="79"/>
  <c r="R45" i="79"/>
  <c r="J16" i="82" l="1"/>
  <c r="J20" i="82"/>
  <c r="F33" i="82"/>
  <c r="G33" i="82" s="1"/>
  <c r="H33" i="82"/>
  <c r="I33" i="82" s="1"/>
  <c r="J19" i="82"/>
  <c r="J18" i="82"/>
  <c r="J14" i="82"/>
  <c r="J15" i="82"/>
  <c r="M16" i="82"/>
  <c r="M21" i="82"/>
  <c r="L11" i="82"/>
  <c r="M11" i="82" s="1"/>
  <c r="M21" i="93"/>
  <c r="L10" i="82"/>
  <c r="M10" i="82" s="1"/>
  <c r="L32" i="82"/>
  <c r="M16" i="93"/>
  <c r="J32" i="82"/>
  <c r="J38" i="82" s="1"/>
  <c r="M11" i="93"/>
  <c r="F32" i="82"/>
  <c r="H32" i="82"/>
  <c r="U45" i="79"/>
  <c r="T45" i="79"/>
  <c r="R34" i="79"/>
  <c r="S34" i="79"/>
  <c r="T34" i="79"/>
  <c r="U34" i="79"/>
  <c r="V34" i="79"/>
  <c r="J17" i="82" l="1"/>
  <c r="M32" i="82"/>
  <c r="L38" i="82"/>
  <c r="M38" i="82" s="1"/>
  <c r="K32" i="82"/>
  <c r="K38" i="82"/>
  <c r="I32" i="82"/>
  <c r="G32" i="82"/>
  <c r="W45" i="79"/>
  <c r="W34" i="79"/>
  <c r="X34" i="79" s="1"/>
  <c r="F21" i="91" s="1"/>
  <c r="H21" i="91" s="1"/>
  <c r="X45" i="79" l="1"/>
  <c r="F32" i="91" s="1"/>
  <c r="H32" i="91" s="1"/>
  <c r="S31" i="79" l="1"/>
  <c r="R25" i="79"/>
  <c r="U19" i="79"/>
  <c r="S23" i="79"/>
  <c r="R36" i="79"/>
  <c r="V24" i="79"/>
  <c r="U18" i="79"/>
  <c r="R21" i="79"/>
  <c r="R24" i="79"/>
  <c r="R27" i="79"/>
  <c r="R20" i="79"/>
  <c r="V28" i="79"/>
  <c r="U40" i="79"/>
  <c r="T27" i="79"/>
  <c r="V25" i="79"/>
  <c r="U27" i="79"/>
  <c r="S18" i="79"/>
  <c r="T18" i="79"/>
  <c r="U23" i="79"/>
  <c r="R18" i="79"/>
  <c r="U31" i="79"/>
  <c r="R40" i="79"/>
  <c r="V36" i="79"/>
  <c r="U24" i="79"/>
  <c r="R31" i="79"/>
  <c r="S32" i="79"/>
  <c r="V27" i="79"/>
  <c r="V22" i="79"/>
  <c r="R26" i="79"/>
  <c r="V23" i="79"/>
  <c r="T32" i="79"/>
  <c r="V40" i="79"/>
  <c r="R23" i="79"/>
  <c r="T24" i="79"/>
  <c r="R32" i="79"/>
  <c r="R22" i="79"/>
  <c r="T21" i="79"/>
  <c r="V31" i="79"/>
  <c r="T31" i="79"/>
  <c r="T19" i="79"/>
  <c r="V21" i="79"/>
  <c r="U21" i="79"/>
  <c r="S27" i="79"/>
  <c r="T22" i="79"/>
  <c r="U22" i="79"/>
  <c r="V19" i="79"/>
  <c r="T23" i="79"/>
  <c r="S19" i="79"/>
  <c r="S21" i="79"/>
  <c r="S22" i="79"/>
  <c r="T36" i="79"/>
  <c r="S36" i="79"/>
  <c r="U36" i="79"/>
  <c r="S24" i="79"/>
  <c r="S20" i="79"/>
  <c r="T40" i="79"/>
  <c r="R19" i="79"/>
  <c r="S40" i="79"/>
  <c r="T20" i="79"/>
  <c r="W22" i="79" l="1"/>
  <c r="X22" i="79" s="1"/>
  <c r="I15" i="47" s="1"/>
  <c r="F9" i="91" s="1"/>
  <c r="H9" i="91" s="1"/>
  <c r="W31" i="79"/>
  <c r="X31" i="79" s="1"/>
  <c r="F18" i="91" s="1"/>
  <c r="H18" i="91" s="1"/>
  <c r="W27" i="79"/>
  <c r="X27" i="79" s="1"/>
  <c r="F14" i="91" s="1"/>
  <c r="H14" i="91" s="1"/>
  <c r="W21" i="79"/>
  <c r="X21" i="79" s="1"/>
  <c r="I14" i="47" s="1"/>
  <c r="F8" i="91" s="1"/>
  <c r="H8" i="91" s="1"/>
  <c r="W36" i="79"/>
  <c r="X36" i="79" s="1"/>
  <c r="F23" i="91" s="1"/>
  <c r="H23" i="91" s="1"/>
  <c r="W19" i="79"/>
  <c r="X19" i="79" s="1"/>
  <c r="I12" i="47" s="1"/>
  <c r="F6" i="91" s="1"/>
  <c r="H6" i="91" s="1"/>
  <c r="W40" i="79"/>
  <c r="X40" i="79" s="1"/>
  <c r="F27" i="91" s="1"/>
  <c r="H27" i="91" s="1"/>
  <c r="W23" i="79"/>
  <c r="X23" i="79" s="1"/>
  <c r="I16" i="47" s="1"/>
  <c r="F10" i="91" s="1"/>
  <c r="H10" i="91" s="1"/>
  <c r="W24" i="79"/>
  <c r="X24" i="79" s="1"/>
  <c r="F11" i="91" s="1"/>
  <c r="H11" i="91" s="1"/>
  <c r="R30" i="79"/>
  <c r="V29" i="79"/>
  <c r="S28" i="79"/>
  <c r="R29" i="79"/>
  <c r="U29" i="79"/>
  <c r="S30" i="79" l="1"/>
  <c r="V20" i="79"/>
  <c r="V30" i="79"/>
  <c r="S17" i="79"/>
  <c r="T29" i="79"/>
  <c r="T17" i="79"/>
  <c r="U30" i="79"/>
  <c r="S29" i="79"/>
  <c r="S33" i="79"/>
  <c r="V32" i="79"/>
  <c r="R17" i="79"/>
  <c r="U32" i="79"/>
  <c r="T33" i="79"/>
  <c r="U33" i="79"/>
  <c r="V17" i="79"/>
  <c r="R33" i="79"/>
  <c r="V33" i="79"/>
  <c r="U20" i="79"/>
  <c r="R47" i="79"/>
  <c r="T26" i="79"/>
  <c r="T47" i="79"/>
  <c r="S26" i="79"/>
  <c r="S25" i="79"/>
  <c r="U26" i="79"/>
  <c r="T25" i="79"/>
  <c r="U47" i="79"/>
  <c r="S47" i="79"/>
  <c r="V18" i="79" l="1"/>
  <c r="W18" i="79" s="1"/>
  <c r="X18" i="79" s="1"/>
  <c r="I11" i="47" s="1"/>
  <c r="F5" i="91" s="1"/>
  <c r="H5" i="91" s="1"/>
  <c r="W20" i="79"/>
  <c r="W29" i="79"/>
  <c r="U17" i="79"/>
  <c r="W17" i="79" s="1"/>
  <c r="T28" i="79"/>
  <c r="U28" i="79"/>
  <c r="T30" i="79"/>
  <c r="W30" i="79" s="1"/>
  <c r="X30" i="79" s="1"/>
  <c r="F17" i="91" s="1"/>
  <c r="H17" i="91" s="1"/>
  <c r="R28" i="79"/>
  <c r="W33" i="79"/>
  <c r="X33" i="79" s="1"/>
  <c r="F20" i="91" s="1"/>
  <c r="H20" i="91" s="1"/>
  <c r="W32" i="79"/>
  <c r="X32" i="79" s="1"/>
  <c r="F19" i="91" s="1"/>
  <c r="H19" i="91" s="1"/>
  <c r="W36" i="78"/>
  <c r="W34" i="78"/>
  <c r="X34" i="78"/>
  <c r="V26" i="79"/>
  <c r="W26" i="79" s="1"/>
  <c r="X26" i="79" s="1"/>
  <c r="F13" i="91" s="1"/>
  <c r="H13" i="91" s="1"/>
  <c r="V36" i="78"/>
  <c r="V35" i="78"/>
  <c r="T35" i="78"/>
  <c r="U24" i="78"/>
  <c r="Y24" i="78" s="1"/>
  <c r="Z24" i="78" s="1"/>
  <c r="I18" i="46" s="1"/>
  <c r="X35" i="78"/>
  <c r="W35" i="78"/>
  <c r="U37" i="78"/>
  <c r="T37" i="78"/>
  <c r="U25" i="78"/>
  <c r="Y25" i="78" s="1"/>
  <c r="Z25" i="78" s="1"/>
  <c r="I19" i="46" s="1"/>
  <c r="X37" i="78"/>
  <c r="T36" i="78"/>
  <c r="V47" i="79"/>
  <c r="W47" i="79" s="1"/>
  <c r="W37" i="78"/>
  <c r="U25" i="79"/>
  <c r="W25" i="79" s="1"/>
  <c r="X36" i="78"/>
  <c r="V37" i="78"/>
  <c r="Y34" i="78" l="1"/>
  <c r="Z34" i="78" s="1"/>
  <c r="I28" i="46" s="1"/>
  <c r="Y37" i="78"/>
  <c r="Z37" i="78" s="1"/>
  <c r="I31" i="46" s="1"/>
  <c r="Y36" i="78"/>
  <c r="Z36" i="78" s="1"/>
  <c r="I30" i="46" s="1"/>
  <c r="Y35" i="78"/>
  <c r="Z35" i="78" s="1"/>
  <c r="I29" i="46" s="1"/>
  <c r="X47" i="79"/>
  <c r="F34" i="91" s="1"/>
  <c r="H34" i="91" s="1"/>
  <c r="X17" i="79"/>
  <c r="I10" i="47" s="1"/>
  <c r="F4" i="91" s="1"/>
  <c r="H4" i="91" s="1"/>
  <c r="X25" i="79"/>
  <c r="F12" i="91" s="1"/>
  <c r="H12" i="91" s="1"/>
  <c r="E69" i="91" s="1"/>
  <c r="J23" i="107" s="1"/>
  <c r="X29" i="79"/>
  <c r="F16" i="91" s="1"/>
  <c r="H16" i="91" s="1"/>
  <c r="X20" i="79"/>
  <c r="I13" i="47" s="1"/>
  <c r="F7" i="91" s="1"/>
  <c r="H7" i="91" s="1"/>
  <c r="W28" i="79"/>
  <c r="D42" i="91" l="1"/>
  <c r="J21" i="93" s="1"/>
  <c r="J23" i="93"/>
  <c r="E49" i="91"/>
  <c r="D49" i="91"/>
  <c r="E62" i="91"/>
  <c r="J17" i="107" s="1"/>
  <c r="E63" i="91"/>
  <c r="J18" i="107" s="1"/>
  <c r="E65" i="91"/>
  <c r="J20" i="107" s="1"/>
  <c r="E64" i="91"/>
  <c r="J19" i="107" s="1"/>
  <c r="D41" i="91"/>
  <c r="D50" i="91"/>
  <c r="E50" i="91"/>
  <c r="E71" i="91"/>
  <c r="J25" i="107" s="1"/>
  <c r="E48" i="91"/>
  <c r="D48" i="91"/>
  <c r="E70" i="91"/>
  <c r="J24" i="107" s="1"/>
  <c r="E52" i="91"/>
  <c r="D52" i="91"/>
  <c r="E68" i="91"/>
  <c r="J22" i="107" s="1"/>
  <c r="J21" i="82"/>
  <c r="K21" i="82" s="1"/>
  <c r="J22" i="82"/>
  <c r="J23" i="82"/>
  <c r="J25" i="82"/>
  <c r="J24" i="82"/>
  <c r="G52" i="91"/>
  <c r="F52" i="91"/>
  <c r="F65" i="91"/>
  <c r="L20" i="93" s="1"/>
  <c r="F64" i="91"/>
  <c r="L19" i="93" s="1"/>
  <c r="F63" i="91"/>
  <c r="L18" i="93" s="1"/>
  <c r="F62" i="91"/>
  <c r="L17" i="93" s="1"/>
  <c r="F50" i="91"/>
  <c r="G50" i="91"/>
  <c r="G49" i="91"/>
  <c r="F49" i="91"/>
  <c r="F35" i="82"/>
  <c r="G35" i="82" s="1"/>
  <c r="H35" i="82"/>
  <c r="I35" i="82" s="1"/>
  <c r="K16" i="82"/>
  <c r="F34" i="82"/>
  <c r="H34" i="82"/>
  <c r="X28" i="79"/>
  <c r="J21" i="107" l="1"/>
  <c r="K21" i="107" s="1"/>
  <c r="F32" i="93"/>
  <c r="G32" i="93" s="1"/>
  <c r="F32" i="107"/>
  <c r="H33" i="93"/>
  <c r="I33" i="93" s="1"/>
  <c r="H33" i="107"/>
  <c r="I33" i="107" s="1"/>
  <c r="H32" i="93"/>
  <c r="H32" i="107"/>
  <c r="F34" i="93"/>
  <c r="G34" i="93" s="1"/>
  <c r="F34" i="107"/>
  <c r="G34" i="107" s="1"/>
  <c r="F33" i="93"/>
  <c r="G33" i="93" s="1"/>
  <c r="F33" i="107"/>
  <c r="G33" i="107" s="1"/>
  <c r="H34" i="93"/>
  <c r="I34" i="93" s="1"/>
  <c r="H34" i="107"/>
  <c r="I34" i="107" s="1"/>
  <c r="J16" i="93"/>
  <c r="K16" i="93" s="1"/>
  <c r="J16" i="107"/>
  <c r="K16" i="107" s="1"/>
  <c r="H36" i="93"/>
  <c r="I36" i="93" s="1"/>
  <c r="H36" i="107"/>
  <c r="I36" i="107" s="1"/>
  <c r="F36" i="93"/>
  <c r="G36" i="93" s="1"/>
  <c r="F36" i="107"/>
  <c r="G36" i="107" s="1"/>
  <c r="J18" i="93"/>
  <c r="L58" i="91"/>
  <c r="K56" i="91"/>
  <c r="J22" i="93"/>
  <c r="F15" i="91"/>
  <c r="H15" i="91" s="1"/>
  <c r="J25" i="93"/>
  <c r="N56" i="91"/>
  <c r="J19" i="93"/>
  <c r="M58" i="91"/>
  <c r="J20" i="93"/>
  <c r="N58" i="91"/>
  <c r="J24" i="93"/>
  <c r="M56" i="91"/>
  <c r="J17" i="93"/>
  <c r="K58" i="91"/>
  <c r="L56" i="91"/>
  <c r="F59" i="91"/>
  <c r="L15" i="93" s="1"/>
  <c r="J10" i="82"/>
  <c r="K10" i="82" s="1"/>
  <c r="L59" i="91"/>
  <c r="K59" i="91"/>
  <c r="M59" i="91"/>
  <c r="N59" i="91"/>
  <c r="F51" i="91"/>
  <c r="G51" i="91"/>
  <c r="F58" i="91"/>
  <c r="L14" i="93" s="1"/>
  <c r="F56" i="91"/>
  <c r="L12" i="93" s="1"/>
  <c r="F57" i="91"/>
  <c r="L13" i="93" s="1"/>
  <c r="F69" i="91"/>
  <c r="L23" i="93" s="1"/>
  <c r="G48" i="91"/>
  <c r="F48" i="91"/>
  <c r="F70" i="91"/>
  <c r="L24" i="93" s="1"/>
  <c r="F68" i="91"/>
  <c r="L22" i="93" s="1"/>
  <c r="F71" i="91"/>
  <c r="L25" i="93" s="1"/>
  <c r="I34" i="82"/>
  <c r="H38" i="82"/>
  <c r="I38" i="82" s="1"/>
  <c r="G34" i="82"/>
  <c r="F38" i="82"/>
  <c r="G38" i="82" s="1"/>
  <c r="I32" i="107" l="1"/>
  <c r="G32" i="107"/>
  <c r="D51" i="91"/>
  <c r="E51" i="91"/>
  <c r="D43" i="91"/>
  <c r="J11" i="107" s="1"/>
  <c r="K11" i="107" s="1"/>
  <c r="E57" i="91"/>
  <c r="J13" i="107" s="1"/>
  <c r="E59" i="91"/>
  <c r="J15" i="107" s="1"/>
  <c r="E58" i="91"/>
  <c r="J14" i="107" s="1"/>
  <c r="E56" i="91"/>
  <c r="J12" i="107" s="1"/>
  <c r="K61" i="91"/>
  <c r="M61" i="91"/>
  <c r="L61" i="91"/>
  <c r="N61" i="91"/>
  <c r="K57" i="91"/>
  <c r="N57" i="91"/>
  <c r="M57" i="91"/>
  <c r="I32" i="93"/>
  <c r="K21" i="93"/>
  <c r="L57" i="91"/>
  <c r="F35" i="93" l="1"/>
  <c r="G35" i="93" s="1"/>
  <c r="F35" i="107"/>
  <c r="H35" i="93"/>
  <c r="H35" i="107"/>
  <c r="J12" i="93"/>
  <c r="K60" i="91"/>
  <c r="J14" i="93"/>
  <c r="M60" i="91"/>
  <c r="J15" i="93"/>
  <c r="N60" i="91"/>
  <c r="J13" i="93"/>
  <c r="L60" i="91"/>
  <c r="J11" i="93"/>
  <c r="K11" i="93" s="1"/>
  <c r="D44" i="91"/>
  <c r="F38" i="93" l="1"/>
  <c r="G38" i="93" s="1"/>
  <c r="J10" i="93"/>
  <c r="K10" i="93" s="1"/>
  <c r="J10" i="107"/>
  <c r="K10" i="107" s="1"/>
  <c r="G35" i="107"/>
  <c r="F38" i="107"/>
  <c r="G38" i="107" s="1"/>
  <c r="I35" i="107"/>
  <c r="H38" i="107"/>
  <c r="I38" i="107" s="1"/>
  <c r="I35" i="93"/>
  <c r="H38" i="93"/>
  <c r="I38" i="93" s="1"/>
</calcChain>
</file>

<file path=xl/sharedStrings.xml><?xml version="1.0" encoding="utf-8"?>
<sst xmlns="http://schemas.openxmlformats.org/spreadsheetml/2006/main" count="2233" uniqueCount="808">
  <si>
    <t>Issue: 2025/7/7</t>
    <phoneticPr fontId="6"/>
  </si>
  <si>
    <t>Safety Solidification Report</t>
    <phoneticPr fontId="6"/>
  </si>
  <si>
    <t>Site</t>
    <phoneticPr fontId="6"/>
  </si>
  <si>
    <t>BMT</t>
    <phoneticPr fontId="6"/>
  </si>
  <si>
    <t>Date</t>
    <phoneticPr fontId="6"/>
  </si>
  <si>
    <t>June 11 - 13, 2025</t>
    <phoneticPr fontId="6"/>
  </si>
  <si>
    <t>QM foundation (management system) 3 axes</t>
    <phoneticPr fontId="6"/>
  </si>
  <si>
    <t>Items</t>
    <phoneticPr fontId="6"/>
  </si>
  <si>
    <t>3 Axes Chart</t>
    <phoneticPr fontId="6"/>
  </si>
  <si>
    <t>Score</t>
    <phoneticPr fontId="6"/>
  </si>
  <si>
    <t>Total Ave</t>
    <phoneticPr fontId="6"/>
  </si>
  <si>
    <t>3 Axes Evaluation</t>
    <phoneticPr fontId="6"/>
  </si>
  <si>
    <t>Risk Detection and Reduction/Continuous Improvement</t>
    <phoneticPr fontId="6"/>
  </si>
  <si>
    <t>Ave</t>
    <phoneticPr fontId="6"/>
  </si>
  <si>
    <t>Distribution</t>
    <phoneticPr fontId="6"/>
  </si>
  <si>
    <t>B+ or more</t>
    <phoneticPr fontId="6"/>
  </si>
  <si>
    <t>B</t>
    <phoneticPr fontId="6"/>
  </si>
  <si>
    <t>B-</t>
    <phoneticPr fontId="6"/>
  </si>
  <si>
    <t>C</t>
    <phoneticPr fontId="6"/>
  </si>
  <si>
    <t>Safety Rule Compliance/Safety Awareness Cultivation</t>
    <phoneticPr fontId="6"/>
  </si>
  <si>
    <t>Risk</t>
    <phoneticPr fontId="6"/>
  </si>
  <si>
    <t>Strengthening of Governance and Systems to Make Quality Management More Effective</t>
    <phoneticPr fontId="6"/>
  </si>
  <si>
    <t>Compliance</t>
    <phoneticPr fontId="6"/>
  </si>
  <si>
    <t>Governance</t>
    <phoneticPr fontId="6"/>
  </si>
  <si>
    <t>QM foundation (management system) 5 axes</t>
    <phoneticPr fontId="6"/>
  </si>
  <si>
    <t>Solidification 5 items</t>
    <phoneticPr fontId="6"/>
  </si>
  <si>
    <t>Ave Score</t>
    <phoneticPr fontId="6"/>
  </si>
  <si>
    <t>Min Score</t>
    <phoneticPr fontId="6"/>
  </si>
  <si>
    <t>Min</t>
    <phoneticPr fontId="6"/>
  </si>
  <si>
    <t>Issue solving</t>
    <phoneticPr fontId="6"/>
  </si>
  <si>
    <t>Risk Management</t>
    <phoneticPr fontId="6"/>
  </si>
  <si>
    <t>Business Strategy Adjustment</t>
    <phoneticPr fontId="6"/>
  </si>
  <si>
    <t>Independency and Continuity</t>
    <phoneticPr fontId="6"/>
  </si>
  <si>
    <t>Integration/ Incorporation</t>
    <phoneticPr fontId="6"/>
  </si>
  <si>
    <t>Comment</t>
    <phoneticPr fontId="6"/>
  </si>
  <si>
    <t>&lt;Improvement Status from the last year's instruction&gt;
 From last year, some issues found in the 2024 assessment have been improved, and at this time, we could observe some items could be more improved.
&lt;Comments from 3 axes points of view&gt;
Safety activities have been conducted and followed-up as plan by EHS team's leadership. Please promote KAIZEN improvement with use of autonomously KY, RA, etc. with reviewing the activities progress and result. Not only making periodical action plan, but we can find other points could be improved.
&lt;Risk&gt;
RIsk management have been well maintained. By comparing the reslut of RA with same machine, process, not only inside plant but other SC plant to realize what/where the risks exist, and how to reduce it.
 *In GENBA tour at this time, we could find some machines that have risks by using one hand swith - should have both hands swith when it is upgraded/renewed. Please see the appendix for detail.
&lt;Compliance&gt;
This area's score is lower than the other two area because of basic training leakage. (BSFA/LOTO)
These kind of basic training should be periodically given to all teammates, to make them understand/remind the contents. Please make sure all training framework again.
&lt;Governance&gt;
Almost safety activities are well managed by action plan and its reviewing. For more works as BMT(plant wide), please confrim all managers understanding of safety activity - why do we need the items in action plan. And make sure of sharing management review from safety/DP point of view with all managers to understand safety safety activities result and what issues do we have.</t>
  </si>
  <si>
    <t>発行日：</t>
    <rPh sb="0" eb="3">
      <t>ハッコウビ</t>
    </rPh>
    <phoneticPr fontId="6"/>
  </si>
  <si>
    <t>Solidification Assessment Safety Instruction</t>
    <phoneticPr fontId="6"/>
  </si>
  <si>
    <t>Site</t>
    <phoneticPr fontId="9"/>
  </si>
  <si>
    <t>継続：現状維持、
レベルアップ：A、B＋、Bレベルへの改善
新規：過去に指摘・提案がない</t>
    <rPh sb="0" eb="2">
      <t>ケイゾク</t>
    </rPh>
    <rPh sb="3" eb="5">
      <t>ゲンジョウ</t>
    </rPh>
    <rPh sb="5" eb="7">
      <t>イジ</t>
    </rPh>
    <rPh sb="22" eb="24">
      <t>シンキ</t>
    </rPh>
    <rPh sb="25" eb="27">
      <t>カコ</t>
    </rPh>
    <rPh sb="30" eb="32">
      <t>シンキ</t>
    </rPh>
    <rPh sb="31" eb="33">
      <t>テイアン</t>
    </rPh>
    <phoneticPr fontId="6"/>
  </si>
  <si>
    <t>Solidification
 5 items</t>
    <phoneticPr fontId="9"/>
  </si>
  <si>
    <t>Point of Evaluation</t>
    <phoneticPr fontId="6"/>
  </si>
  <si>
    <t>Primary Categoty</t>
    <phoneticPr fontId="6"/>
  </si>
  <si>
    <t>Secondary Categoty</t>
    <phoneticPr fontId="9"/>
  </si>
  <si>
    <t>3 Axes Evaluation</t>
    <phoneticPr fontId="9"/>
  </si>
  <si>
    <t>Result</t>
    <phoneticPr fontId="6"/>
  </si>
  <si>
    <t>2026
Target</t>
    <phoneticPr fontId="6"/>
  </si>
  <si>
    <t>Issues and/or Changes</t>
    <phoneticPr fontId="6"/>
  </si>
  <si>
    <t>Instruction
- Items could be Incorporated into MBP</t>
    <phoneticPr fontId="6"/>
  </si>
  <si>
    <t>Implementation Items</t>
    <phoneticPr fontId="6"/>
  </si>
  <si>
    <t>Category</t>
    <phoneticPr fontId="6"/>
  </si>
  <si>
    <t>Continue</t>
    <phoneticPr fontId="6"/>
  </si>
  <si>
    <t>Level up</t>
    <phoneticPr fontId="6"/>
  </si>
  <si>
    <t>New</t>
    <phoneticPr fontId="6"/>
  </si>
  <si>
    <t>Issue solving</t>
    <phoneticPr fontId="9"/>
  </si>
  <si>
    <t>Quickness of issue solving
Deep root cause analysis, standardization and implementation</t>
    <phoneticPr fontId="6"/>
  </si>
  <si>
    <t>Cuntermeasures and Recurrence prevention</t>
    <phoneticPr fontId="9"/>
  </si>
  <si>
    <t>Information Sharing</t>
    <phoneticPr fontId="9"/>
  </si>
  <si>
    <t>A</t>
    <phoneticPr fontId="6"/>
  </si>
  <si>
    <t>Safety incidents which occurred on your site and other sites are informed to all teammates.
H&amp;S risks/measures of other departments are not shared within your site.</t>
    <phoneticPr fontId="6"/>
  </si>
  <si>
    <t>Consider to share H&amp;S risks/measures of other departments.
(ex. Tapping risk is shared with factory operators.)</t>
    <phoneticPr fontId="6"/>
  </si>
  <si>
    <t>Prepare an opportunity to H&amp;S risks/measures of other departments.</t>
    <phoneticPr fontId="6"/>
  </si>
  <si>
    <t>X</t>
    <phoneticPr fontId="6"/>
  </si>
  <si>
    <t>情報展開</t>
    <rPh sb="0" eb="4">
      <t>ジョウホウテンカイ</t>
    </rPh>
    <phoneticPr fontId="26"/>
  </si>
  <si>
    <t>Recurrence
Prevention</t>
    <phoneticPr fontId="9"/>
  </si>
  <si>
    <t>B+</t>
    <phoneticPr fontId="6"/>
  </si>
  <si>
    <t>Injury information was well informed with teammates but some operator could not cleary stated the relation to their operation. (only stated the glass crash accident)</t>
    <phoneticPr fontId="6"/>
  </si>
  <si>
    <t>Not only information itself, but please consider to inform operator including similar/same situation in one's workplace.</t>
    <phoneticPr fontId="6"/>
  </si>
  <si>
    <t>Please consider to instruct supervisors to inform operator including similar/same situation in one's workplace.</t>
    <phoneticPr fontId="6"/>
  </si>
  <si>
    <t>再発防止
対策</t>
    <rPh sb="0" eb="4">
      <t>サイハツボウシ</t>
    </rPh>
    <rPh sb="5" eb="7">
      <t>タイサク</t>
    </rPh>
    <phoneticPr fontId="26"/>
  </si>
  <si>
    <t>Injury
 Reporting</t>
    <phoneticPr fontId="9"/>
  </si>
  <si>
    <t>Keep the current condition.</t>
    <phoneticPr fontId="6"/>
  </si>
  <si>
    <t>-</t>
    <phoneticPr fontId="6"/>
  </si>
  <si>
    <t xml:space="preserve">Continue to report timely. </t>
    <phoneticPr fontId="6"/>
  </si>
  <si>
    <t>災害報告</t>
    <rPh sb="0" eb="4">
      <t>サイガイホウコク</t>
    </rPh>
    <phoneticPr fontId="26"/>
  </si>
  <si>
    <t>Recurrence
Prevention
Process KPI</t>
    <phoneticPr fontId="9"/>
  </si>
  <si>
    <t>Continue to take countermeasures timely.</t>
    <phoneticPr fontId="6"/>
  </si>
  <si>
    <t>類災対策
プロセスKPI</t>
    <rPh sb="0" eb="2">
      <t>ルイサイ</t>
    </rPh>
    <rPh sb="2" eb="4">
      <t>タイサク</t>
    </rPh>
    <phoneticPr fontId="26"/>
  </si>
  <si>
    <t>Risk Management</t>
    <phoneticPr fontId="9"/>
  </si>
  <si>
    <t>Symptom Management for QM defect
Management and analysis of information which is explored, issued</t>
    <phoneticPr fontId="6"/>
  </si>
  <si>
    <t>RA
Progress</t>
    <phoneticPr fontId="9"/>
  </si>
  <si>
    <t>Proceed RA as planned.</t>
    <phoneticPr fontId="6"/>
  </si>
  <si>
    <t>RA評価推進</t>
    <rPh sb="2" eb="4">
      <t>ヒョウカ</t>
    </rPh>
    <rPh sb="4" eb="6">
      <t>スイシン</t>
    </rPh>
    <phoneticPr fontId="26"/>
  </si>
  <si>
    <t>Equipment RA</t>
    <phoneticPr fontId="9"/>
  </si>
  <si>
    <t>Equipment RA has been conducted well but there are still residual risks should be countered/managed.</t>
    <phoneticPr fontId="6"/>
  </si>
  <si>
    <t>Please consider to accelarate equipment RA activity.</t>
    <phoneticPr fontId="6"/>
  </si>
  <si>
    <t>Consider to speed up equipment RA activity to reduce their risks as soon as possible.</t>
    <phoneticPr fontId="6"/>
  </si>
  <si>
    <t>設備RA
プロセスKPI</t>
    <rPh sb="0" eb="2">
      <t>セツビ</t>
    </rPh>
    <phoneticPr fontId="26"/>
  </si>
  <si>
    <t>Task RA</t>
    <phoneticPr fontId="9"/>
  </si>
  <si>
    <t>Task RA has been conducted well but there are still residual risks should be countered/managed.</t>
    <phoneticPr fontId="6"/>
  </si>
  <si>
    <t>Please consider to accelarate task RA activity.</t>
    <phoneticPr fontId="6"/>
  </si>
  <si>
    <t>Consider to speed up task RA activity to reduce their risks as soon as possible.</t>
    <phoneticPr fontId="6"/>
  </si>
  <si>
    <t>作業RA
プロセスKPI</t>
    <rPh sb="0" eb="2">
      <t>サギョウ</t>
    </rPh>
    <phoneticPr fontId="26"/>
  </si>
  <si>
    <t>LOTO</t>
    <phoneticPr fontId="6"/>
  </si>
  <si>
    <t>LOTO training has been conducted only for the operators who conduct LOTO.</t>
    <phoneticPr fontId="6"/>
  </si>
  <si>
    <t>Conduct basic LOTO training to ALL teammates.</t>
    <phoneticPr fontId="6"/>
  </si>
  <si>
    <t>Make plan of LOTO training, and implement them as planned.</t>
    <phoneticPr fontId="6"/>
  </si>
  <si>
    <t>LOTO
運用徹底</t>
  </si>
  <si>
    <t>Training</t>
    <phoneticPr fontId="6"/>
  </si>
  <si>
    <t>Continue to train and confirm teammates' skill/knowledge as your standard.</t>
    <phoneticPr fontId="6"/>
  </si>
  <si>
    <t>TYM/TS</t>
  </si>
  <si>
    <t>Business Strategy Adjustment</t>
    <phoneticPr fontId="9"/>
  </si>
  <si>
    <t>Fundamental enhancement by Cpk and COPQ analysis
QM management assurance across value chain</t>
    <phoneticPr fontId="6"/>
  </si>
  <si>
    <t>Management System</t>
    <phoneticPr fontId="9"/>
  </si>
  <si>
    <t>Policy/
Purpose/
Target</t>
    <phoneticPr fontId="9"/>
  </si>
  <si>
    <t xml:space="preserve">Policy and action pland have been issued and managers understand it. </t>
    <phoneticPr fontId="6"/>
  </si>
  <si>
    <t>Please consider to compare the policy when you consider to update it to make it more effective.</t>
    <phoneticPr fontId="6"/>
  </si>
  <si>
    <t>Consider to have a step to compare the policy when you consider to update.</t>
    <phoneticPr fontId="6"/>
  </si>
  <si>
    <t>教育訓練</t>
  </si>
  <si>
    <t>Implementation
Plan</t>
    <phoneticPr fontId="9"/>
  </si>
  <si>
    <t>Some manager could not clearly stated the resut of last year, and what is updated/improved point(s) in the action plan.</t>
    <phoneticPr fontId="6"/>
  </si>
  <si>
    <t>From previous result, please review the IIP's progress (and good/bad point) and consider to update it to go more forward.</t>
    <phoneticPr fontId="6"/>
  </si>
  <si>
    <t>Consider to have a step to review the result of IIP, and update BMT's safety activity based on the review.</t>
    <phoneticPr fontId="6"/>
  </si>
  <si>
    <t>方針・目的・目標</t>
    <rPh sb="0" eb="2">
      <t>ホウシン</t>
    </rPh>
    <rPh sb="3" eb="5">
      <t>モクテキ</t>
    </rPh>
    <rPh sb="6" eb="8">
      <t>モクヒョウ</t>
    </rPh>
    <phoneticPr fontId="26"/>
  </si>
  <si>
    <t>Audit</t>
    <phoneticPr fontId="9"/>
  </si>
  <si>
    <t>Continue to have internal audit and correspond opportunity for improvement from ISO45001 point of view.</t>
    <phoneticPr fontId="6"/>
  </si>
  <si>
    <t>実施計画</t>
    <rPh sb="0" eb="4">
      <t>ジッシケイカク</t>
    </rPh>
    <phoneticPr fontId="26"/>
  </si>
  <si>
    <t>Independency and Continuity</t>
    <phoneticPr fontId="9"/>
  </si>
  <si>
    <t>Awareness and knowledge for QM</t>
    <phoneticPr fontId="6"/>
  </si>
  <si>
    <t>Independent implementation of BSFA</t>
    <phoneticPr fontId="6"/>
  </si>
  <si>
    <t>BSFA
Training</t>
    <phoneticPr fontId="9"/>
  </si>
  <si>
    <t>Some operator stated that BSFA training is not annually. (few times only)</t>
  </si>
  <si>
    <t>Make sure BSFA training requirement (once a year) and standardize if needed.</t>
  </si>
  <si>
    <t>Standardize and plan BSFA training at least once a year.</t>
  </si>
  <si>
    <t>監査</t>
    <rPh sb="0" eb="2">
      <t>カンサ</t>
    </rPh>
    <phoneticPr fontId="26"/>
  </si>
  <si>
    <t>3S</t>
    <phoneticPr fontId="9"/>
  </si>
  <si>
    <t xml:space="preserve">Workplace 3S is good condition, and almost of area's 3S level 4. </t>
    <phoneticPr fontId="6"/>
  </si>
  <si>
    <t>Keep 3S condition based on 3S guideline.</t>
    <phoneticPr fontId="6"/>
  </si>
  <si>
    <t>For more improvement, communication with the other site could be helpful so please consider to have this kind of opportunity.</t>
    <phoneticPr fontId="6"/>
  </si>
  <si>
    <t>BS共通安全
規定項目
教育</t>
    <rPh sb="2" eb="4">
      <t>キョウツウ</t>
    </rPh>
    <rPh sb="4" eb="6">
      <t>アンゼン</t>
    </rPh>
    <rPh sb="7" eb="9">
      <t>キテイ</t>
    </rPh>
    <rPh sb="9" eb="11">
      <t>コウモク</t>
    </rPh>
    <rPh sb="12" eb="14">
      <t>キョウイク</t>
    </rPh>
    <phoneticPr fontId="26"/>
  </si>
  <si>
    <t>BSFA
Training</t>
  </si>
  <si>
    <t>KYT/
Practical KYT</t>
    <phoneticPr fontId="9"/>
  </si>
  <si>
    <t>Continue KYT activity based on IMD standard.</t>
    <phoneticPr fontId="6"/>
  </si>
  <si>
    <t>3S</t>
  </si>
  <si>
    <t>Autonomously
KY</t>
    <phoneticPr fontId="9"/>
  </si>
  <si>
    <t xml:space="preserve">Autonomous KY activity is well going and updated compare with last year. </t>
    <phoneticPr fontId="6"/>
  </si>
  <si>
    <t>Please consider to visualize KY point in map to make it easy to see which place has high risk.</t>
    <phoneticPr fontId="6"/>
  </si>
  <si>
    <t>Please consider to use the maps to visualize everyone's KY point, and KAIZEN cycle to improve it.</t>
    <phoneticPr fontId="6"/>
  </si>
  <si>
    <t>KYT
実践型KYT</t>
    <rPh sb="4" eb="7">
      <t>ジッセンガタ</t>
    </rPh>
    <phoneticPr fontId="26"/>
  </si>
  <si>
    <t>RA</t>
    <phoneticPr fontId="9"/>
  </si>
  <si>
    <t xml:space="preserve">RA process itself was well maintained by leadership of EHS team. </t>
    <phoneticPr fontId="6"/>
  </si>
  <si>
    <t>Please consider to train teammates in the other process to make them enable to conduct RA process.</t>
    <phoneticPr fontId="6"/>
  </si>
  <si>
    <t>Consider to have RA training to the production department.</t>
    <phoneticPr fontId="6"/>
  </si>
  <si>
    <t>自律的KY
・改善</t>
    <rPh sb="0" eb="3">
      <t>ジリツテキ</t>
    </rPh>
    <rPh sb="7" eb="9">
      <t>カイゼン</t>
    </rPh>
    <phoneticPr fontId="26"/>
  </si>
  <si>
    <t>Safety Rule</t>
    <phoneticPr fontId="9"/>
  </si>
  <si>
    <t>Some operator could not state cleary about their workplace safety rules.
 *Not only BS commmon rules, but SOP including safety point(s)</t>
    <phoneticPr fontId="6"/>
  </si>
  <si>
    <t>Please make sure of all teammates' understandings of their safety rule.</t>
    <phoneticPr fontId="6"/>
  </si>
  <si>
    <t>Consider to have remind/periodical training process to make sure all teammates understanding of safety rule.</t>
    <phoneticPr fontId="6"/>
  </si>
  <si>
    <t>RA</t>
  </si>
  <si>
    <t>4M Change Management</t>
    <phoneticPr fontId="6"/>
  </si>
  <si>
    <t>Continue to manage 4M change.</t>
    <phoneticPr fontId="6"/>
  </si>
  <si>
    <t>安全ルール</t>
    <rPh sb="0" eb="2">
      <t>アンゼン</t>
    </rPh>
    <phoneticPr fontId="26"/>
  </si>
  <si>
    <t>Management System:
P</t>
    <phoneticPr fontId="9"/>
  </si>
  <si>
    <t>Safety IIP has been issued but some manager could not state its backgound. (how/what is updated/improved from last year)</t>
    <phoneticPr fontId="6"/>
  </si>
  <si>
    <t>Please make sure of all manager's understanding of safety IIP.</t>
    <phoneticPr fontId="6"/>
  </si>
  <si>
    <t>Consider to make all manager understand not only safety action plan itself but its background.</t>
    <phoneticPr fontId="6"/>
  </si>
  <si>
    <t>4M変更管理</t>
    <phoneticPr fontId="6"/>
  </si>
  <si>
    <t>Management System:
D</t>
    <phoneticPr fontId="9"/>
  </si>
  <si>
    <t>Safety IIP covers actions for direct employees but not covered the others*. (could not validated) *contructors, hourly employees and so on.</t>
    <phoneticPr fontId="6"/>
  </si>
  <si>
    <t>Consider to add aciton(s) for indirect employees. (contructors etc.)</t>
    <phoneticPr fontId="6"/>
  </si>
  <si>
    <t>Consider to update safety action plan with including actions for indirect employees.</t>
    <phoneticPr fontId="6"/>
  </si>
  <si>
    <t>【モデル工場】
P</t>
    <rPh sb="4" eb="6">
      <t>コウジョウ</t>
    </rPh>
    <phoneticPr fontId="26"/>
  </si>
  <si>
    <t>Management System:
C</t>
    <phoneticPr fontId="9"/>
  </si>
  <si>
    <t>Safety IIP has been followed up but could not see the evidence of GENBA validation.</t>
    <phoneticPr fontId="6"/>
  </si>
  <si>
    <t>For items in safety IIP, please consider to confirm its progress in GENBA situation.</t>
    <phoneticPr fontId="6"/>
  </si>
  <si>
    <t>Consider to validate safety acition items in GENBA situation.</t>
    <phoneticPr fontId="6"/>
  </si>
  <si>
    <t>【モデル工場】
D</t>
    <rPh sb="4" eb="6">
      <t>コウジョウ</t>
    </rPh>
    <phoneticPr fontId="26"/>
  </si>
  <si>
    <t>Management System:
A</t>
    <phoneticPr fontId="9"/>
  </si>
  <si>
    <t>Safety IIP has been updated, but some manager could not state why IIP has been updated or not. (just thinking needs by oneself without reviewing the result of last year)</t>
    <phoneticPr fontId="6"/>
  </si>
  <si>
    <t>Make sure all manager's understanding of updated or shoud be updated part(s) in IIP.</t>
    <phoneticPr fontId="6"/>
  </si>
  <si>
    <t>Consider to have a meeting or something to validate all manager's understanding of IIP - last year's review, issues, good point, and what should be updated or not.</t>
    <phoneticPr fontId="6"/>
  </si>
  <si>
    <t>【モデル工場】
C</t>
    <rPh sb="4" eb="6">
      <t>コウジョウ</t>
    </rPh>
    <phoneticPr fontId="26"/>
  </si>
  <si>
    <t>Integration/ Incorporation</t>
    <phoneticPr fontId="9"/>
  </si>
  <si>
    <t>Resource and Organization for QM</t>
    <phoneticPr fontId="6"/>
  </si>
  <si>
    <t>Plant Management</t>
    <phoneticPr fontId="9"/>
  </si>
  <si>
    <t>Safety Organization</t>
    <phoneticPr fontId="6"/>
  </si>
  <si>
    <t>Continue to keep EHS organization.</t>
    <phoneticPr fontId="6"/>
  </si>
  <si>
    <t>【モデル工場】
A</t>
    <rPh sb="4" eb="6">
      <t>コウジョウ</t>
    </rPh>
    <phoneticPr fontId="26"/>
  </si>
  <si>
    <t>SE</t>
    <phoneticPr fontId="9"/>
  </si>
  <si>
    <t>ー</t>
    <phoneticPr fontId="6"/>
  </si>
  <si>
    <t>Some BMT teammates have taken SE training given by BSJP, but no one assigned as exclusive duty.</t>
    <phoneticPr fontId="6"/>
  </si>
  <si>
    <t>Cosinder to keep SE skill as BMT (plant) unit.</t>
    <phoneticPr fontId="6"/>
  </si>
  <si>
    <t>Cosinder to plan for taking SE training (incuding level-up training) tokeep SE skill as BMT (plant) unit.</t>
    <phoneticPr fontId="6"/>
  </si>
  <si>
    <t>安全組織</t>
    <rPh sb="0" eb="2">
      <t>アンゼン</t>
    </rPh>
    <rPh sb="2" eb="4">
      <t>ソシキ</t>
    </rPh>
    <phoneticPr fontId="26"/>
  </si>
  <si>
    <t>Budget</t>
    <phoneticPr fontId="6"/>
  </si>
  <si>
    <t>Budget for safety was prepared and well managed, but some manager stated safety budget was not enough.</t>
    <phoneticPr fontId="6"/>
  </si>
  <si>
    <t>Make sure all manager's understanding for management of budget - prioriy, validity and so on.</t>
    <phoneticPr fontId="6"/>
  </si>
  <si>
    <t>Make sure of all teammates understanding of budget management.</t>
    <phoneticPr fontId="6"/>
  </si>
  <si>
    <t>安全担当</t>
    <rPh sb="0" eb="4">
      <t>アンゼンタントウ</t>
    </rPh>
    <phoneticPr fontId="26"/>
  </si>
  <si>
    <t>SE</t>
  </si>
  <si>
    <t>安全専任
職長</t>
    <rPh sb="0" eb="4">
      <t>アンゼンセンニン</t>
    </rPh>
    <rPh sb="5" eb="7">
      <t>ショクチョウ</t>
    </rPh>
    <phoneticPr fontId="26"/>
  </si>
  <si>
    <t>予算確保</t>
    <rPh sb="0" eb="2">
      <t>ヨサン</t>
    </rPh>
    <rPh sb="2" eb="4">
      <t>カクホ</t>
    </rPh>
    <phoneticPr fontId="10"/>
  </si>
  <si>
    <t>BSAPIC  CQO</t>
  </si>
  <si>
    <t>D.P. Solidification Report</t>
    <phoneticPr fontId="6"/>
  </si>
  <si>
    <t>Level</t>
  </si>
  <si>
    <t>Comment</t>
  </si>
  <si>
    <t>BSIDp</t>
  </si>
  <si>
    <t>BSIDp has achieved a B level across all three axes, exceeding BSAPIC expectations with no axis falling below the B rating. To further elevate performance to the B+ level, APICTC recommends strengthening system governance and compliance execution through enhanced hot work permit control, improved daily inspection effectiveness, and reinforced competency of responsible personnel. Additionally, proper grounding and bonding conditions must be ensured for gasoline cement equipment through systematic inspection and personnel training. Meanwhile, the inspection program for fire barriers such as firewall and shutter doors should be revised with complete documentation and record traceability. In governance, BSIDp should establish a clear reporting timeline with accountability to ensure that both preliminary and final fire incident reports are submitted to BSAPIC on time with complete root-cause analysis, as well as improve DP inspection resources and clarify the roles and responsibilities to secure consistent inspection quality. These improvements will support operational compliance, enhance DP capability, and strengthen overall governance maturity toward achieving a B+ level.</t>
  </si>
  <si>
    <t>Solidification Assessment - Disaster Prevention [DP]</t>
  </si>
  <si>
    <t>DP Manager</t>
  </si>
  <si>
    <t>Manager</t>
  </si>
  <si>
    <t>Supervisor</t>
  </si>
  <si>
    <t>Operator</t>
  </si>
  <si>
    <t>Judgement Criteria</t>
  </si>
  <si>
    <t>・各項目ごとの最低点を取る Pick the lowest score from each items</t>
    <rPh sb="1" eb="4">
      <t>カクコウモク</t>
    </rPh>
    <rPh sb="7" eb="10">
      <t>サイテイテン</t>
    </rPh>
    <rPh sb="11" eb="12">
      <t>ト</t>
    </rPh>
    <phoneticPr fontId="9"/>
  </si>
  <si>
    <t xml:space="preserve">・各項目は、直近1年間の取り組み状況から判断する Time scope is one year from evaluating </t>
    <rPh sb="1" eb="4">
      <t>カクコウモク</t>
    </rPh>
    <rPh sb="6" eb="8">
      <t>チョッキン</t>
    </rPh>
    <rPh sb="9" eb="10">
      <t>ネン</t>
    </rPh>
    <rPh sb="10" eb="11">
      <t>カン</t>
    </rPh>
    <rPh sb="12" eb="13">
      <t>ト</t>
    </rPh>
    <rPh sb="14" eb="15">
      <t>ク</t>
    </rPh>
    <rPh sb="16" eb="18">
      <t>ジョウキョウ</t>
    </rPh>
    <rPh sb="20" eb="22">
      <t>ハンダン</t>
    </rPh>
    <phoneticPr fontId="9"/>
  </si>
  <si>
    <t xml:space="preserve">・技能員を対象とした設問は、原則として各係・工程から1名以上選出して評価する。  Questions for operators, need to have interview at least one person from production department. </t>
    <rPh sb="1" eb="4">
      <t>ギノウイン</t>
    </rPh>
    <rPh sb="5" eb="7">
      <t>タイショウ</t>
    </rPh>
    <rPh sb="10" eb="12">
      <t>セツモン</t>
    </rPh>
    <rPh sb="14" eb="16">
      <t>ゲンソク</t>
    </rPh>
    <rPh sb="19" eb="20">
      <t>カク</t>
    </rPh>
    <rPh sb="20" eb="21">
      <t>カカリ</t>
    </rPh>
    <rPh sb="22" eb="24">
      <t>コウテイ</t>
    </rPh>
    <rPh sb="27" eb="28">
      <t>メイ</t>
    </rPh>
    <rPh sb="28" eb="30">
      <t>イジョウ</t>
    </rPh>
    <rPh sb="30" eb="32">
      <t>センシュツ</t>
    </rPh>
    <rPh sb="34" eb="36">
      <t>ヒョウカ</t>
    </rPh>
    <phoneticPr fontId="6"/>
  </si>
  <si>
    <t>・計画対比の進捗状況について評価する設問は、評価実施時点での計画対比実施状況を見て判断する In case of question that is asking its progress, that should be evaluated at the day of evaluation.</t>
    <rPh sb="1" eb="3">
      <t>ケイカク</t>
    </rPh>
    <rPh sb="3" eb="5">
      <t>タイヒ</t>
    </rPh>
    <rPh sb="6" eb="8">
      <t>シンチョク</t>
    </rPh>
    <rPh sb="8" eb="10">
      <t>ジョウキョウ</t>
    </rPh>
    <rPh sb="14" eb="16">
      <t>ヒョウカ</t>
    </rPh>
    <rPh sb="18" eb="20">
      <t>セツモン</t>
    </rPh>
    <rPh sb="22" eb="24">
      <t>ヒョウカ</t>
    </rPh>
    <rPh sb="24" eb="26">
      <t>ジッシ</t>
    </rPh>
    <rPh sb="26" eb="28">
      <t>ジテン</t>
    </rPh>
    <rPh sb="30" eb="34">
      <t>ケイカクタイヒ</t>
    </rPh>
    <rPh sb="34" eb="38">
      <t>ジッシジョウキョウ</t>
    </rPh>
    <rPh sb="39" eb="40">
      <t>ミ</t>
    </rPh>
    <rPh sb="41" eb="43">
      <t>ハンダン</t>
    </rPh>
    <phoneticPr fontId="6"/>
  </si>
  <si>
    <t>Solidification
 5 items</t>
  </si>
  <si>
    <t>DP item 
No.</t>
  </si>
  <si>
    <t>Secondary 
Category</t>
  </si>
  <si>
    <t>Current Issues Disposition</t>
  </si>
  <si>
    <t>Potential Risk Prevention</t>
  </si>
  <si>
    <t>Proactive Prevention</t>
  </si>
  <si>
    <t>Independent Quality Management</t>
  </si>
  <si>
    <t>安全/
防災</t>
    <rPh sb="0" eb="2">
      <t>アンゼン</t>
    </rPh>
    <rPh sb="4" eb="6">
      <t>ボウサイ</t>
    </rPh>
    <phoneticPr fontId="6"/>
  </si>
  <si>
    <t>判定記入</t>
    <rPh sb="0" eb="2">
      <t>ハンテイ</t>
    </rPh>
    <rPh sb="2" eb="4">
      <t>キニュウ</t>
    </rPh>
    <phoneticPr fontId="6"/>
  </si>
  <si>
    <t>スコア</t>
    <phoneticPr fontId="6"/>
  </si>
  <si>
    <t>評価</t>
    <rPh sb="0" eb="2">
      <t>ヒョウカ</t>
    </rPh>
    <phoneticPr fontId="6"/>
  </si>
  <si>
    <t>3軸分類</t>
    <rPh sb="1" eb="2">
      <t>ジク</t>
    </rPh>
    <rPh sb="2" eb="4">
      <t>ブンルイ</t>
    </rPh>
    <phoneticPr fontId="6"/>
  </si>
  <si>
    <t>Judge</t>
  </si>
  <si>
    <t>C</t>
  </si>
  <si>
    <t>B-</t>
  </si>
  <si>
    <t>B</t>
  </si>
  <si>
    <t>B+</t>
  </si>
  <si>
    <t>A</t>
  </si>
  <si>
    <t>C</t>
    <phoneticPr fontId="9"/>
  </si>
  <si>
    <t>B-</t>
    <phoneticPr fontId="9"/>
  </si>
  <si>
    <t>B</t>
    <phoneticPr fontId="9"/>
  </si>
  <si>
    <t>B+</t>
    <phoneticPr fontId="9"/>
  </si>
  <si>
    <t>A</t>
    <phoneticPr fontId="9"/>
  </si>
  <si>
    <t>Issue solving</t>
  </si>
  <si>
    <t>Information Sharing</t>
  </si>
  <si>
    <r>
      <rPr>
        <sz val="11"/>
        <color rgb="FF0000FF"/>
        <rFont val="Aptos Narrow"/>
        <family val="2"/>
      </rPr>
      <t>Leadership Involvement in Serious Incidents</t>
    </r>
    <r>
      <rPr>
        <sz val="11"/>
        <rFont val="Aptos Narrow"/>
        <family val="2"/>
      </rPr>
      <t xml:space="preserve">
All teammates stated that, at a minimum, the safety manager and a site leadership representative (e.g., plant manager, department manager, or line manager) were involved in the root cause analysis process whenever a serious incident (e.g., fire) occurred.
(Leadership: Operator: No.5)</t>
    </r>
  </si>
  <si>
    <r>
      <rPr>
        <sz val="11"/>
        <color rgb="FF0000FF"/>
        <rFont val="Aptos Narrow"/>
        <family val="2"/>
      </rPr>
      <t>Informed of Recent Incidents</t>
    </r>
    <r>
      <rPr>
        <sz val="11"/>
        <rFont val="Aptos Narrow"/>
        <family val="2"/>
      </rPr>
      <t xml:space="preserve">
All teammates can confirm that they have been informed of recent D.P.-related incidents (e.g., fire, near-miss) in their areas and that actions have been taken to address these incidents.
</t>
    </r>
    <r>
      <rPr>
        <i/>
        <sz val="9"/>
        <rFont val="Aptos Narrow"/>
        <family val="2"/>
      </rPr>
      <t>If no D.P. incident has occurred since the start of their employment, confirmation will be made based on D.P. incidents that have previously occurred at the site.</t>
    </r>
    <r>
      <rPr>
        <i/>
        <sz val="11"/>
        <rFont val="Aptos Narrow"/>
        <family val="2"/>
      </rPr>
      <t xml:space="preserve">
</t>
    </r>
    <r>
      <rPr>
        <sz val="11"/>
        <rFont val="Aptos Narrow"/>
        <family val="2"/>
      </rPr>
      <t>(Teammate Engagement: Operator: No.7)</t>
    </r>
  </si>
  <si>
    <r>
      <rPr>
        <sz val="11"/>
        <color rgb="FF0000FF"/>
        <rFont val="Aptos Narrow"/>
        <family val="2"/>
      </rPr>
      <t>Understanding of Information Contribution</t>
    </r>
    <r>
      <rPr>
        <sz val="11"/>
        <rFont val="Aptos Narrow"/>
        <family val="2"/>
      </rPr>
      <t xml:space="preserve">
All teammates stated that they are well informed and can explain how the communicated information contributes to strengthening fire prevention.
(System: Operator: No.64)
</t>
    </r>
    <r>
      <rPr>
        <i/>
        <sz val="9"/>
        <rFont val="Aptos Narrow"/>
        <family val="2"/>
      </rPr>
      <t>Information may include fire, smoke, near-miss, etc.
If no D.P. incident has occurred since the start of their employment, confirmation will be based on D.P. incidents that have previously occurred at the site.</t>
    </r>
  </si>
  <si>
    <r>
      <rPr>
        <sz val="11"/>
        <color rgb="FF0000FF"/>
        <rFont val="Aptos Narrow"/>
        <family val="2"/>
      </rPr>
      <t>Examples from Other Facilities</t>
    </r>
    <r>
      <rPr>
        <sz val="11"/>
        <rFont val="Aptos Narrow"/>
        <family val="2"/>
      </rPr>
      <t xml:space="preserve">
Teammates are able to provide examples of fire incidents that occurred at other facilities and can explain how this information was obtained.
(System: Operator: No.110)</t>
    </r>
  </si>
  <si>
    <r>
      <rPr>
        <sz val="11"/>
        <color rgb="FF0000FF"/>
        <rFont val="Aptos Narrow"/>
        <family val="2"/>
      </rPr>
      <t>Cross-site and Cross-department Sharing</t>
    </r>
    <r>
      <rPr>
        <sz val="11"/>
        <rFont val="Aptos Narrow"/>
        <family val="2"/>
      </rPr>
      <t xml:space="preserve">
D.P. risks and measures from other sites or departments have been shared during the safety meeting in your department.
(Teammate Engagement: Operator: No.17)</t>
    </r>
  </si>
  <si>
    <t>防災</t>
    <rPh sb="0" eb="2">
      <t>ボウサイ</t>
    </rPh>
    <phoneticPr fontId="6"/>
  </si>
  <si>
    <t>ガバナンス</t>
    <phoneticPr fontId="6"/>
  </si>
  <si>
    <t>Recurrence
Prevention</t>
  </si>
  <si>
    <r>
      <rPr>
        <sz val="11"/>
        <color rgb="FF0000FF"/>
        <rFont val="Aptos Narrow"/>
        <family val="2"/>
      </rPr>
      <t>Implement prevent the recurrence of incidents</t>
    </r>
    <r>
      <rPr>
        <sz val="11"/>
        <rFont val="Aptos Narrow"/>
        <family val="2"/>
      </rPr>
      <t xml:space="preserve">
There is evidence that actions have been implemented to prevent the recurrence of incidents, and SVs are able to explain these actions.
(System: Safety Manager: No.30) 
*ask SVs</t>
    </r>
  </si>
  <si>
    <r>
      <rPr>
        <sz val="11"/>
        <color rgb="FF0000FF"/>
        <rFont val="Aptos Narrow"/>
        <family val="2"/>
      </rPr>
      <t>OP know and participate</t>
    </r>
    <r>
      <rPr>
        <sz val="11"/>
        <rFont val="Aptos Narrow"/>
        <family val="2"/>
      </rPr>
      <t xml:space="preserve">
In a sample of 3 teammates, at least 1 (more than 33%) stated that they participate in the actions required to prevent D.P. accidents and provide feedback if these actions are not appropriate or effective.
</t>
    </r>
    <r>
      <rPr>
        <sz val="9"/>
        <rFont val="Aptos Narrow"/>
        <family val="2"/>
      </rPr>
      <t>If no D.P. incident has occurred since the start of their employment, in a sample of three teammates, at least one (more than 33%) commented on the need for improvement based on identified problems or defects related to D.P.</t>
    </r>
    <r>
      <rPr>
        <sz val="11"/>
        <rFont val="Aptos Narrow"/>
        <family val="2"/>
      </rPr>
      <t xml:space="preserve">
(Teammate Engagement: Operator: No.6)</t>
    </r>
  </si>
  <si>
    <r>
      <rPr>
        <sz val="11"/>
        <color rgb="FF0000FF"/>
        <rFont val="Aptos Narrow"/>
        <family val="2"/>
      </rPr>
      <t>OP feedback</t>
    </r>
    <r>
      <rPr>
        <sz val="11"/>
        <rFont val="Aptos Narrow"/>
        <family val="2"/>
      </rPr>
      <t xml:space="preserve">
All teammates stated that management has taken specific actions to address the hazards they reported, and that these actions have been communicated back to them. (D.P. point of view)
(Organization: Operator: No.16)</t>
    </r>
  </si>
  <si>
    <r>
      <rPr>
        <sz val="11"/>
        <color rgb="FF0000FF"/>
        <rFont val="Aptos Narrow"/>
        <family val="2"/>
      </rPr>
      <t>Recurrence Prevention action  PDCA and feedback to SBU</t>
    </r>
    <r>
      <rPr>
        <sz val="11"/>
        <rFont val="Aptos Narrow"/>
        <family val="2"/>
      </rPr>
      <t xml:space="preserve">
SVs can explain how such reviews are conducted and why the chosen method(s) are effective, using 4M change examples and other cases. They provide feedback to the SBU and assist in determining appropriate countermeasures.
(Example: Sharing more effective safety measures than those initially proposed by GBS/SBU)
</t>
    </r>
    <r>
      <rPr>
        <i/>
        <sz val="9"/>
        <rFont val="Aptos Narrow"/>
        <family val="2"/>
      </rPr>
      <t>This is subject to countermeasures derived from D.P. incidents, near misses, and defect information raised by operators.</t>
    </r>
    <r>
      <rPr>
        <sz val="11"/>
        <rFont val="Aptos Narrow"/>
        <family val="2"/>
      </rPr>
      <t>(System: Safety Manager: No.140)
 *Ask SVs Manager: No.140)</t>
    </r>
  </si>
  <si>
    <t>リスク</t>
    <phoneticPr fontId="6"/>
  </si>
  <si>
    <t>Fire 
Reporting</t>
    <phoneticPr fontId="6"/>
  </si>
  <si>
    <r>
      <rPr>
        <sz val="11"/>
        <color rgb="FF0000FF"/>
        <rFont val="Aptos Narrow"/>
        <family val="2"/>
      </rPr>
      <t>With SBU Support</t>
    </r>
    <r>
      <rPr>
        <sz val="11"/>
        <rFont val="Aptos Narrow"/>
        <family val="2"/>
      </rPr>
      <t xml:space="preserve">
Issuing fire report with SBU's support.
(DP Manager)</t>
    </r>
  </si>
  <si>
    <r>
      <rPr>
        <sz val="11"/>
        <color rgb="FF0000FF"/>
        <rFont val="Aptos Narrow"/>
        <family val="2"/>
      </rPr>
      <t>Issued but Delayed</t>
    </r>
    <r>
      <rPr>
        <sz val="11"/>
        <rFont val="Aptos Narrow"/>
        <family val="2"/>
      </rPr>
      <t xml:space="preserve">
The fire report was issued by the plant; however, there was a delay beyond the due date specified in the guideline.
(DP Manager)</t>
    </r>
  </si>
  <si>
    <r>
      <rPr>
        <sz val="11"/>
        <color rgb="FF0000FF"/>
        <rFont val="Aptos Narrow"/>
        <family val="2"/>
      </rPr>
      <t>Issued On Time with RCA &amp; Countermeasures</t>
    </r>
    <r>
      <rPr>
        <sz val="11"/>
        <rFont val="Aptos Narrow"/>
        <family val="2"/>
      </rPr>
      <t xml:space="preserve">
The fire report was issued by the plant within the due date standardized in the guideline. Furthermore, the root cause analysis and corresponding countermeasures were completed, and the related report was also issued within the due date specified in the guideline.
(DP Manager)</t>
    </r>
  </si>
  <si>
    <r>
      <rPr>
        <sz val="11"/>
        <color rgb="FF0000FF"/>
        <rFont val="Aptos Narrow"/>
        <family val="2"/>
      </rPr>
      <t>On Time + Countermeasure Expansion &amp; Reporting to SBU</t>
    </r>
    <r>
      <rPr>
        <sz val="11"/>
        <rFont val="Aptos Narrow"/>
        <family val="2"/>
      </rPr>
      <t xml:space="preserve">
The fire report was issued by the plant within the due date standardized in the guideline. The root cause analysis and corresponding countermeasures were also completed, and the report was issued within the required timeframe. In addition, the countermeasures were expanded to similar machines and tasks. After the implementation of the countermeasures, a report was submitted to the SBU.(DP Manager)</t>
    </r>
  </si>
  <si>
    <r>
      <rPr>
        <sz val="11"/>
        <color rgb="FF0000FF"/>
        <rFont val="Aptos Narrow"/>
        <family val="2"/>
      </rPr>
      <t>Periodic Review of Countermeasures</t>
    </r>
    <r>
      <rPr>
        <sz val="11"/>
        <rFont val="Aptos Narrow"/>
        <family val="2"/>
      </rPr>
      <t xml:space="preserve">
Past countermeasures have been periodically re-checked to confirm their implementation status, subject to D.P. incidents that have occurred in the past at the site or in the workplace. At a minimum, progress must be reviewed within 1 year.
(Safety Manager)
 *Also ask SVs</t>
    </r>
  </si>
  <si>
    <t>Recurrence
Prevention
Process KPI</t>
  </si>
  <si>
    <r>
      <rPr>
        <sz val="11"/>
        <color rgb="FF0000FF"/>
        <rFont val="Aptos Narrow"/>
        <family val="2"/>
      </rPr>
      <t>No Plan</t>
    </r>
    <r>
      <rPr>
        <sz val="11"/>
        <rFont val="Aptos Narrow"/>
        <family val="2"/>
      </rPr>
      <t xml:space="preserve">
There is no plan for countermeasures originating from outside of the plant. In this context, “countermeasures” refers to those issued under BSAPIC Request/ Notification.
(DP Manager)</t>
    </r>
  </si>
  <si>
    <r>
      <rPr>
        <sz val="11"/>
        <color rgb="FF0000FF"/>
        <rFont val="Aptos Narrow"/>
        <family val="2"/>
      </rPr>
      <t>Plan but Delayed (No Corrective Action)</t>
    </r>
    <r>
      <rPr>
        <sz val="11"/>
        <rFont val="Aptos Narrow"/>
        <family val="2"/>
      </rPr>
      <t xml:space="preserve">
There is a plan for countermeasures; however, the implementation is delayed, and no corrective plan for addressing the delay has been established.
(DP Manager)</t>
    </r>
  </si>
  <si>
    <r>
      <rPr>
        <sz val="11"/>
        <color rgb="FF0000FF"/>
        <rFont val="Aptos Narrow"/>
        <family val="2"/>
      </rPr>
      <t xml:space="preserve">Plan in Progress </t>
    </r>
    <r>
      <rPr>
        <sz val="11"/>
        <rFont val="Aptos Narrow"/>
        <family val="2"/>
      </rPr>
      <t xml:space="preserve">
There is a countermeasure plan that is currently in progress but not yet completed.
Alternatively, if there is a delay, a corrective plan has been established and is being implemented.
(DP Manager)</t>
    </r>
  </si>
  <si>
    <r>
      <rPr>
        <sz val="11"/>
        <color rgb="FF0000FF"/>
        <rFont val="Aptos Narrow"/>
        <family val="2"/>
      </rPr>
      <t>Do Ahead of Schedule</t>
    </r>
    <r>
      <rPr>
        <sz val="11"/>
        <rFont val="Aptos Narrow"/>
        <family val="2"/>
      </rPr>
      <t xml:space="preserve">
There is a countermeasure plan in place, and progress is ahead of schedule; however, it has not yet been completed.
(DP Manager)</t>
    </r>
  </si>
  <si>
    <r>
      <rPr>
        <sz val="11"/>
        <color rgb="FF0000FF"/>
        <rFont val="Aptos Narrow"/>
        <family val="2"/>
      </rPr>
      <t>All Countermeasures Completed</t>
    </r>
    <r>
      <rPr>
        <sz val="11"/>
        <rFont val="Aptos Narrow"/>
        <family val="2"/>
      </rPr>
      <t xml:space="preserve">
All countermeasures have been completed.
(DP Manager)</t>
    </r>
  </si>
  <si>
    <t>Risk Management</t>
  </si>
  <si>
    <t>Fire RA
Progress</t>
    <phoneticPr fontId="6"/>
  </si>
  <si>
    <r>
      <rPr>
        <sz val="11"/>
        <color rgb="FF0000FF"/>
        <rFont val="Aptos Narrow"/>
        <family val="2"/>
      </rPr>
      <t>Plan Established</t>
    </r>
    <r>
      <rPr>
        <sz val="11"/>
        <rFont val="Aptos Narrow"/>
        <family val="2"/>
      </rPr>
      <t xml:space="preserve">
There is a plan for Fire RA. 
(DP Manager)</t>
    </r>
  </si>
  <si>
    <r>
      <rPr>
        <sz val="11"/>
        <color rgb="FF0000FF"/>
        <rFont val="Aptos Narrow"/>
        <family val="2"/>
      </rPr>
      <t>Plan Delayed (No Corrective Action)</t>
    </r>
    <r>
      <rPr>
        <sz val="11"/>
        <rFont val="Aptos Narrow"/>
        <family val="2"/>
      </rPr>
      <t xml:space="preserve">
There is a plan for Fire RA; however, its implementation is delayed, and no corrective plan has been established to address the delay.
(DP Manager)</t>
    </r>
  </si>
  <si>
    <r>
      <rPr>
        <sz val="11"/>
        <color rgb="FF0000FF"/>
        <rFont val="Aptos Narrow"/>
        <family val="2"/>
      </rPr>
      <t>Plan in Progress</t>
    </r>
    <r>
      <rPr>
        <sz val="11"/>
        <rFont val="Aptos Narrow"/>
        <family val="2"/>
      </rPr>
      <t xml:space="preserve">
There is a plan for Fire RA, which is currently progressing according to the plan.
Alternatively, if there is a delay, a corrective plan has been established and is ongoing.
In some cases, all Fire RAs have already been completed.
</t>
    </r>
    <r>
      <rPr>
        <i/>
        <sz val="9"/>
        <rFont val="Aptos Narrow"/>
        <family val="2"/>
      </rPr>
      <t>The contents of the assessment sheet should be confirmed.</t>
    </r>
    <r>
      <rPr>
        <sz val="11"/>
        <rFont val="Aptos Narrow"/>
        <family val="2"/>
      </rPr>
      <t xml:space="preserve">
(DP Manager)</t>
    </r>
  </si>
  <si>
    <r>
      <rPr>
        <sz val="11"/>
        <color rgb="FF0000FF"/>
        <rFont val="Aptos Narrow"/>
        <family val="2"/>
      </rPr>
      <t>Results Shared – Risk III/IV</t>
    </r>
    <r>
      <rPr>
        <sz val="11"/>
        <rFont val="Aptos Narrow"/>
        <family val="2"/>
      </rPr>
      <t xml:space="preserve">
The results of the Fire RA have been shared within the plant. Operators are informed of the risks and countermeasures for Gross Risk III/IV. If no Risk III/IV exists, they are informed accordingly.
(DP Manager)  *Ask SVs</t>
    </r>
  </si>
  <si>
    <r>
      <rPr>
        <sz val="11"/>
        <color rgb="FF0000FF"/>
        <rFont val="Aptos Narrow"/>
        <family val="2"/>
      </rPr>
      <t>Results Shared &amp; Understood – Risk I/II Awareness</t>
    </r>
    <r>
      <rPr>
        <sz val="11"/>
        <rFont val="Aptos Narrow"/>
        <family val="2"/>
      </rPr>
      <t xml:space="preserve">
The results of the Fire RA have been shared within the plant, and all teammates have demonstrated understanding.
Operators are informed of the risks and countermeasures for Gross Risk III/IV. If no Risk III/IV exists, operators are made aware of the high-risk areas in their plant or process categorized under Risk I/II.
(Operators)</t>
    </r>
  </si>
  <si>
    <t>Fire RA</t>
    <phoneticPr fontId="6"/>
  </si>
  <si>
    <r>
      <rPr>
        <sz val="11"/>
        <color rgb="FF0000FF"/>
        <rFont val="Aptos Narrow"/>
        <family val="2"/>
      </rPr>
      <t>No Plan</t>
    </r>
    <r>
      <rPr>
        <sz val="11"/>
        <rFont val="Aptos Narrow"/>
        <family val="2"/>
      </rPr>
      <t xml:space="preserve">
There is no countermeasure plan in place for the risks detected by the Fire RA.
(D.P. Manager)</t>
    </r>
  </si>
  <si>
    <r>
      <rPr>
        <sz val="11"/>
        <color rgb="FF0000FF"/>
        <rFont val="Aptos Narrow"/>
        <family val="2"/>
      </rPr>
      <t>Delay without Corrective Plan</t>
    </r>
    <r>
      <rPr>
        <sz val="11"/>
        <rFont val="Aptos Narrow"/>
        <family val="2"/>
      </rPr>
      <t xml:space="preserve">
There is a plan for countermeasures for the fire risk; however, the implementation is delayed, and no corrective plan has been established.
(DP Manager)</t>
    </r>
  </si>
  <si>
    <r>
      <rPr>
        <sz val="11"/>
        <color rgb="FF0000FF"/>
        <rFont val="Aptos Narrow"/>
        <family val="2"/>
      </rPr>
      <t xml:space="preserve">Ongoing / Delay with Corrective Plan
</t>
    </r>
    <r>
      <rPr>
        <sz val="11"/>
        <rFont val="Aptos Narrow"/>
        <family val="2"/>
      </rPr>
      <t>There is a plan for countermeasures for the fire risk, and it is progressing according to schedule. Alternatively, if there is a delay, a corrective plan has been established and is currently being implemented.</t>
    </r>
    <r>
      <rPr>
        <sz val="11"/>
        <color rgb="FF0000FF"/>
        <rFont val="Aptos Narrow"/>
        <family val="2"/>
      </rPr>
      <t xml:space="preserve">
</t>
    </r>
    <r>
      <rPr>
        <sz val="11"/>
        <rFont val="Aptos Narrow"/>
        <family val="2"/>
      </rPr>
      <t>(DP Manager)</t>
    </r>
  </si>
  <si>
    <r>
      <rPr>
        <sz val="11"/>
        <color rgb="FF0000FF"/>
        <rFont val="Aptos Narrow"/>
        <family val="2"/>
      </rPr>
      <t>Ahead of Schedule</t>
    </r>
    <r>
      <rPr>
        <sz val="11"/>
        <rFont val="Aptos Narrow"/>
        <family val="2"/>
      </rPr>
      <t xml:space="preserve">
There is a plan for countermeasures for the fire risk, and progress is ahead of schedule, though completion has not yet been achieved.
(DP Manager)</t>
    </r>
  </si>
  <si>
    <r>
      <rPr>
        <sz val="11"/>
        <color rgb="FF0000FF"/>
        <rFont val="Aptos Narrow"/>
        <family val="2"/>
      </rPr>
      <t>Completed / Not Applicable</t>
    </r>
    <r>
      <rPr>
        <sz val="11"/>
        <rFont val="Aptos Narrow"/>
        <family val="2"/>
      </rPr>
      <t xml:space="preserve">
All countermeasures for Fire Risk III and IV have been completed, or no Fire Risk III and IV have been identified.
(DP Manager)</t>
    </r>
  </si>
  <si>
    <t>DP
Inspection</t>
    <phoneticPr fontId="6"/>
  </si>
  <si>
    <r>
      <rPr>
        <sz val="11"/>
        <color rgb="FF0000FF"/>
        <rFont val="Aptos Narrow"/>
        <family val="2"/>
      </rPr>
      <t>Planned</t>
    </r>
    <r>
      <rPr>
        <sz val="11"/>
        <rFont val="Aptos Narrow"/>
        <family val="2"/>
      </rPr>
      <t xml:space="preserve">
Inspection items (based on legal &amp; BS requirements) are determined at the plant, and there is a plan for inspection.
(DP Manager)</t>
    </r>
  </si>
  <si>
    <r>
      <rPr>
        <sz val="11"/>
        <color rgb="FF0000FF"/>
        <rFont val="Aptos Narrow"/>
        <family val="2"/>
      </rPr>
      <t>Delayed – No Corrective Plan</t>
    </r>
    <r>
      <rPr>
        <sz val="11"/>
        <rFont val="Aptos Narrow"/>
        <family val="2"/>
      </rPr>
      <t xml:space="preserve">
Inspection items (based on legal &amp; BS requirements) are determined at the plant, and there is a plan for inspection; however, the plan is delayed, and no corrective plan has been established.
(DP Manager)</t>
    </r>
  </si>
  <si>
    <r>
      <rPr>
        <sz val="11"/>
        <color rgb="FF0000FF"/>
        <rFont val="Aptos Narrow"/>
        <family val="2"/>
      </rPr>
      <t>Ongoing / Delayed with Corrective Plan</t>
    </r>
    <r>
      <rPr>
        <sz val="11"/>
        <rFont val="Aptos Narrow"/>
        <family val="2"/>
      </rPr>
      <t xml:space="preserve">
Inspection items  (based on legal &amp; BS requirements) are determined at the site, and there is a plan for inspection. The plan is ongoing, with evidence that inspections have been conducted as scheduled.
Alternatively, if there is a delay, a corrective plan has been established and is currently in progress.
(DP Manager)</t>
    </r>
  </si>
  <si>
    <r>
      <rPr>
        <sz val="11"/>
        <color rgb="FF0000FF"/>
        <rFont val="Aptos Narrow"/>
        <family val="2"/>
      </rPr>
      <t>NG Shared</t>
    </r>
    <r>
      <rPr>
        <sz val="11"/>
        <rFont val="Aptos Narrow"/>
        <family val="2"/>
      </rPr>
      <t xml:space="preserve">
Inspection NG items have been shared within the plant through meetings and other communication channels.
(DP Manager)</t>
    </r>
  </si>
  <si>
    <r>
      <rPr>
        <sz val="11"/>
        <color rgb="FF0000FF"/>
        <rFont val="Aptos Narrow"/>
        <family val="2"/>
      </rPr>
      <t>Continuous Improvement</t>
    </r>
    <r>
      <rPr>
        <sz val="11"/>
        <rFont val="Aptos Narrow"/>
        <family val="2"/>
      </rPr>
      <t xml:space="preserve">
Inspection items (including standards and procedures) have, in some cases, been </t>
    </r>
    <r>
      <rPr>
        <sz val="11"/>
        <color rgb="FF0000FF"/>
        <rFont val="Aptos Narrow"/>
        <family val="2"/>
      </rPr>
      <t>reviewed and updated based on inspection results.</t>
    </r>
    <r>
      <rPr>
        <sz val="11"/>
        <rFont val="Aptos Narrow"/>
        <family val="2"/>
      </rPr>
      <t xml:space="preserve">
(DP Manager)</t>
    </r>
  </si>
  <si>
    <t>Electrical Wiring Inspection</t>
    <phoneticPr fontId="6"/>
  </si>
  <si>
    <r>
      <rPr>
        <sz val="11"/>
        <color rgb="FF0000FF"/>
        <rFont val="Aptos Narrow"/>
        <family val="2"/>
      </rPr>
      <t>Not Conducted / No Plan</t>
    </r>
    <r>
      <rPr>
        <sz val="11"/>
        <rFont val="Aptos Narrow"/>
        <family val="2"/>
      </rPr>
      <t xml:space="preserve">
Inspection to identify defective wiring has not been conducted at the seven visual checkpoints, or there is no plan in place to conduct it.
(Including items such as outlets, plugs, overcapacity, tangled cords, electric drums)
(DP manager)</t>
    </r>
  </si>
  <si>
    <r>
      <rPr>
        <sz val="11"/>
        <color rgb="FF0000FF"/>
        <rFont val="Aptos Narrow"/>
        <family val="2"/>
      </rPr>
      <t>Conducted but Delayed</t>
    </r>
    <r>
      <rPr>
        <sz val="11"/>
        <rFont val="Aptos Narrow"/>
        <family val="2"/>
      </rPr>
      <t xml:space="preserve">
Inspection has been conducted and there is a plan in place; however, implementation is delayed at the plant.
Defects identified have been immediately corrected.
At least one inspection point in GENBA should be validated.
(DP manager)</t>
    </r>
  </si>
  <si>
    <r>
      <rPr>
        <sz val="11"/>
        <color rgb="FF0000FF"/>
        <rFont val="Aptos Narrow"/>
        <family val="2"/>
      </rPr>
      <t>Ongoing / Delayed with Corrective Plan</t>
    </r>
    <r>
      <rPr>
        <sz val="11"/>
        <rFont val="Aptos Narrow"/>
        <family val="2"/>
      </rPr>
      <t xml:space="preserve">
There is a plan for countermeasures based on the defect wiring inspection, and it is progressing according to the plan.
Alternatively, if there is a delay, a corrective plan has been established and is currently ongoing.
</t>
    </r>
    <r>
      <rPr>
        <sz val="11"/>
        <color rgb="FF0000FF"/>
        <rFont val="Aptos Narrow"/>
        <family val="2"/>
      </rPr>
      <t>Inspection records of electrical wiring must be confirmed.</t>
    </r>
    <r>
      <rPr>
        <sz val="11"/>
        <rFont val="Aptos Narrow"/>
        <family val="2"/>
      </rPr>
      <t xml:space="preserve">
(DP Manager)</t>
    </r>
  </si>
  <si>
    <r>
      <rPr>
        <sz val="11"/>
        <color rgb="FF0000FF"/>
        <rFont val="Aptos Narrow"/>
        <family val="2"/>
      </rPr>
      <t>Ahead of Schedule</t>
    </r>
    <r>
      <rPr>
        <sz val="11"/>
        <rFont val="Aptos Narrow"/>
        <family val="2"/>
      </rPr>
      <t xml:space="preserve">
There is a plan for countermeasures from the defect wiring inspection, and progress is ahead of schedule, though not yet completed.
(DP manager)</t>
    </r>
  </si>
  <si>
    <r>
      <rPr>
        <sz val="11"/>
        <color rgb="FF0000FF"/>
        <rFont val="Aptos Narrow"/>
        <family val="2"/>
      </rPr>
      <t>Completed / No Defects</t>
    </r>
    <r>
      <rPr>
        <sz val="11"/>
        <rFont val="Aptos Narrow"/>
        <family val="2"/>
      </rPr>
      <t xml:space="preserve">
Based on the results of the electrical wiring inspection, no defects requiring countermeasures were identified.
(All countermeasures have been completed and no defects were detected.)
</t>
    </r>
    <r>
      <rPr>
        <sz val="11"/>
        <color rgb="FF0000FF"/>
        <rFont val="Aptos Narrow"/>
        <family val="2"/>
      </rPr>
      <t>At least one GENBA should be validated.</t>
    </r>
  </si>
  <si>
    <t>Abnormal noise/ vibration and temperature inspection
(Motor, M/C moving part)</t>
  </si>
  <si>
    <r>
      <rPr>
        <sz val="11"/>
        <color rgb="FF0000FF"/>
        <rFont val="Aptos Narrow"/>
        <family val="2"/>
      </rPr>
      <t>Not Conducted / No Plan</t>
    </r>
    <r>
      <rPr>
        <sz val="11"/>
        <rFont val="Aptos Narrow"/>
        <family val="2"/>
      </rPr>
      <t xml:space="preserve">
Noise/Vibration and Temperature inspection has not been conducted, or there is no plan in place to conduct it.
At least one case in GENBA must be validated.
(DP manager)</t>
    </r>
  </si>
  <si>
    <r>
      <rPr>
        <sz val="11"/>
        <color rgb="FF0000FF"/>
        <rFont val="Aptos Narrow"/>
        <family val="2"/>
      </rPr>
      <t xml:space="preserve">Conducted but Delayed
</t>
    </r>
    <r>
      <rPr>
        <sz val="11"/>
        <rFont val="Aptos Narrow"/>
        <family val="2"/>
      </rPr>
      <t>Noise/Vibration and Temperature inspection has been conducted, and there is a plan in place; however, the plan is delayed.
At least one case in GENBA must be validated.
(DP manager)</t>
    </r>
  </si>
  <si>
    <r>
      <rPr>
        <sz val="11"/>
        <color rgb="FF0000FF"/>
        <rFont val="Aptos Narrow"/>
        <family val="2"/>
      </rPr>
      <t xml:space="preserve">Ongoing / Delayed with Corrective Plan / Completed
</t>
    </r>
    <r>
      <rPr>
        <sz val="11"/>
        <rFont val="Aptos Narrow"/>
        <family val="2"/>
      </rPr>
      <t>There is a plan for countermeasures from the Noise/Vibration and Temperature inspection, and it is progressing according to the plan.
Alternatively, if there is a delay, a corrective plan has been established and is currently ongoing.
In some cases, all countermeasures have already been completed.
(DP manager)</t>
    </r>
  </si>
  <si>
    <r>
      <rPr>
        <sz val="11"/>
        <color rgb="FF0000FF"/>
        <rFont val="Aptos Narrow"/>
        <family val="2"/>
      </rPr>
      <t>Ahead of Schedule</t>
    </r>
    <r>
      <rPr>
        <sz val="11"/>
        <rFont val="Aptos Narrow"/>
        <family val="2"/>
      </rPr>
      <t xml:space="preserve">
There is a plan for countermeasures from the Noise/Vibration and Temperature inspection, and progress is ahead of schedule, though not yet completed.
(DP Manager)</t>
    </r>
  </si>
  <si>
    <r>
      <rPr>
        <sz val="11"/>
        <color rgb="FF0000FF"/>
        <rFont val="Aptos Narrow"/>
        <family val="2"/>
      </rPr>
      <t>Completed / No Defects</t>
    </r>
    <r>
      <rPr>
        <sz val="11"/>
        <rFont val="Aptos Narrow"/>
        <family val="2"/>
      </rPr>
      <t xml:space="preserve">
Based on the results of the Noise/Vibration and Temperature inspection, no defects requiring countermeasures were identified.
(All countermeasures have been completed and no defects were detected.)
At least one GENBA must be validated.
(DP manager)</t>
    </r>
  </si>
  <si>
    <t>Business Strategy Adjustment</t>
  </si>
  <si>
    <t>Policy/
Purpose/
Target</t>
    <phoneticPr fontId="6"/>
  </si>
  <si>
    <r>
      <rPr>
        <sz val="11"/>
        <color rgb="FF0000FF"/>
        <rFont val="Aptos Narrow"/>
        <family val="2"/>
      </rPr>
      <t>Not Issued</t>
    </r>
    <r>
      <rPr>
        <sz val="11"/>
        <rFont val="Aptos Narrow"/>
        <family val="2"/>
      </rPr>
      <t xml:space="preserve">
D.P. policy/target has not been issued.
(DP Manager)</t>
    </r>
  </si>
  <si>
    <r>
      <rPr>
        <sz val="11"/>
        <color rgb="FF0000FF"/>
        <rFont val="Aptos Narrow"/>
        <family val="2"/>
      </rPr>
      <t>Management have Information</t>
    </r>
    <r>
      <rPr>
        <sz val="11"/>
        <rFont val="Aptos Narrow"/>
        <family val="2"/>
      </rPr>
      <t xml:space="preserve">
Management can show the site's OH&amp;S objectives and goals. 
(System: Manager: No.66)
 *Ask Manager (not safety)</t>
    </r>
  </si>
  <si>
    <r>
      <rPr>
        <sz val="11"/>
        <color rgb="FF0000FF"/>
        <rFont val="Aptos Narrow"/>
        <family val="2"/>
      </rPr>
      <t>Management Understanding</t>
    </r>
    <r>
      <rPr>
        <sz val="11"/>
        <rFont val="Aptos Narrow"/>
        <family val="2"/>
      </rPr>
      <t xml:space="preserve">
Management can describe and explain the site's OH&amp;S objectives and goals. 
(System: Manager: No.66)
 *Ask Manager (not safety)</t>
    </r>
  </si>
  <si>
    <r>
      <rPr>
        <sz val="11"/>
        <color rgb="FF0000FF"/>
        <rFont val="Aptos Narrow"/>
        <family val="2"/>
      </rPr>
      <t>Planned Goals Aligned with Risks</t>
    </r>
    <r>
      <rPr>
        <sz val="11"/>
        <rFont val="Aptos Narrow"/>
        <family val="2"/>
      </rPr>
      <t xml:space="preserve">
The plan contains goals to be achieved which are relevant to the incidents and risks identified by the SBU.
(System: Manager: No.98)
 *Ask Manager (not safety)</t>
    </r>
  </si>
  <si>
    <r>
      <rPr>
        <sz val="11"/>
        <color rgb="FF0000FF"/>
        <rFont val="Aptos Narrow"/>
        <family val="2"/>
      </rPr>
      <t>Benchmarking</t>
    </r>
    <r>
      <rPr>
        <sz val="11"/>
        <rFont val="Aptos Narrow"/>
        <family val="2"/>
      </rPr>
      <t xml:space="preserve">
There is evidence of OH&amp;S benchmarking with other sites.
(System: DP Manager: No.123)</t>
    </r>
  </si>
  <si>
    <t>Implementation
Plan</t>
    <phoneticPr fontId="6"/>
  </si>
  <si>
    <r>
      <rPr>
        <sz val="11"/>
        <color rgb="FF0000FF"/>
        <rFont val="Aptos Narrow"/>
        <family val="2"/>
      </rPr>
      <t>Basic KPI Tracking</t>
    </r>
    <r>
      <rPr>
        <sz val="11"/>
        <rFont val="Aptos Narrow"/>
        <family val="2"/>
      </rPr>
      <t xml:space="preserve">
D.P. KPIs are tracked at the plant, department, and line level.
Site leadership follows D.P. KPIs and provides directions to review the D.P. program if necessary.(Leadership: Plant Manager: No.6)
 *Ask Manager (not safety)</t>
    </r>
  </si>
  <si>
    <r>
      <rPr>
        <sz val="11"/>
        <color rgb="FF0000FF"/>
        <rFont val="Aptos Narrow"/>
        <family val="2"/>
      </rPr>
      <t>KPI Tracking with Corrective Actions</t>
    </r>
    <r>
      <rPr>
        <sz val="11"/>
        <rFont val="Aptos Narrow"/>
        <family val="2"/>
      </rPr>
      <t xml:space="preserve">
D.P. KPIs are tracked consistently at multiple levels.
If delays or issues are identified, corrective actions are planned and are in progress to ensure alignment with D.P. objectives.(Leadership: Plant Manager: No.6)
 *Ask Manager (not safety)</t>
    </r>
  </si>
  <si>
    <r>
      <rPr>
        <sz val="11"/>
        <color rgb="FF0000FF"/>
        <rFont val="Aptos Narrow"/>
        <family val="2"/>
      </rPr>
      <t>Advanced KPI Tracking (Leading &amp; Lagging Indicators)</t>
    </r>
    <r>
      <rPr>
        <sz val="11"/>
        <rFont val="Aptos Narrow"/>
        <family val="2"/>
      </rPr>
      <t xml:space="preserve">
D.P. KPIs are tracked positively at the plant, department, and line level, using both leading indicators (e.g., training completion rate, inspection results) and lagging indicators (e.g., number of fires).
Site leadership monitors both types of indicators and provides directions to review and improve D.P. programs as necessary.
(Leadership: Plant Manager: No.14)
 *Ask Manager (not safety)</t>
    </r>
  </si>
  <si>
    <r>
      <rPr>
        <sz val="11"/>
        <color rgb="FF0000FF"/>
        <rFont val="Aptos Narrow"/>
        <family val="2"/>
      </rPr>
      <t>Strategic Implementation &amp; Continuous Review</t>
    </r>
    <r>
      <rPr>
        <sz val="11"/>
        <rFont val="Aptos Narrow"/>
        <family val="2"/>
      </rPr>
      <t xml:space="preserve">
The Plant Manager can describe the D.P. strategy, its goals, and the approach to achieve them.
The strategy is reviewed quarterly to assess progress and validity, with revisions or instructions implemented by the Plant Manager.(Leadership: Plant manager: No.21)
 *Ask Manager (not safety)</t>
    </r>
  </si>
  <si>
    <t>Audit</t>
  </si>
  <si>
    <r>
      <rPr>
        <sz val="11"/>
        <color rgb="FF0000FF"/>
        <rFont val="Aptos Narrow"/>
        <family val="2"/>
      </rPr>
      <t>Not Conducted</t>
    </r>
    <r>
      <rPr>
        <sz val="11"/>
        <rFont val="Aptos Narrow"/>
        <family val="2"/>
      </rPr>
      <t xml:space="preserve">
Internal audit has not been conducted.
(DP Manager)</t>
    </r>
  </si>
  <si>
    <r>
      <rPr>
        <sz val="11"/>
        <color rgb="FF0000FF"/>
        <rFont val="Aptos Narrow"/>
        <family val="2"/>
      </rPr>
      <t>Conducted – Not Shared</t>
    </r>
    <r>
      <rPr>
        <sz val="11"/>
        <rFont val="Aptos Narrow"/>
        <family val="2"/>
      </rPr>
      <t xml:space="preserve">
Internal audit has been conducted, but the results have not been shared within the plant.
(DP Manager)</t>
    </r>
  </si>
  <si>
    <r>
      <rPr>
        <sz val="11"/>
        <color rgb="FF0000FF"/>
        <rFont val="Aptos Narrow"/>
        <family val="2"/>
      </rPr>
      <t>Conducted – Shared</t>
    </r>
    <r>
      <rPr>
        <sz val="11"/>
        <rFont val="Aptos Narrow"/>
        <family val="2"/>
      </rPr>
      <t xml:space="preserve">
Internal audit has been conducted, and the results have been shared within the plant, including with managers.
(DP Manager)</t>
    </r>
  </si>
  <si>
    <r>
      <rPr>
        <sz val="11"/>
        <color rgb="FF0000FF"/>
        <rFont val="Aptos Narrow"/>
        <family val="2"/>
      </rPr>
      <t>KAIZEN Plan &amp; Implementation</t>
    </r>
    <r>
      <rPr>
        <sz val="11"/>
        <rFont val="Aptos Narrow"/>
        <family val="2"/>
      </rPr>
      <t xml:space="preserve">
Based on the results of the internal audit, a KAIZEN plan has been developed and implemented according to the plan.
(DP Manager)</t>
    </r>
  </si>
  <si>
    <r>
      <rPr>
        <sz val="11"/>
        <color rgb="FF0000FF"/>
        <rFont val="Aptos Narrow"/>
        <family val="2"/>
      </rPr>
      <t>No Non-Conformities in QM Audit</t>
    </r>
    <r>
      <rPr>
        <sz val="11"/>
        <rFont val="Aptos Narrow"/>
        <family val="2"/>
      </rPr>
      <t xml:space="preserve">
There is no non-conformity (Major/Minor) identified in the QM audit.
(DP Manager)</t>
    </r>
  </si>
  <si>
    <t>Independency and Continuity</t>
  </si>
  <si>
    <t>3S
for flammable/ combustible material storage</t>
  </si>
  <si>
    <r>
      <rPr>
        <sz val="11"/>
        <color rgb="FF0000FF"/>
        <rFont val="Aptos Narrow"/>
        <family val="2"/>
      </rPr>
      <t>Documentation &amp; Self-Check</t>
    </r>
    <r>
      <rPr>
        <sz val="11"/>
        <rFont val="Aptos Narrow"/>
        <family val="2"/>
      </rPr>
      <t xml:space="preserve">
3S documents are displayed in flammable/combustible material storage, chemical storage, and paint storage areas, with evidence of compliance.
Self-checks have been implemented.
(System: Operator: No.75)</t>
    </r>
  </si>
  <si>
    <r>
      <rPr>
        <sz val="11"/>
        <color rgb="FF0000FF"/>
        <rFont val="Aptos Narrow"/>
        <family val="2"/>
      </rPr>
      <t>3S Organization &amp; Leadership</t>
    </r>
    <r>
      <rPr>
        <sz val="11"/>
        <rFont val="Aptos Narrow"/>
        <family val="2"/>
      </rPr>
      <t xml:space="preserve">
There is an officially appointed 3S leader on site.
There is evidence of 3S inspections and recommended actions for improvement.
A 3S promotion organization for each process is clearly defined, with group leaders and members appointed.
(System: Safety Manager: No.44+45)
*Ask SVs</t>
    </r>
  </si>
  <si>
    <r>
      <rPr>
        <sz val="11"/>
        <color rgb="FF0000FF"/>
        <rFont val="Aptos Narrow"/>
        <family val="2"/>
      </rPr>
      <t xml:space="preserve">Visual Standards &amp; Workplace Cleanliness
</t>
    </r>
    <r>
      <rPr>
        <sz val="11"/>
        <rFont val="Aptos Narrow"/>
        <family val="2"/>
      </rPr>
      <t>The 3S Visual Standard has been established.
All inspected work areas (production and office) are maintained as per the standard: clean floors, no spillages, and no unnecessary objects not currently in use.
(System: Operator: No.75)</t>
    </r>
  </si>
  <si>
    <r>
      <rPr>
        <sz val="11"/>
        <color rgb="FF0000FF"/>
        <rFont val="Aptos Narrow"/>
        <family val="2"/>
      </rPr>
      <t>Continuous Improvement</t>
    </r>
    <r>
      <rPr>
        <sz val="11"/>
        <rFont val="Aptos Narrow"/>
        <family val="2"/>
      </rPr>
      <t xml:space="preserve">
3S activities aimed at raising the 3S level have been implemented.
(Improvement of the 3S level can be confirmed, or the 3S level is above 4.)
(System: Operator: No.105)</t>
    </r>
  </si>
  <si>
    <r>
      <rPr>
        <sz val="11"/>
        <color rgb="FF0000FF"/>
        <rFont val="Aptos Narrow"/>
        <family val="2"/>
      </rPr>
      <t>Best Practice Integration &amp; Benchmarking</t>
    </r>
    <r>
      <rPr>
        <sz val="11"/>
        <rFont val="Aptos Narrow"/>
        <family val="2"/>
      </rPr>
      <t xml:space="preserve">
Best practices on 3S have been collected from other plants/industries and incorporated into site procedures, with evidence of benchmarking or comparison with other plants.
(System: DP Manager: No.133)</t>
    </r>
  </si>
  <si>
    <t>DP KYT</t>
  </si>
  <si>
    <r>
      <rPr>
        <sz val="11"/>
        <color rgb="FF0000FF"/>
        <rFont val="Aptos Narrow"/>
        <family val="2"/>
      </rPr>
      <t>Not Implemented</t>
    </r>
    <r>
      <rPr>
        <sz val="11"/>
        <rFont val="Aptos Narrow"/>
        <family val="2"/>
      </rPr>
      <t xml:space="preserve">
DP KYT has not been implemented.
(Safety Manager)
　*Ask SVs</t>
    </r>
  </si>
  <si>
    <r>
      <rPr>
        <sz val="11"/>
        <color rgb="FF0000FF"/>
        <rFont val="Aptos Narrow"/>
        <family val="2"/>
      </rPr>
      <t>Process Defined &amp; Communicated</t>
    </r>
    <r>
      <rPr>
        <sz val="11"/>
        <rFont val="Aptos Narrow"/>
        <family val="2"/>
      </rPr>
      <t xml:space="preserve">
There is evidence of a defined DP KYT process that has been communicated with all staff at least once in the past year.
(System: Manager: No.26)
　*Ask SVs</t>
    </r>
  </si>
  <si>
    <r>
      <rPr>
        <sz val="11"/>
        <color rgb="FF0000FF"/>
        <rFont val="Aptos Narrow"/>
        <family val="2"/>
      </rPr>
      <t>Leadership &amp; Representation</t>
    </r>
    <r>
      <rPr>
        <sz val="11"/>
        <rFont val="Aptos Narrow"/>
        <family val="2"/>
      </rPr>
      <t xml:space="preserve">
There is an officially appointed DP KYT leader and DP KYT representatives on site.
(System: Manager: No.55)
　*Ask SVs</t>
    </r>
  </si>
  <si>
    <r>
      <rPr>
        <sz val="11"/>
        <color rgb="FF0000FF"/>
        <rFont val="Aptos Narrow"/>
        <family val="2"/>
      </rPr>
      <t>Participation &amp; Recordkeeping</t>
    </r>
    <r>
      <rPr>
        <sz val="11"/>
        <rFont val="Aptos Narrow"/>
        <family val="2"/>
      </rPr>
      <t xml:space="preserve">
DP KYT records show that all teammates and temporary staff have submitted a DP KYT within the last 3 months.
Records confirm that DP KYT is conducted periodically in accordance with SBU and/or site standards, and participation includes everyone on site.(System: Safety Manager: No.83+112)
　*Ask SVs</t>
    </r>
  </si>
  <si>
    <r>
      <rPr>
        <sz val="11"/>
        <color rgb="FF0000FF"/>
        <rFont val="Aptos Narrow"/>
        <family val="2"/>
      </rPr>
      <t>Evaluation &amp; Continuous Improvement</t>
    </r>
    <r>
      <rPr>
        <sz val="11"/>
        <rFont val="Aptos Narrow"/>
        <family val="2"/>
      </rPr>
      <t xml:space="preserve">
DP KYT activities are evaluated annually, and opportunities for improvement are discussed with the Plant Manager.
SVs can describe planned improvements for the next year’s activities based on comments and advice from the Plant Manager.(System: Safety Manager: No.113)
　*Ask SVs</t>
    </r>
  </si>
  <si>
    <t>順守推進</t>
    <rPh sb="0" eb="4">
      <t>ジュンシュスイシン</t>
    </rPh>
    <phoneticPr fontId="6"/>
  </si>
  <si>
    <t>Common Fire Prevention Rule</t>
  </si>
  <si>
    <r>
      <rPr>
        <sz val="11"/>
        <color rgb="FF0000FF"/>
        <rFont val="Aptos Narrow"/>
        <family val="2"/>
      </rPr>
      <t>Not Trained</t>
    </r>
    <r>
      <rPr>
        <sz val="11"/>
        <rFont val="Aptos Narrow"/>
        <family val="2"/>
      </rPr>
      <t xml:space="preserve">
All teammates have not received training on the Common Fire Prevention Rule.
(SVs)</t>
    </r>
  </si>
  <si>
    <r>
      <rPr>
        <sz val="11"/>
        <color rgb="FF0000FF"/>
        <rFont val="Aptos Narrow"/>
        <family val="2"/>
      </rPr>
      <t>Training Completed</t>
    </r>
    <r>
      <rPr>
        <sz val="11"/>
        <rFont val="Aptos Narrow"/>
        <family val="2"/>
      </rPr>
      <t xml:space="preserve">
All teammates have received training on the Common Fire Prevention Rule at least once a year.
(Operator)</t>
    </r>
  </si>
  <si>
    <r>
      <rPr>
        <sz val="11"/>
        <color rgb="FF0000FF"/>
        <rFont val="Aptos Narrow"/>
        <family val="2"/>
      </rPr>
      <t>Understanding &amp; Explanation</t>
    </r>
    <r>
      <rPr>
        <sz val="11"/>
        <rFont val="Aptos Narrow"/>
        <family val="2"/>
      </rPr>
      <t xml:space="preserve">
All teammates understand the Common Fire Prevention Rule and can explain at least two key points from the SOP to prevent fire.
(At least 2 items)
(Operator)</t>
    </r>
  </si>
  <si>
    <r>
      <rPr>
        <sz val="11"/>
        <color rgb="FF0000FF"/>
        <rFont val="Aptos Narrow"/>
        <family val="2"/>
      </rPr>
      <t>GENBA Patrol &amp; Feedback</t>
    </r>
    <r>
      <rPr>
        <sz val="11"/>
        <rFont val="Aptos Narrow"/>
        <family val="2"/>
      </rPr>
      <t xml:space="preserve">
Managers and SVs conduct GENBA patrols or equivalent activities to ensure teammates follow the Common Fire Prevention Rule, and they provide feedback to operators.
</t>
    </r>
    <r>
      <rPr>
        <i/>
        <sz val="9"/>
        <rFont val="Aptos Narrow"/>
        <family val="2"/>
      </rPr>
      <t>Confirmation of records indicating that checks and feedback have been conducted</t>
    </r>
    <r>
      <rPr>
        <sz val="11"/>
        <rFont val="Aptos Narrow"/>
        <family val="2"/>
      </rPr>
      <t>.
(SVs)</t>
    </r>
  </si>
  <si>
    <r>
      <rPr>
        <sz val="11"/>
        <color rgb="FF0000FF"/>
        <rFont val="Aptos Narrow"/>
        <family val="2"/>
      </rPr>
      <t>KAIZEN Application</t>
    </r>
    <r>
      <rPr>
        <sz val="11"/>
        <rFont val="Aptos Narrow"/>
        <family val="2"/>
      </rPr>
      <t xml:space="preserve">
All teammates can explain an example of a KAIZEN activity from a D.P. point of view, based on the Common Fire Prevention Rule.
</t>
    </r>
    <r>
      <rPr>
        <i/>
        <sz val="11"/>
        <rFont val="Aptos Narrow"/>
        <family val="2"/>
      </rPr>
      <t>Examples include updating SOPs to follow the DP rule or implementing hardware upgrades aligned with the DP</t>
    </r>
    <r>
      <rPr>
        <sz val="11"/>
        <rFont val="Aptos Narrow"/>
        <family val="2"/>
      </rPr>
      <t xml:space="preserve"> rule.(Operator)</t>
    </r>
  </si>
  <si>
    <t>順守推進</t>
    <rPh sb="0" eb="2">
      <t>ジュンシュ</t>
    </rPh>
    <rPh sb="2" eb="4">
      <t>スイシン</t>
    </rPh>
    <phoneticPr fontId="6"/>
  </si>
  <si>
    <t>confirm items related</t>
  </si>
  <si>
    <t>Fire Fighting</t>
    <phoneticPr fontId="6"/>
  </si>
  <si>
    <r>
      <rPr>
        <sz val="11"/>
        <color rgb="FF0000FF"/>
        <rFont val="Aptos Narrow"/>
        <family val="2"/>
      </rPr>
      <t>No Training</t>
    </r>
    <r>
      <rPr>
        <sz val="11"/>
        <rFont val="Aptos Narrow"/>
        <family val="2"/>
      </rPr>
      <t xml:space="preserve">
Fire extinguisher training has not been provided.
※ If training is provided, the judgement is “Yes”; if not, the judgement is “No.”</t>
    </r>
  </si>
  <si>
    <r>
      <rPr>
        <sz val="11"/>
        <color rgb="FF0000FF"/>
        <rFont val="Aptos Narrow"/>
        <family val="2"/>
      </rPr>
      <t>Limited Training</t>
    </r>
    <r>
      <rPr>
        <sz val="11"/>
        <rFont val="Aptos Narrow"/>
        <family val="2"/>
      </rPr>
      <t xml:space="preserve">
Fire extinguisher training has been provided only to limited (not all) employees in the facility.
Water spraying drills have been provided only to limited (not all) self-firefighting members in the facility.</t>
    </r>
  </si>
  <si>
    <r>
      <rPr>
        <sz val="11"/>
        <color rgb="FF0000FF"/>
        <rFont val="Aptos Narrow"/>
        <family val="2"/>
      </rPr>
      <t>Annual Training for All Employees</t>
    </r>
    <r>
      <rPr>
        <sz val="11"/>
        <rFont val="Aptos Narrow"/>
        <family val="2"/>
      </rPr>
      <t xml:space="preserve">
Fire extinguisher training and education are provided to all employees in the facility at least once per year.
Water spraying drills are provided annually to all employees appointed as self-firefighting members in the facility.</t>
    </r>
  </si>
  <si>
    <r>
      <rPr>
        <sz val="11"/>
        <color rgb="FF0000FF"/>
        <rFont val="Aptos Narrow"/>
        <family val="2"/>
      </rPr>
      <t>Expanded Training</t>
    </r>
    <r>
      <rPr>
        <sz val="11"/>
        <rFont val="Aptos Narrow"/>
        <family val="2"/>
      </rPr>
      <t xml:space="preserve">
Water spraying drills and education are also provided at least once per year to employees who are not self-firefighting members.
(Disaster Prevention Department)</t>
    </r>
  </si>
  <si>
    <r>
      <rPr>
        <sz val="11"/>
        <color rgb="FF0000FF"/>
        <rFont val="Aptos Narrow"/>
        <family val="2"/>
      </rPr>
      <t>Practical Training for Irregular Situations</t>
    </r>
    <r>
      <rPr>
        <sz val="11"/>
        <rFont val="Aptos Narrow"/>
        <family val="2"/>
      </rPr>
      <t xml:space="preserve">
The site plans and conducts practical training for irregular situations such as:
- fire at night
- electrical power outage
- fire on holidays
- sudden/unexpected fires</t>
    </r>
  </si>
  <si>
    <t>Hot Work</t>
    <phoneticPr fontId="6"/>
  </si>
  <si>
    <r>
      <rPr>
        <sz val="11"/>
        <color rgb="FF0000FF"/>
        <rFont val="Aptos Narrow"/>
        <family val="2"/>
      </rPr>
      <t>No Standard / Unsafe Practice</t>
    </r>
    <r>
      <rPr>
        <sz val="11"/>
        <rFont val="Aptos Narrow"/>
        <family val="2"/>
      </rPr>
      <t xml:space="preserve">
There is no standard for hot work, or hot work equipment is used without: 
- advance application,
- advance check*(e.g., presence of combustibles/flammables, preparation of extinguisher/water, spark prevention),
- assignment of fire watcher, or
- checking for residual fire after work.
(If any one of these is missing/defective, the judgement is “No.”)</t>
    </r>
  </si>
  <si>
    <r>
      <rPr>
        <sz val="11"/>
        <color rgb="FF0000FF"/>
        <rFont val="Aptos Narrow"/>
        <family val="2"/>
      </rPr>
      <t>Standards Exist – Defects in Implementation</t>
    </r>
    <r>
      <rPr>
        <sz val="11"/>
        <rFont val="Aptos Narrow"/>
        <family val="2"/>
      </rPr>
      <t xml:space="preserve">
Standards for hot work exist and equipment is used with advance application.
However, there are defects in areas such as advance check, assignment of fire watcher, residual fire check, or 3S practices.</t>
    </r>
  </si>
  <si>
    <r>
      <rPr>
        <sz val="11"/>
        <color rgb="FF0000FF"/>
        <rFont val="Aptos Narrow"/>
        <family val="2"/>
      </rPr>
      <t>Controlled According to Standards</t>
    </r>
    <r>
      <rPr>
        <sz val="11"/>
        <rFont val="Aptos Narrow"/>
        <family val="2"/>
      </rPr>
      <t xml:space="preserve">
Hot work is controlled in accordance with established standards.
※ At least one site (construction area, periodic repair area, or designated hot work area) must be checked.</t>
    </r>
  </si>
  <si>
    <r>
      <rPr>
        <sz val="11"/>
        <color rgb="FF0000FF"/>
        <rFont val="Aptos Narrow"/>
        <family val="2"/>
      </rPr>
      <t>3S Visual Standard Applied</t>
    </r>
    <r>
      <rPr>
        <sz val="11"/>
        <rFont val="Aptos Narrow"/>
        <family val="2"/>
      </rPr>
      <t xml:space="preserve">
Hot work in designated hot work areas is controlled in accordance with the standards.
3S is implemented based on 3S visual standards (MAP, position, number of items, cleaning level, etc.) or assessed as level 4 or higher.
※ Confirm at least one internal production site.
SVs</t>
    </r>
  </si>
  <si>
    <r>
      <rPr>
        <sz val="11"/>
        <color rgb="FF0000FF"/>
        <rFont val="Aptos Narrow"/>
        <family val="2"/>
      </rPr>
      <t>Best Practices &amp; Continuous Improvement</t>
    </r>
    <r>
      <rPr>
        <sz val="11"/>
        <rFont val="Aptos Narrow"/>
        <family val="2"/>
      </rPr>
      <t xml:space="preserve">
Hot work in designated hot work areas is controlled in accordance with the standards.
3S is implemented per 3S visual standards, and best practices from other sites/industries are applied for continuous improvement.
(Or 3S level is assessed as 5.)
※ Confirm improvements at least at one internal production site.
SVs</t>
    </r>
  </si>
  <si>
    <t>Inspection Wiring / Clean-up of Mobile Equipment</t>
  </si>
  <si>
    <r>
      <rPr>
        <sz val="11"/>
        <color rgb="FF0000FF"/>
        <rFont val="Aptos Narrow"/>
        <family val="2"/>
      </rPr>
      <t>Not Inspected / No Problem-Solving Plan</t>
    </r>
    <r>
      <rPr>
        <sz val="11"/>
        <rFont val="Aptos Narrow"/>
        <family val="2"/>
      </rPr>
      <t xml:space="preserve">
Mobile equipment is not inspected/cleaned regularly, including care of all electrical wires/cables and charging stations.
Alternatively, inspections are conducted but no plan exists to solve the identified problems.
(SVs)</t>
    </r>
  </si>
  <si>
    <r>
      <rPr>
        <sz val="11"/>
        <color rgb="FF0000FF"/>
        <rFont val="Aptos Narrow"/>
        <family val="2"/>
      </rPr>
      <t>Inspections are carried out and measures to solve</t>
    </r>
    <r>
      <rPr>
        <sz val="11"/>
        <rFont val="Aptos Narrow"/>
        <family val="2"/>
      </rPr>
      <t xml:space="preserve"> 
Mobile equipment is  inspected/cleaned regularly, 
The daily inspection includes checking all electrical wires/cables , socket part on both the forklift side and the charger side.
(SVs)</t>
    </r>
  </si>
  <si>
    <r>
      <rPr>
        <sz val="11"/>
        <color rgb="FF0000FF"/>
        <rFont val="Aptos Narrow"/>
        <family val="2"/>
      </rPr>
      <t>Planned &amp; Ongoing Measures with 3S</t>
    </r>
    <r>
      <rPr>
        <sz val="11"/>
        <rFont val="Aptos Narrow"/>
        <family val="2"/>
      </rPr>
      <t xml:space="preserve">
There is a plan to solve problems, and measures are being conducted according to the plan.
If a plan is delayed for an adequate reason, it is reviewed and measures are executed according to the revised plan.
Use of problematic equipment is prohibited.
3S is implemented in accordance with 3S standards.(SVs)</t>
    </r>
  </si>
  <si>
    <r>
      <rPr>
        <sz val="11"/>
        <color rgb="FF0000FF"/>
        <rFont val="Aptos Narrow"/>
        <family val="2"/>
      </rPr>
      <t>Immediate Prohibition &amp; Action</t>
    </r>
    <r>
      <rPr>
        <sz val="11"/>
        <rFont val="Aptos Narrow"/>
        <family val="2"/>
      </rPr>
      <t xml:space="preserve">
When problems are found, equipment is immediately prohibited from use, or a corrective plan is developed and moved forward.
If the corrective measure is carried out on the same day, it is judged as equivalent to “moved forward.
(SVs)</t>
    </r>
  </si>
  <si>
    <r>
      <rPr>
        <sz val="11"/>
        <color rgb="FF0000FF"/>
        <rFont val="Aptos Narrow"/>
        <family val="2"/>
      </rPr>
      <t>No Problems / Fully Resolved</t>
    </r>
    <r>
      <rPr>
        <sz val="11"/>
        <rFont val="Aptos Narrow"/>
        <family val="2"/>
      </rPr>
      <t xml:space="preserve">
There are no problems with mobile equipment, or all previously identified problems have already been solved.
(SVs)</t>
    </r>
  </si>
  <si>
    <t xml:space="preserve">Flammable Material Storage and Usage Area </t>
  </si>
  <si>
    <r>
      <rPr>
        <sz val="11"/>
        <color rgb="FF0000FF"/>
        <rFont val="Aptos Narrow"/>
        <family val="2"/>
      </rPr>
      <t xml:space="preserve">Not Inspected / No Controls
</t>
    </r>
    <r>
      <rPr>
        <sz val="11"/>
        <rFont val="Aptos Narrow"/>
        <family val="2"/>
      </rPr>
      <t>Flammable material storage and usage areas are not inspected regularly, or inspections are conducted but with no plan to solve problems.
No measures are in place to control electrostatic risks (e.g., no grounding/bonding, no humidity control, no anti-static flooring).
No monitoring of heat sources (e.g., sunlight exposure, hot surfaces, or nearby equipment generating heat).
(DP Manager)</t>
    </r>
  </si>
  <si>
    <r>
      <rPr>
        <sz val="11"/>
        <color rgb="FF0000FF"/>
        <rFont val="Aptos Narrow"/>
        <family val="2"/>
      </rPr>
      <t>Inspection but Delayed / No Recovery Plan</t>
    </r>
    <r>
      <rPr>
        <sz val="11"/>
        <rFont val="Aptos Narrow"/>
        <family val="2"/>
      </rPr>
      <t xml:space="preserve">
Inspections are conducted and risks are identified, but countermeasure implementation is delayed, with no corrective plan to catch up.
(DP Manager)</t>
    </r>
  </si>
  <si>
    <r>
      <rPr>
        <sz val="11"/>
        <color rgb="FF0000FF"/>
        <rFont val="Aptos Narrow"/>
        <family val="2"/>
      </rPr>
      <t>Plan in Progress (or with Recovery Plan)</t>
    </r>
    <r>
      <rPr>
        <sz val="11"/>
        <rFont val="Aptos Narrow"/>
        <family val="2"/>
      </rPr>
      <t xml:space="preserve">
There is a planned and periodic inspection of fire risks in flammable material storage and usage areas.
If NG items related to electrostatic or heat risks are identified, countermeasures are implemented.
Storage is arranged to avoid proximity to heat sources, and ventilation or temperature control is introduced as necessary.
If delays occur, corrective plans are reviewed and actions are ongoing.
(DP Manager)</t>
    </r>
  </si>
  <si>
    <r>
      <rPr>
        <sz val="11"/>
        <color rgb="FF0000FF"/>
        <rFont val="Aptos Narrow"/>
        <family val="2"/>
      </rPr>
      <t>Immediate Action</t>
    </r>
    <r>
      <rPr>
        <sz val="11"/>
        <rFont val="Aptos Narrow"/>
        <family val="2"/>
      </rPr>
      <t xml:space="preserve">
When problems are found, they are solved immediately.
If only temporary measures are applied, permanent measures are planned and moved forward.
</t>
    </r>
  </si>
  <si>
    <r>
      <rPr>
        <sz val="11"/>
        <color rgb="FF0000FF"/>
        <rFont val="Aptos Narrow"/>
        <family val="2"/>
      </rPr>
      <t>No Problems / Fully Resolved</t>
    </r>
    <r>
      <rPr>
        <sz val="11"/>
        <rFont val="Aptos Narrow"/>
        <family val="2"/>
      </rPr>
      <t xml:space="preserve">
There are no problems, or all previously identified problems have already been solved, and no defects are detected.
※ Confirm at least one example of completed measures on-site.</t>
    </r>
  </si>
  <si>
    <t xml:space="preserve">Equipment grounding &amp; bounding for Gasoline Cement equipment </t>
  </si>
  <si>
    <r>
      <rPr>
        <sz val="11"/>
        <color rgb="FF0000FF"/>
        <rFont val="Aptos Narrow"/>
        <family val="2"/>
      </rPr>
      <t xml:space="preserve">No Grounding / No Plan </t>
    </r>
    <r>
      <rPr>
        <sz val="11"/>
        <rFont val="Aptos Narrow"/>
        <family val="2"/>
      </rPr>
      <t xml:space="preserve">
Gasoline cement equipment is not grounded or bonded, and there is no plan for grounding/bonding inspection. 
(DP Manager)</t>
    </r>
  </si>
  <si>
    <r>
      <rPr>
        <sz val="11"/>
        <color rgb="FF0000FF"/>
        <rFont val="Aptos Narrow"/>
        <family val="2"/>
      </rPr>
      <t>Inspection but Delay / No Corrective Action</t>
    </r>
    <r>
      <rPr>
        <sz val="11"/>
        <rFont val="Aptos Narrow"/>
        <family val="2"/>
      </rPr>
      <t xml:space="preserve">
Grounding and bonding inspections are carried out, but delays exist in implementing corrective actions, and no recovery plan is established.
(DP Manager)</t>
    </r>
  </si>
  <si>
    <r>
      <rPr>
        <sz val="11"/>
        <color rgb="FF0000FF"/>
        <rFont val="Aptos Narrow"/>
        <family val="2"/>
      </rPr>
      <t>Plan in Progress (or with Recovery Plan)</t>
    </r>
    <r>
      <rPr>
        <sz val="11"/>
        <rFont val="Aptos Narrow"/>
        <family val="2"/>
      </rPr>
      <t xml:space="preserve">
A grounding and bonding inspection plan exists and is being implemented as planned.
If delayed, a corrective plan has been established and is ongoing.
(DP Manager)</t>
    </r>
  </si>
  <si>
    <r>
      <rPr>
        <sz val="11"/>
        <color rgb="FF0000FF"/>
        <rFont val="Aptos Narrow"/>
        <family val="2"/>
      </rPr>
      <t>Onsite confirm implementation</t>
    </r>
    <r>
      <rPr>
        <sz val="11"/>
        <rFont val="Aptos Narrow"/>
        <family val="2"/>
      </rPr>
      <t xml:space="preserve">
Grounding and bonding are inspected periodically, and any NG items are corrected immediately or with a clear recovery plan and complete as plan or ahead plan.
On-site verification confirms compliance.
(DP Manager)</t>
    </r>
  </si>
  <si>
    <r>
      <rPr>
        <sz val="11"/>
        <color rgb="FF0000FF"/>
        <rFont val="Aptos Narrow"/>
        <family val="2"/>
      </rPr>
      <t>Fully Controlled / Continuous Improvement</t>
    </r>
    <r>
      <rPr>
        <sz val="11"/>
        <rFont val="Aptos Narrow"/>
        <family val="2"/>
      </rPr>
      <t xml:space="preserve">
All gasoline cement equipment is properly grounded and bonded.
No defects are found, or all defects have already been solved.
Best practices or lessons learned are reflected in the grounding and bonding program for continuous improvement.
(DP Manager)</t>
    </r>
  </si>
  <si>
    <t>Control of specified combustibles 
handling areas</t>
  </si>
  <si>
    <r>
      <rPr>
        <sz val="11"/>
        <color rgb="FF0000FF"/>
        <rFont val="Aptos Narrow"/>
        <family val="2"/>
      </rPr>
      <t>Not Inspected / No 3S Standard</t>
    </r>
    <r>
      <rPr>
        <sz val="11"/>
        <rFont val="Aptos Narrow"/>
        <family val="2"/>
      </rPr>
      <t xml:space="preserve">
Specified combustibles handling areas are not inspected regularly, or inspections are conducted but with no plan to solve identified problems.
There is no 3S visual standard (MAP, position, number of things, cleaning level, etc.), or 3S is not conducted according to the 3S standards.
(Example: Combustible cutting oil, machine oil storage, waste materials storage)
(DP Manager)</t>
    </r>
  </si>
  <si>
    <r>
      <rPr>
        <sz val="11"/>
        <color rgb="FF0000FF"/>
        <rFont val="Aptos Narrow"/>
        <family val="2"/>
      </rPr>
      <t>Inspection with Delay</t>
    </r>
    <r>
      <rPr>
        <sz val="11"/>
        <rFont val="Aptos Narrow"/>
        <family val="2"/>
      </rPr>
      <t xml:space="preserve">
Inspections are carried out and measures to solve the problems are planned, but the plan is delayed.
3S is conducted as per the 3S standards.
※ The plan is not reviewed to catch up.
※ At least one site where the inspection was carried out should be checked.
(DP Manager)</t>
    </r>
  </si>
  <si>
    <r>
      <rPr>
        <sz val="11"/>
        <color rgb="FF0000FF"/>
        <rFont val="Aptos Narrow"/>
        <family val="2"/>
      </rPr>
      <t>Plan in Progress (or with Reviewed Delay)</t>
    </r>
    <r>
      <rPr>
        <sz val="11"/>
        <rFont val="Aptos Narrow"/>
        <family val="2"/>
      </rPr>
      <t xml:space="preserve">
There is a plan to solve the problems, and measures are being implemented according to the plan.
If the plan is delayed with adequate reason, it is reviewed, and measures are conducted according to the reviewed plan (on-going).
3S is conducted as per the 3S standards.
(DP Manager)</t>
    </r>
  </si>
  <si>
    <r>
      <rPr>
        <sz val="11"/>
        <color rgb="FF0000FF"/>
        <rFont val="Aptos Narrow"/>
        <family val="2"/>
      </rPr>
      <t>Immediate Action on Findings</t>
    </r>
    <r>
      <rPr>
        <sz val="11"/>
        <rFont val="Aptos Narrow"/>
        <family val="2"/>
      </rPr>
      <t xml:space="preserve">
When problems are found, they are solved immediately, or a corrective plan is developed and moved forward without delay.
3S is conducted as per the 3S standards.
(DP Manager)</t>
    </r>
  </si>
  <si>
    <r>
      <rPr>
        <sz val="11"/>
        <color rgb="FF0000FF"/>
        <rFont val="Aptos Narrow"/>
        <family val="2"/>
      </rPr>
      <t>Fully Controlled / No Defects</t>
    </r>
    <r>
      <rPr>
        <sz val="11"/>
        <rFont val="Aptos Narrow"/>
        <family val="2"/>
      </rPr>
      <t xml:space="preserve">
There are no problems, or all identified problems have already been solved and no defects remain.
3S is conducted as per the 3S standards.
※ At least one example of the completed measures on-site should be confirmed.
(DP Manager)</t>
    </r>
  </si>
  <si>
    <t xml:space="preserve">Arson Prevention Control </t>
  </si>
  <si>
    <r>
      <rPr>
        <sz val="11"/>
        <color rgb="FF0000FF"/>
        <rFont val="Aptos Narrow"/>
        <family val="2"/>
      </rPr>
      <t>No Prevention System</t>
    </r>
    <r>
      <rPr>
        <sz val="11"/>
        <rFont val="Aptos Narrow"/>
        <family val="2"/>
      </rPr>
      <t xml:space="preserve">
There is no security system or preventive measures against arson in place.
No patrols, no monitoring system, or no responsibility assigned.</t>
    </r>
  </si>
  <si>
    <r>
      <rPr>
        <sz val="11"/>
        <color rgb="FF0000FF"/>
        <rFont val="Aptos Narrow"/>
        <family val="2"/>
      </rPr>
      <t>Basic Measures but Incomplete</t>
    </r>
    <r>
      <rPr>
        <sz val="11"/>
        <rFont val="Aptos Narrow"/>
        <family val="2"/>
      </rPr>
      <t xml:space="preserve">
A security system (e.g., CCTV, infrared sensors) is planned or partially installed, but patrols and checks are inconsistent.
Patrol records are not complete or not reviewed.</t>
    </r>
  </si>
  <si>
    <r>
      <rPr>
        <sz val="11"/>
        <color rgb="FF0000FF"/>
        <rFont val="Aptos Narrow"/>
        <family val="2"/>
      </rPr>
      <t>System &amp; Patrol Implemented</t>
    </r>
    <r>
      <rPr>
        <sz val="11"/>
        <rFont val="Aptos Narrow"/>
        <family val="2"/>
      </rPr>
      <t xml:space="preserve">
Security systems (CCTV, infrared sensors) are installed and functional.
Security guards regularly patrol combustible storage areas and record the results.
DP staff check patrol records and alarm logs regularly.</t>
    </r>
  </si>
  <si>
    <r>
      <rPr>
        <sz val="11"/>
        <color rgb="FF0000FF"/>
        <rFont val="Aptos Narrow"/>
        <family val="2"/>
      </rPr>
      <t>Monitoring &amp; Corrective Actions</t>
    </r>
    <r>
      <rPr>
        <sz val="11"/>
        <rFont val="Aptos Narrow"/>
        <family val="2"/>
      </rPr>
      <t xml:space="preserve">
Arson prevention patrols are implemented consistently, records are checked, and corrective instructions are given when problems are identified.
Regular monthly checks of records are performed by DP staff.</t>
    </r>
  </si>
  <si>
    <r>
      <rPr>
        <sz val="11"/>
        <color rgb="FF0000FF"/>
        <rFont val="Aptos Narrow"/>
        <family val="2"/>
      </rPr>
      <t>Fully Controlled &amp; Reviewed</t>
    </r>
    <r>
      <rPr>
        <sz val="11"/>
        <rFont val="Aptos Narrow"/>
        <family val="2"/>
      </rPr>
      <t xml:space="preserve">
Arson prevention measures are fully established, integrated into site security management, and reviewed periodically.
Countermeasures are immediately applied when issues are detected.
All records (patrols, alarms, corrective actions) are complete and traceable.</t>
    </r>
  </si>
  <si>
    <t>Smoking control</t>
  </si>
  <si>
    <r>
      <rPr>
        <sz val="11"/>
        <color rgb="FF0000FF"/>
        <rFont val="Aptos Narrow"/>
        <family val="2"/>
      </rPr>
      <t>Not Controlled / Non-Compliant</t>
    </r>
    <r>
      <rPr>
        <sz val="11"/>
        <rFont val="Aptos Narrow"/>
        <family val="2"/>
      </rPr>
      <t xml:space="preserve">
Smoking areas are not designated or managed, and smoking occurs outside the designated areas.
There is no standard for smoking control, or no ashtray/noncombustible container is provided.</t>
    </r>
  </si>
  <si>
    <r>
      <rPr>
        <sz val="11"/>
        <color rgb="FF0000FF"/>
        <rFont val="Aptos Narrow"/>
        <family val="2"/>
      </rPr>
      <t>Standards Prepared but Weak Enforcement</t>
    </r>
    <r>
      <rPr>
        <sz val="11"/>
        <rFont val="Aptos Narrow"/>
        <family val="2"/>
      </rPr>
      <t xml:space="preserve">
Standards for smoking control exist, and smoking areas are designated.
However, inspections are irregular, and defects (e.g., cigarette butts not in noncombustible containers, missing ashtray/water/fire extinguisher) are not solved promptly.</t>
    </r>
  </si>
  <si>
    <t>Inspection plan designed, NG on delay to improve 
Smoking areas are designated and fully prepared according to standards.
Inspections are carried out regularly (e.g., monthly) to confirm compliance.
If there is delay or non-compliance, corrective measures are planned and being implemented.</t>
  </si>
  <si>
    <r>
      <rPr>
        <sz val="11"/>
        <color rgb="FF0000FF"/>
        <rFont val="Aptos Narrow"/>
        <family val="2"/>
      </rPr>
      <t>Active Monitoring &amp; no delay Corrective Action</t>
    </r>
    <r>
      <rPr>
        <sz val="11"/>
        <rFont val="Aptos Narrow"/>
        <family val="2"/>
      </rPr>
      <t xml:space="preserve">
Smoking areas are regularly patrolled and checked (cigarette butt collection, removal of unnecessary combustibles, equipment availability).
If standards are not followed, the F.P. Manager gives instructions for correction and follows up until completion.</t>
    </r>
  </si>
  <si>
    <r>
      <rPr>
        <sz val="11"/>
        <color rgb="FF0000FF"/>
        <rFont val="Aptos Narrow"/>
        <family val="2"/>
      </rPr>
      <t xml:space="preserve">Fully Controlled / Best Practice
</t>
    </r>
    <r>
      <rPr>
        <sz val="11"/>
        <rFont val="Aptos Narrow"/>
        <family val="2"/>
      </rPr>
      <t>All smoking areas are compliant: cigarette butts are collected in noncombustible containers, unnecessary combustible materials are not placed, and smokers fully understand and comply with smoking rules.
If standards are not followed, the site takes immediate corrective action or considers closing the smoking area. 
(Genba)</t>
    </r>
  </si>
  <si>
    <t>Duct inspection and cleaning</t>
  </si>
  <si>
    <r>
      <rPr>
        <sz val="11"/>
        <color rgb="FF0000FF"/>
        <rFont val="Aptos Narrow"/>
        <family val="2"/>
      </rPr>
      <t>Not Inspected / No Plan</t>
    </r>
    <r>
      <rPr>
        <sz val="11"/>
        <rFont val="Aptos Narrow"/>
        <family val="2"/>
      </rPr>
      <t xml:space="preserve">
Ducts are not inspected/cleaned regularly, or inspections are performed but there is no plan to solve the identified problems.
Inspection holes for ducts are not installed, or there is no control standard for inspection/cleaning.</t>
    </r>
  </si>
  <si>
    <r>
      <rPr>
        <sz val="11"/>
        <color rgb="FF0000FF"/>
        <rFont val="Aptos Narrow"/>
        <family val="2"/>
      </rPr>
      <t>Inspection but Delayed / Incomplete</t>
    </r>
    <r>
      <rPr>
        <sz val="11"/>
        <rFont val="Aptos Narrow"/>
        <family val="2"/>
      </rPr>
      <t xml:space="preserve">
Inspections and cleaning are carried out, and accumulation is checked.
However, when NG conditions are found, there is no plan to improve, or a plan exists but is delayed with no recovery plan.</t>
    </r>
  </si>
  <si>
    <r>
      <rPr>
        <sz val="11"/>
        <color rgb="FF0000FF"/>
        <rFont val="Aptos Narrow"/>
        <family val="2"/>
      </rPr>
      <t>Planned &amp; Ongoing Measures</t>
    </r>
    <r>
      <rPr>
        <sz val="11"/>
        <rFont val="Aptos Narrow"/>
        <family val="2"/>
      </rPr>
      <t xml:space="preserve">
There is a plan for duct inspection and cleaning.
Accumulated dust/combustible materials are measured and cleaned according to the plan.
No NG is found, or NG is found but with a clear improvement plan that is being executed on schedule.</t>
    </r>
  </si>
  <si>
    <r>
      <rPr>
        <sz val="11"/>
        <color rgb="FF0000FF"/>
        <rFont val="Aptos Narrow"/>
        <family val="2"/>
      </rPr>
      <t>Analyze for root cause and improve</t>
    </r>
    <r>
      <rPr>
        <sz val="11"/>
        <rFont val="Aptos Narrow"/>
        <family val="2"/>
      </rPr>
      <t xml:space="preserve">
There is a plan for duct inspection and cleaning and action as plan or ahead plan.
When problems are identified (e.g., excess accumulation, foreign materials, risk of ignition), have investigate for the root cause/ analyze for proper improvement
</t>
    </r>
  </si>
  <si>
    <r>
      <rPr>
        <sz val="11"/>
        <color rgb="FF0000FF"/>
        <rFont val="Aptos Narrow"/>
        <family val="2"/>
      </rPr>
      <t>Fully Controlled / No Defects (no dust accumulated over std.)</t>
    </r>
    <r>
      <rPr>
        <sz val="11"/>
        <rFont val="Aptos Narrow"/>
        <family val="2"/>
      </rPr>
      <t xml:space="preserve">
There are no issues found, or all identified problems have been completely solved.
Inspection and cleaning are conducted according to standards, and ducts are within control values.
All records are complete, including photos, inspection frequencies, and review by management.
The duct system is managed under continuous improvement (lessons learned from past duct fires are applied).</t>
    </r>
  </si>
  <si>
    <t xml:space="preserve">Control of unattended areas </t>
  </si>
  <si>
    <r>
      <rPr>
        <sz val="11"/>
        <color rgb="FF0000FF"/>
        <rFont val="Aptos Narrow"/>
        <family val="2"/>
      </rPr>
      <t>Not Inspected / No Plan</t>
    </r>
    <r>
      <rPr>
        <sz val="11"/>
        <rFont val="Aptos Narrow"/>
        <family val="2"/>
      </rPr>
      <t xml:space="preserve">
Unattended areas are not inspected regularly, or inspections are performed but there is no plan to solve the identified problems.
Firefighting equipment (e.g., fire alarms, fire extinguishers) in unattended areas has defects.※Confirm where is designated as unattended areas in the site. 
(DP Manager)</t>
    </r>
  </si>
  <si>
    <r>
      <rPr>
        <sz val="11"/>
        <color rgb="FF0000FF"/>
        <rFont val="Aptos Narrow"/>
        <family val="2"/>
      </rPr>
      <t>Inspection but Plan Delayed</t>
    </r>
    <r>
      <rPr>
        <sz val="11"/>
        <rFont val="Aptos Narrow"/>
        <family val="2"/>
      </rPr>
      <t xml:space="preserve">
Inspections are carried out and measures to solve problems are planned, but the plan is delayed and not reviewed to catch up.
Firefighting equipment in unattended areas has no defect.
※Check min. 1 site where the inspection was carried out.
(DP Manager)</t>
    </r>
  </si>
  <si>
    <r>
      <rPr>
        <sz val="11"/>
        <color rgb="FF0000FF"/>
        <rFont val="Aptos Narrow"/>
        <family val="2"/>
      </rPr>
      <t>Planned &amp; Ongoing Measures</t>
    </r>
    <r>
      <rPr>
        <sz val="11"/>
        <rFont val="Aptos Narrow"/>
        <family val="2"/>
      </rPr>
      <t xml:space="preserve">
There is a plan to solve problems, and measures are being implemented as planned.
If the plan is delayed with adequate reason, it is reviewed and measures are executed according to the revised plan (the measure is ongoing).
Firefighting equipment in unattended areas has no defect.(DP Manager)</t>
    </r>
  </si>
  <si>
    <r>
      <rPr>
        <sz val="11"/>
        <color rgb="FF0000FF"/>
        <rFont val="Aptos Narrow"/>
        <family val="2"/>
      </rPr>
      <t xml:space="preserve">Immediate Action </t>
    </r>
    <r>
      <rPr>
        <sz val="11"/>
        <rFont val="Aptos Narrow"/>
        <family val="2"/>
      </rPr>
      <t xml:space="preserve">
When problems are found, corrective measures are developed and promptly moved forward (the measure is ongoing).
Firefighting equipment in unattended areas has no defect.(DP Manager)
</t>
    </r>
  </si>
  <si>
    <r>
      <rPr>
        <sz val="11"/>
        <color rgb="FF0000FF"/>
        <rFont val="Aptos Narrow"/>
        <family val="2"/>
      </rPr>
      <t>Fully Controlled / No Defects</t>
    </r>
    <r>
      <rPr>
        <sz val="11"/>
        <rFont val="Aptos Narrow"/>
        <family val="2"/>
      </rPr>
      <t xml:space="preserve">
There are no problems, or all previously identified problems have already been solved and no defects are detected.
※Check min. 1 example of the completed measures on-site.
(DP Manager)</t>
    </r>
  </si>
  <si>
    <t>Mixing MUST-11 Items – Self-check</t>
  </si>
  <si>
    <r>
      <rPr>
        <sz val="11"/>
        <color rgb="FF0000FF"/>
        <rFont val="Aptos Narrow"/>
        <family val="2"/>
      </rPr>
      <t>Self-check planned</t>
    </r>
    <r>
      <rPr>
        <sz val="11"/>
        <rFont val="Aptos Narrow"/>
        <family val="2"/>
      </rPr>
      <t xml:space="preserve">
Mixing MUST-11 items have been self-checked according to the annual plan.
There is a plan in place for any non-conformities detected during the self-check.
(SVs)</t>
    </r>
  </si>
  <si>
    <r>
      <rPr>
        <sz val="11"/>
        <color rgb="FF0000FF"/>
        <rFont val="Aptos Narrow"/>
        <family val="2"/>
      </rPr>
      <t>Plan Exists but Delayed / no recovery plan</t>
    </r>
    <r>
      <rPr>
        <sz val="11"/>
        <rFont val="Aptos Narrow"/>
        <family val="2"/>
      </rPr>
      <t xml:space="preserve">
There are plans for the self-check and countermeasures, but the plan is delayed.
There is no corrective action for the delay.
(SVs)</t>
    </r>
  </si>
  <si>
    <r>
      <rPr>
        <sz val="11"/>
        <color rgb="FF0000FF"/>
        <rFont val="Aptos Narrow"/>
        <family val="2"/>
      </rPr>
      <t>Check as plan &amp; Ongoing Measures</t>
    </r>
    <r>
      <rPr>
        <sz val="11"/>
        <rFont val="Aptos Narrow"/>
        <family val="2"/>
      </rPr>
      <t xml:space="preserve">
There is a plan for countermeasures based on the self-check, and actions are being carried out according to the plan.
Or, if there is a delay, a corrective plan has been established and is ongoing.
(SVs)</t>
    </r>
  </si>
  <si>
    <r>
      <rPr>
        <sz val="11"/>
        <color rgb="FF0000FF"/>
        <rFont val="Aptos Narrow"/>
        <family val="2"/>
      </rPr>
      <t>Countermeasures action ahead plan (not yet completed)</t>
    </r>
    <r>
      <rPr>
        <sz val="11"/>
        <rFont val="Aptos Narrow"/>
        <family val="2"/>
      </rPr>
      <t xml:space="preserve">
There is a plan for countermeasures from the self-check, and actions are progressing ahead of the plan, but not yet completed.
(SVs)</t>
    </r>
  </si>
  <si>
    <r>
      <rPr>
        <sz val="11"/>
        <color rgb="FF0000FF"/>
        <rFont val="Aptos Narrow"/>
        <family val="2"/>
      </rPr>
      <t>Fully Completed / No Defects</t>
    </r>
    <r>
      <rPr>
        <sz val="11"/>
        <rFont val="Aptos Narrow"/>
        <family val="2"/>
      </rPr>
      <t xml:space="preserve">
The self-check has been fully completed according to the plan.
There are no defects, or all findings have already been resolved with approval by plant manager or above.
(SVs)</t>
    </r>
  </si>
  <si>
    <t>Mixing MUST-11 Items  Training</t>
  </si>
  <si>
    <r>
      <rPr>
        <sz val="11"/>
        <color rgb="FF0000FF"/>
        <rFont val="Aptos Narrow"/>
        <family val="2"/>
      </rPr>
      <t>Training Conducted / Not Conducted</t>
    </r>
    <r>
      <rPr>
        <sz val="11"/>
        <rFont val="Aptos Narrow"/>
        <family val="2"/>
      </rPr>
      <t xml:space="preserve">
Training on Mixing MUST-11 is provided to employees involved in Mixing MUST-11.
※ If training is conducted → “YES”
※ If training is not conducted → “NO”
SVs</t>
    </r>
  </si>
  <si>
    <r>
      <rPr>
        <sz val="11"/>
        <color rgb="FF0000FF"/>
        <rFont val="Aptos Narrow"/>
        <family val="2"/>
      </rPr>
      <t>Annual Training 100% Coverage</t>
    </r>
    <r>
      <rPr>
        <sz val="11"/>
        <rFont val="Aptos Narrow"/>
        <family val="2"/>
      </rPr>
      <t xml:space="preserve">
Training on Mixing MUST-11 is provided to all employees involved, at least once per year, including new employee training.
(Operator)</t>
    </r>
  </si>
  <si>
    <r>
      <rPr>
        <sz val="11"/>
        <color rgb="FF0000FF"/>
        <rFont val="Aptos Narrow"/>
        <family val="2"/>
      </rPr>
      <t>Understanding &amp; Explanation</t>
    </r>
    <r>
      <rPr>
        <sz val="11"/>
        <rFont val="Aptos Narrow"/>
        <family val="2"/>
      </rPr>
      <t xml:space="preserve">
Employees involved in Mixing MUST-11 understand the requirements and can explain the key points of Mixing MUST-11 within their work standards.
(Operator)</t>
    </r>
  </si>
  <si>
    <r>
      <rPr>
        <sz val="11"/>
        <color rgb="FF0000FF"/>
        <rFont val="Aptos Narrow"/>
        <family val="2"/>
      </rPr>
      <t>Compliance onsite &amp; OP Feedback</t>
    </r>
    <r>
      <rPr>
        <sz val="11"/>
        <rFont val="Aptos Narrow"/>
        <family val="2"/>
      </rPr>
      <t xml:space="preserve">
Manufacturing managers, chiefs, and supervisors conduct patrols and on-site checks to ensure compliance with Mixing MUST-11 rules.
They provide feedback from the patrol results to  operators.
SVs</t>
    </r>
  </si>
  <si>
    <r>
      <rPr>
        <sz val="11"/>
        <color rgb="FF0000FF"/>
        <rFont val="Aptos Narrow"/>
        <family val="2"/>
      </rPr>
      <t xml:space="preserve"> Example improvement proposal from OP</t>
    </r>
    <r>
      <rPr>
        <sz val="11"/>
        <rFont val="Aptos Narrow"/>
        <family val="2"/>
      </rPr>
      <t xml:space="preserve">
Employees involved in Mixing MUST-11 can present at least one example of an improvement related to Mixing MUST-11 that was proposed and implemented by themselves.
(Operator)</t>
    </r>
  </si>
  <si>
    <t>Fire wall/ shutter door inspection</t>
  </si>
  <si>
    <r>
      <rPr>
        <sz val="11"/>
        <color rgb="FF0000FF"/>
        <rFont val="Aptos Narrow"/>
        <family val="2"/>
      </rPr>
      <t>Not Standardized/  / No Inspection Plan</t>
    </r>
    <r>
      <rPr>
        <sz val="11"/>
        <rFont val="Aptos Narrow"/>
        <family val="2"/>
      </rPr>
      <t xml:space="preserve">
There is no map, control number, or inspection plan for fire doors/shutters.
No function check is performed.
(DP Manager)</t>
    </r>
  </si>
  <si>
    <r>
      <rPr>
        <sz val="11"/>
        <color rgb="FF0000FF"/>
        <rFont val="Aptos Narrow"/>
        <family val="2"/>
      </rPr>
      <t xml:space="preserve">Standardized &amp; Planned for inspection </t>
    </r>
    <r>
      <rPr>
        <sz val="11"/>
        <rFont val="Aptos Narrow"/>
        <family val="2"/>
      </rPr>
      <t xml:space="preserve">
Control numbers are assigned, a map of all fire doors/shutters is prepared, and an inspection plan is established but inspection delay plan 
(DP Manager)</t>
    </r>
  </si>
  <si>
    <r>
      <rPr>
        <sz val="11"/>
        <color rgb="FF0000FF"/>
        <rFont val="Aptos Narrow"/>
        <family val="2"/>
      </rPr>
      <t>Inspections Conducted but delay</t>
    </r>
    <r>
      <rPr>
        <sz val="11"/>
        <rFont val="Aptos Narrow"/>
        <family val="2"/>
      </rPr>
      <t xml:space="preserve">
Monthly inspections are carried out around all fire doors/shutters to ensure that no objects or machines are placed underneath.
If a delay in the corrective plan exists, or NG conditions are found without countermeasures, it is still recorded under this level.
(DP Manager)</t>
    </r>
  </si>
  <si>
    <r>
      <rPr>
        <sz val="11"/>
        <color rgb="FF0000FF"/>
        <rFont val="Aptos Narrow"/>
        <family val="2"/>
      </rPr>
      <t>Inspection done and clear plan for improvement</t>
    </r>
    <r>
      <rPr>
        <sz val="11"/>
        <rFont val="Aptos Narrow"/>
        <family val="2"/>
      </rPr>
      <t xml:space="preserve">
Monthly inspections are carried out around all fire doors/shutters to ensure that no objects or machines are placed underneath, and to check that no combustibles are placed within 1 meter of fire shutters.
All NG items are identified with clear countermeasures, and improvement actions are ongoing.
(DP Manager)</t>
    </r>
  </si>
  <si>
    <r>
      <rPr>
        <sz val="11"/>
        <color rgb="FF0000FF"/>
        <rFont val="Aptos Narrow"/>
        <family val="2"/>
      </rPr>
      <t xml:space="preserve">Fully Controlled </t>
    </r>
    <r>
      <rPr>
        <sz val="11"/>
        <rFont val="Aptos Narrow"/>
        <family val="2"/>
      </rPr>
      <t xml:space="preserve">
All inspections are completed ahead of schedule or according to the plan.
No NG items remain, and on-site (Genba) confirmation shows full compliance with fire door/shutter requirements.</t>
    </r>
  </si>
  <si>
    <t>Fire prevention control for kitchen</t>
  </si>
  <si>
    <r>
      <rPr>
        <sz val="11"/>
        <color rgb="FF0000FF"/>
        <rFont val="Aptos Narrow"/>
        <family val="2"/>
      </rPr>
      <t>Not Standardized / No Plan</t>
    </r>
    <r>
      <rPr>
        <sz val="11"/>
        <rFont val="Aptos Narrow"/>
        <family val="2"/>
      </rPr>
      <t xml:space="preserve">
There is no standard or plan for kitchen fire prevention.
Main gas taps are not checked after cooking, gas leak detectors are not installed or expired, and no function test is conducted.</t>
    </r>
  </si>
  <si>
    <r>
      <rPr>
        <sz val="11"/>
        <color rgb="FF0000FF"/>
        <rFont val="Aptos Narrow"/>
        <family val="2"/>
      </rPr>
      <t>Standardized but No Records</t>
    </r>
    <r>
      <rPr>
        <sz val="11"/>
        <rFont val="Aptos Narrow"/>
        <family val="2"/>
      </rPr>
      <t xml:space="preserve">
Periodic inspection/checking has been standardized for:
Closing the main gas tap after cooking
Gas leak detector expiration date check
Gas function test
However, there are no actual records to confirm that inspections are being conducted.</t>
    </r>
  </si>
  <si>
    <r>
      <rPr>
        <sz val="11"/>
        <color rgb="FF0000FF"/>
        <rFont val="Aptos Narrow"/>
        <family val="2"/>
      </rPr>
      <t>Improvement done or with recovery plan</t>
    </r>
    <r>
      <rPr>
        <sz val="11"/>
        <rFont val="Aptos Narrow"/>
        <family val="2"/>
      </rPr>
      <t xml:space="preserve">
There are actual records of periodic inspection/checking at the facility kitchen.
Any issues found during inspections have already been corrected, or a recovery plan has been established and is being implemented.
</t>
    </r>
  </si>
  <si>
    <r>
      <rPr>
        <sz val="11"/>
        <color rgb="FF0000FF"/>
        <rFont val="Aptos Narrow"/>
        <family val="2"/>
      </rPr>
      <t>Improvement done ahead plan</t>
    </r>
    <r>
      <rPr>
        <sz val="11"/>
        <rFont val="Aptos Narrow"/>
        <family val="2"/>
      </rPr>
      <t xml:space="preserve">
There are actual records of periodic inspection/checking at the facility kitchen.
Any issues found during inspections have already been completed ahead plan.
No unresolved defects remain on-site (Genba) without a clear plan.</t>
    </r>
  </si>
  <si>
    <r>
      <rPr>
        <sz val="11"/>
        <color rgb="FF0000FF"/>
        <rFont val="Aptos Narrow"/>
        <family val="2"/>
      </rPr>
      <t>Fully Controlled / Continuous Improvement</t>
    </r>
    <r>
      <rPr>
        <sz val="11"/>
        <rFont val="Aptos Narrow"/>
        <family val="2"/>
      </rPr>
      <t xml:space="preserve">
Kitchen fire prevention is fully controlled:
All inspections are completed according to standards
No defects are found, or all previous findings have been resolved
Lessons learned are applied, and continuous improvement measures are implemented (e.g., upgrading detectors, awareness training for staff).</t>
    </r>
  </si>
  <si>
    <t>Integration/ Incorporation</t>
  </si>
  <si>
    <t>DP Organization</t>
  </si>
  <si>
    <r>
      <rPr>
        <sz val="11"/>
        <color rgb="FF0000FF"/>
        <rFont val="Aptos Narrow"/>
        <family val="2"/>
      </rPr>
      <t>Not Assigned</t>
    </r>
    <r>
      <rPr>
        <sz val="11"/>
        <rFont val="Aptos Narrow"/>
        <family val="2"/>
      </rPr>
      <t xml:space="preserve">
There is no an EHS Manager assigned.
(DP manager)</t>
    </r>
  </si>
  <si>
    <r>
      <rPr>
        <sz val="11"/>
        <color rgb="FF0000FF"/>
        <rFont val="Aptos Narrow"/>
        <family val="2"/>
      </rPr>
      <t>Manager with Multiple Roles</t>
    </r>
    <r>
      <rPr>
        <sz val="11"/>
        <rFont val="Aptos Narrow"/>
        <family val="2"/>
      </rPr>
      <t xml:space="preserve">
There is an EHS Manager, but he/she also holds multiple roles in the plant.
(DP manager)</t>
    </r>
  </si>
  <si>
    <r>
      <rPr>
        <sz val="11"/>
        <color rgb="FF0000FF"/>
        <rFont val="Aptos Narrow"/>
        <family val="2"/>
      </rPr>
      <t>Exclusive Manager + Exclusive Safety Staff</t>
    </r>
    <r>
      <rPr>
        <sz val="11"/>
        <rFont val="Aptos Narrow"/>
        <family val="2"/>
      </rPr>
      <t xml:space="preserve">
The Safety/DP Manager’s role is exclusive duty (managing only safety and DP).
The Safety Staff’s role is also exclusive duty.(DP Manager)</t>
    </r>
  </si>
  <si>
    <r>
      <rPr>
        <sz val="11"/>
        <color rgb="FF0000FF"/>
        <rFont val="Aptos Narrow"/>
        <family val="2"/>
      </rPr>
      <t>Experienced Exclusive Manager + Staff</t>
    </r>
    <r>
      <rPr>
        <sz val="11"/>
        <rFont val="Aptos Narrow"/>
        <family val="2"/>
      </rPr>
      <t xml:space="preserve">
The Safety/DP Manager’s role is exclusive duty (managing only safety and DP).
He/she has more than three years of relevant experience.
(DP Manager)</t>
    </r>
  </si>
  <si>
    <t>DP inspector</t>
  </si>
  <si>
    <r>
      <rPr>
        <sz val="11"/>
        <color rgb="FF0000FF"/>
        <rFont val="Aptos Narrow"/>
        <family val="2"/>
      </rPr>
      <t>Not Assigned</t>
    </r>
    <r>
      <rPr>
        <sz val="11"/>
        <rFont val="Aptos Narrow"/>
        <family val="2"/>
      </rPr>
      <t xml:space="preserve">
There is no DP Inspector assigned in the plant.
(DP Manager)</t>
    </r>
  </si>
  <si>
    <r>
      <rPr>
        <sz val="11"/>
        <color rgb="FF0000FF"/>
        <rFont val="Aptos Narrow"/>
        <family val="2"/>
      </rPr>
      <t>Assigned with unclear role/ not full time inspector</t>
    </r>
    <r>
      <rPr>
        <sz val="11"/>
        <rFont val="Aptos Narrow"/>
        <family val="2"/>
      </rPr>
      <t xml:space="preserve">
A DP Inspector is assigned, but he/she holds multiple roles and does not focus exclusively on inspection duties, or the manpower assigned is insufficient compared with the inspection workload.
(DP Manager)</t>
    </r>
  </si>
  <si>
    <r>
      <rPr>
        <sz val="11"/>
        <color rgb="FF0000FF"/>
        <rFont val="Aptos Narrow"/>
        <family val="2"/>
      </rPr>
      <t>Experienced &amp; Continuous Improvement</t>
    </r>
    <r>
      <rPr>
        <sz val="11"/>
        <rFont val="Aptos Narrow"/>
        <family val="2"/>
      </rPr>
      <t xml:space="preserve">
An experienced and trained DP Inspector is assigned with exclusive responsibility for DP inspection activities, and is qualified to act as an instructor for DP inspections.
He/she conducts inspections systematically, validates countermeasures, and actively contributes to the continuous improvement of the DP program.
(DP Manager)</t>
    </r>
  </si>
  <si>
    <t>Budget</t>
  </si>
  <si>
    <r>
      <rPr>
        <sz val="11"/>
        <color rgb="FF0000FF"/>
        <rFont val="Aptos Narrow"/>
        <family val="2"/>
      </rPr>
      <t>Not Enough Budget</t>
    </r>
    <r>
      <rPr>
        <sz val="11"/>
        <rFont val="Aptos Narrow"/>
        <family val="2"/>
      </rPr>
      <t xml:space="preserve">
The budget for recurrence prevention, RA countermeasures, and working hours (human resources) is insufficient.
(DP Manager)
 *Ask Manager (not safety)</t>
    </r>
  </si>
  <si>
    <r>
      <rPr>
        <sz val="11"/>
        <color rgb="FF0000FF"/>
        <rFont val="Aptos Narrow"/>
        <family val="2"/>
      </rPr>
      <t>Partial Lack of Budget</t>
    </r>
    <r>
      <rPr>
        <sz val="11"/>
        <rFont val="Aptos Narrow"/>
        <family val="2"/>
      </rPr>
      <t xml:space="preserve">
There is a lack of budget for at least one area: recurrence prevention, RA countermeasures, or working hours (human resources).
(DP Manager)
 *Ask Manager (not safety)</t>
    </r>
  </si>
  <si>
    <r>
      <rPr>
        <sz val="11"/>
        <color rgb="FF0000FF"/>
        <rFont val="Aptos Narrow"/>
        <family val="2"/>
      </rPr>
      <t>Budget Prepared as Planned</t>
    </r>
    <r>
      <rPr>
        <sz val="11"/>
        <rFont val="Aptos Narrow"/>
        <family val="2"/>
      </rPr>
      <t xml:space="preserve">
The budget for recurrence prevention, RA countermeasures, and working hours (human resources) is adequately prepared according to the plan.
(DP Manager)
 *Ask Manager (not safety)</t>
    </r>
  </si>
  <si>
    <r>
      <rPr>
        <sz val="11"/>
        <color rgb="FF0000FF"/>
        <rFont val="Aptos Narrow"/>
        <family val="2"/>
      </rPr>
      <t>Budget Implemented as Planned</t>
    </r>
    <r>
      <rPr>
        <sz val="11"/>
        <rFont val="Aptos Narrow"/>
        <family val="2"/>
      </rPr>
      <t xml:space="preserve">
The allocated budget is effectively used for recurrence prevention, RA countermeasures, and other planned activities.
(DP Manager)
 *Ask Manager (not safety)</t>
    </r>
  </si>
  <si>
    <r>
      <rPr>
        <sz val="11"/>
        <color rgb="FF0000FF"/>
        <rFont val="Aptos Narrow"/>
        <family val="2"/>
      </rPr>
      <t>Sufficient &amp; Flexible Budget</t>
    </r>
    <r>
      <rPr>
        <sz val="11"/>
        <rFont val="Aptos Narrow"/>
        <family val="2"/>
      </rPr>
      <t xml:space="preserve">
The budget is prepared not only for planned activities but also for sudden accidents.
In the event of unexpected accidents, additional budget is secured, enabling recurrence prevention, RA countermeasures, and other activities to be implemented ahead of schedule.
(DP Manager)</t>
    </r>
  </si>
  <si>
    <t>文書管理</t>
    <rPh sb="0" eb="2">
      <t>ブンショ</t>
    </rPh>
    <rPh sb="2" eb="4">
      <t>カンリ</t>
    </rPh>
    <phoneticPr fontId="9"/>
  </si>
  <si>
    <t>回答者は、最新の政府が発行した安全要求を提示できる。</t>
    <phoneticPr fontId="9"/>
  </si>
  <si>
    <t>管理者は、必須の安全文書とそうでないものをリストで提示できる。</t>
    <phoneticPr fontId="9"/>
  </si>
  <si>
    <t>全ての安全衛生に関する事業所の標準は管理者がいる。また、3人の回答者は、割り当てられた安全文書がどのように最新版管理されているか説明できる。</t>
  </si>
  <si>
    <t>安全衛生に関する文書・記録の一覧表は定期的に見直されて最新版管理されている。（不要な重複の廃棄・文書管理者の更新・表示形式の統一）</t>
  </si>
  <si>
    <t>他事業所/業界の文書管理に関する好事例を入手し、自拠点へ落とし込みしていることを確認できる。または、他事業所と比較した結果がある。</t>
  </si>
  <si>
    <t>不足している文書がないかの確認、（あれば）入手するための実施計画が記録で確認できる。</t>
    <phoneticPr fontId="9"/>
  </si>
  <si>
    <t>安全衛生に関する文書・記録の管理一覧表があり、管理者によって確認・承認されている。</t>
  </si>
  <si>
    <t>変更管理</t>
    <rPh sb="0" eb="4">
      <t>ヘンコウカンリ</t>
    </rPh>
    <phoneticPr fontId="9"/>
  </si>
  <si>
    <t>変更の起案者、審議者、承認者が任命されている。また、それぞれの役割・責任が定義されている。</t>
  </si>
  <si>
    <t>変更の起案者・審議者・承認者は、変更管理(4M変更）の教育を受けている。また、その記録がある。</t>
  </si>
  <si>
    <t>回答者は、起案された変更がどのように審議されるか説明できる。また、事業所の安全ルール・作業標準が提案内容と共に分析されている。
３つの変更事例で、安全に関する審議と承認が確認できる。</t>
    <phoneticPr fontId="9"/>
  </si>
  <si>
    <t>RAは、変更管理手順の一部となっており、変更に伴う潜在的なリスク分析を行うことがRAおよび変更記録から確認できる。</t>
    <phoneticPr fontId="9"/>
  </si>
  <si>
    <t>過去6か月の変更管理要求の50%のサンプルチェックにおいて、類似の変更時に他事業所で顕在化した危険源・リスク、他事業所のベストプラクティスが含まれている。</t>
  </si>
  <si>
    <t>変更管理が規定された手順があり、法令確認のステップが含まれている。</t>
  </si>
  <si>
    <t>変更管理手順において、実行された未然防止の管理を提示できる。</t>
  </si>
  <si>
    <t>マネジメントコミットメント</t>
    <phoneticPr fontId="9"/>
  </si>
  <si>
    <t>少なくとも3人の技能員は、危険源や（改善の）機会を報告時に、叱責・報復が無い、またはそれを禁止するルールがある と回答した。</t>
    <phoneticPr fontId="9"/>
  </si>
  <si>
    <t>回答者は、自身に関係する安全の目標、どのような貢献がなされるか、説明できる。【主任】</t>
    <rPh sb="0" eb="2">
      <t>カイトウ</t>
    </rPh>
    <rPh sb="2" eb="3">
      <t>シャ</t>
    </rPh>
    <rPh sb="5" eb="7">
      <t>ジシン</t>
    </rPh>
    <rPh sb="8" eb="10">
      <t>カンケイ</t>
    </rPh>
    <rPh sb="12" eb="14">
      <t>アンゼン</t>
    </rPh>
    <rPh sb="15" eb="17">
      <t>モクヒョウ</t>
    </rPh>
    <rPh sb="23" eb="25">
      <t>コウケン</t>
    </rPh>
    <rPh sb="32" eb="34">
      <t>セツメイ</t>
    </rPh>
    <rPh sb="39" eb="41">
      <t>シュニン</t>
    </rPh>
    <phoneticPr fontId="11"/>
  </si>
  <si>
    <t>他事業所の変更管理に関する好事例を入手し、自拠点へ落とし込みしていることを確認できる。または、他事業所と比較した結果がある。</t>
  </si>
  <si>
    <t>緊急事態計画</t>
    <rPh sb="0" eb="4">
      <t>キンキュウジタイ</t>
    </rPh>
    <rPh sb="4" eb="6">
      <t>ケイカク</t>
    </rPh>
    <phoneticPr fontId="9"/>
  </si>
  <si>
    <t>自工場の緊急時対応手順の安全に関わるものは、安全機能により法令順守が確認されている。</t>
  </si>
  <si>
    <t>過去1年間、緊急事態訓練の記録がある、また訓練のレビューが完了している。</t>
  </si>
  <si>
    <t>複数のシナリオが策定されている。</t>
    <rPh sb="0" eb="2">
      <t>フクスウ</t>
    </rPh>
    <rPh sb="8" eb="10">
      <t>サクテイ</t>
    </rPh>
    <phoneticPr fontId="11"/>
  </si>
  <si>
    <t>合理的に予見可能な緊急事態が特定され、訓練もそれに基づいて全てのシフトで実施されている。また、緊急事態対応手順が文書化されているか。</t>
  </si>
  <si>
    <t>回答者は、緊急事態の対応手順について、他工場の好事例を取り入れたり工夫していることを示すことができる。または、他事業所と比較した結果がある。</t>
  </si>
  <si>
    <t>緊急時の対応者に期待されること、緊急時の役割に関し、文書化されている。</t>
    <rPh sb="0" eb="3">
      <t>キンキュウジ</t>
    </rPh>
    <rPh sb="4" eb="6">
      <t>タイオウ</t>
    </rPh>
    <rPh sb="6" eb="7">
      <t>シャ</t>
    </rPh>
    <rPh sb="8" eb="10">
      <t>キタイ</t>
    </rPh>
    <rPh sb="16" eb="19">
      <t>キンキュウジ</t>
    </rPh>
    <rPh sb="20" eb="22">
      <t>ヤクワリ</t>
    </rPh>
    <rPh sb="23" eb="24">
      <t>カン</t>
    </rPh>
    <rPh sb="26" eb="29">
      <t>ブンショカ</t>
    </rPh>
    <phoneticPr fontId="11"/>
  </si>
  <si>
    <t>緊急時対応手順は、直近の訓練レビューに基づき、更新されている。</t>
  </si>
  <si>
    <t>緊急時対応計画は、対応者が従うべき明確なルールおよびガイダンスを含んでいる。</t>
    <rPh sb="0" eb="3">
      <t>キンキュウジ</t>
    </rPh>
    <rPh sb="3" eb="5">
      <t>タイオウ</t>
    </rPh>
    <rPh sb="5" eb="7">
      <t>ケイカク</t>
    </rPh>
    <rPh sb="9" eb="11">
      <t>タイオウ</t>
    </rPh>
    <rPh sb="11" eb="12">
      <t>シャ</t>
    </rPh>
    <rPh sb="13" eb="14">
      <t>シタガ</t>
    </rPh>
    <rPh sb="17" eb="19">
      <t>メイカク</t>
    </rPh>
    <rPh sb="32" eb="33">
      <t>フク</t>
    </rPh>
    <phoneticPr fontId="11"/>
  </si>
  <si>
    <t>コミュニケーション</t>
    <phoneticPr fontId="9"/>
  </si>
  <si>
    <t>安全担当課長が、工場内で安全に関するコミュニケーションを行っているか確認する（法的要求事項、4M変更、標準改訂等）。</t>
    <phoneticPr fontId="9"/>
  </si>
  <si>
    <t>入社時の安全関連の教育において、災害発生状況、重大リスクおよびその低減方法が含まれているかどうか確認する。</t>
    <phoneticPr fontId="9"/>
  </si>
  <si>
    <t>技能員は、安全関連の課題（災害・ヒヤリ・不具合など）を発見した際に、だれに報告すべきかを知っているか確認する。</t>
    <phoneticPr fontId="9"/>
  </si>
  <si>
    <t>技能員は、災害・ヒヤリ・不具合を管理者に報告した後、管理者からその対応について報告を受けているかどうか確認する。</t>
    <phoneticPr fontId="9"/>
  </si>
  <si>
    <t>技能員が、安全に関する改善活動を行う際は、自身/自部署だけでなく、小集団・CFTで行っているかどうか確認する。</t>
    <phoneticPr fontId="9"/>
  </si>
  <si>
    <t>安全に関する標準は、有効性が評価され、必要に応じて改善されているかどうか確認する。
（安全に関する標準が協議/審議・及び審議意見が反映されているかどうか）</t>
    <phoneticPr fontId="9"/>
  </si>
  <si>
    <t>Solidification Assessment DP Instruction</t>
  </si>
  <si>
    <t>No.</t>
  </si>
  <si>
    <t>Result</t>
  </si>
  <si>
    <t>Instruction</t>
  </si>
  <si>
    <t>Target</t>
  </si>
  <si>
    <t>Quickness of issue solving
Deep root cause analysis, standardization and implementation</t>
  </si>
  <si>
    <t>Governance</t>
  </si>
  <si>
    <t>Risk</t>
  </si>
  <si>
    <t>Autonomous/ Daily onsite DP KY</t>
  </si>
  <si>
    <t>Compliance</t>
  </si>
  <si>
    <t>自他事業所のトラブル内容の共有化、また、対策推進の際は技能員の意見を聞き、対応状況のフィードバックについても確実に実施していること、職長の危険物取扱者資格(乙4)についても対象者全員が取得しておりましたので活動の継続をお願いします。
精練防災専任の配置については、24MBP/OBへ組み入れ、計画通りの推進をお願い致します。</t>
    <rPh sb="10" eb="12">
      <t>ナイヨウ</t>
    </rPh>
    <rPh sb="13" eb="16">
      <t>キョウユウカ</t>
    </rPh>
    <rPh sb="20" eb="22">
      <t>タイサク</t>
    </rPh>
    <rPh sb="22" eb="24">
      <t>スイシン</t>
    </rPh>
    <rPh sb="25" eb="26">
      <t>サイ</t>
    </rPh>
    <rPh sb="27" eb="30">
      <t>ギノウイン</t>
    </rPh>
    <rPh sb="31" eb="33">
      <t>イケン</t>
    </rPh>
    <rPh sb="34" eb="35">
      <t>キ</t>
    </rPh>
    <rPh sb="37" eb="39">
      <t>タイオウ</t>
    </rPh>
    <rPh sb="39" eb="41">
      <t>ジョウキョウ</t>
    </rPh>
    <rPh sb="54" eb="56">
      <t>カクジツ</t>
    </rPh>
    <rPh sb="57" eb="59">
      <t>ジッシ</t>
    </rPh>
    <rPh sb="66" eb="68">
      <t>ショクチョウ</t>
    </rPh>
    <rPh sb="69" eb="72">
      <t>キケンブツ</t>
    </rPh>
    <rPh sb="72" eb="75">
      <t>トリアツカイシャ</t>
    </rPh>
    <rPh sb="75" eb="77">
      <t>シカク</t>
    </rPh>
    <rPh sb="78" eb="79">
      <t>オツ</t>
    </rPh>
    <rPh sb="86" eb="88">
      <t>タイショウ</t>
    </rPh>
    <rPh sb="88" eb="89">
      <t>シャ</t>
    </rPh>
    <rPh sb="89" eb="91">
      <t>ゼンイン</t>
    </rPh>
    <rPh sb="92" eb="94">
      <t>シュトク</t>
    </rPh>
    <rPh sb="124" eb="126">
      <t>ハイチ</t>
    </rPh>
    <rPh sb="141" eb="142">
      <t>ク</t>
    </rPh>
    <rPh sb="143" eb="144">
      <t>イ</t>
    </rPh>
    <rPh sb="148" eb="149">
      <t>トオ</t>
    </rPh>
    <rPh sb="151" eb="153">
      <t>スイシン</t>
    </rPh>
    <rPh sb="155" eb="156">
      <t>ネガ</t>
    </rPh>
    <rPh sb="157" eb="158">
      <t>イタ</t>
    </rPh>
    <phoneticPr fontId="6"/>
  </si>
  <si>
    <t>安全活動全般について、標準通りの管理ができており、更にPDCAサイクルを回して継続的な改善が実施され、トラブル対応等についても、技能員の意見を聞き、フィードバックも確実に実施されておりましたので活動の継続をお願いします。
個々の活動については、工程や対象者により、実施内容の差（自律的KY、３Sビジュアル標準等）がありました。
更に安全活動を向上させ盤石な体制に向け、マネジメントチーム（基幹職・主任）全員で工場全体の安全活動推進状況を
現物現場で有効性を確認し、抽出した課題について討議する等、仕組の構築や標準化について検討をお願い致します。</t>
    <rPh sb="0" eb="4">
      <t>アンゼンカツドウ</t>
    </rPh>
    <rPh sb="4" eb="6">
      <t>ゼンパン</t>
    </rPh>
    <rPh sb="11" eb="13">
      <t>ヒョウジュン</t>
    </rPh>
    <rPh sb="13" eb="14">
      <t>ドオ</t>
    </rPh>
    <rPh sb="16" eb="18">
      <t>カンリ</t>
    </rPh>
    <rPh sb="25" eb="26">
      <t>サラ</t>
    </rPh>
    <rPh sb="36" eb="37">
      <t>マワ</t>
    </rPh>
    <rPh sb="39" eb="42">
      <t>ケイゾクテキ</t>
    </rPh>
    <rPh sb="43" eb="45">
      <t>カイゼン</t>
    </rPh>
    <rPh sb="46" eb="48">
      <t>ジッシ</t>
    </rPh>
    <rPh sb="52" eb="54">
      <t>ココ</t>
    </rPh>
    <rPh sb="55" eb="57">
      <t>カツドウ</t>
    </rPh>
    <rPh sb="63" eb="65">
      <t>コウテイ</t>
    </rPh>
    <rPh sb="66" eb="69">
      <t>タイショウシャ</t>
    </rPh>
    <rPh sb="73" eb="75">
      <t>ジッシ</t>
    </rPh>
    <rPh sb="75" eb="77">
      <t>ナイヨウ</t>
    </rPh>
    <rPh sb="78" eb="80">
      <t>シンド</t>
    </rPh>
    <rPh sb="81" eb="82">
      <t>サ</t>
    </rPh>
    <rPh sb="83" eb="86">
      <t>ジリツテキ</t>
    </rPh>
    <rPh sb="110" eb="112">
      <t>ヒョウジュン</t>
    </rPh>
    <rPh sb="112" eb="113">
      <t>トウ</t>
    </rPh>
    <rPh sb="124" eb="126">
      <t>アンゼン</t>
    </rPh>
    <rPh sb="126" eb="128">
      <t>カツドウ</t>
    </rPh>
    <rPh sb="132" eb="133">
      <t>ハカ</t>
    </rPh>
    <rPh sb="167" eb="169">
      <t>ジョウキョウ</t>
    </rPh>
    <rPh sb="171" eb="173">
      <t>コウジョウ</t>
    </rPh>
    <rPh sb="175" eb="177">
      <t>バンジャク</t>
    </rPh>
    <rPh sb="178" eb="180">
      <t>タイセイ</t>
    </rPh>
    <rPh sb="181" eb="182">
      <t>ム</t>
    </rPh>
    <rPh sb="187" eb="189">
      <t>チュウシュツ</t>
    </rPh>
    <rPh sb="191" eb="193">
      <t>カダイ</t>
    </rPh>
    <rPh sb="197" eb="199">
      <t>トウギ</t>
    </rPh>
    <rPh sb="201" eb="202">
      <t>トウ</t>
    </rPh>
    <rPh sb="203" eb="205">
      <t>シクミ</t>
    </rPh>
    <rPh sb="206" eb="208">
      <t>コウチク</t>
    </rPh>
    <rPh sb="209" eb="212">
      <t>ヒョウジュンカ</t>
    </rPh>
    <rPh sb="221" eb="222">
      <t>ネガ</t>
    </rPh>
    <rPh sb="223" eb="224">
      <t>イタ</t>
    </rPh>
    <phoneticPr fontId="6"/>
  </si>
  <si>
    <t>Legend</t>
    <phoneticPr fontId="6"/>
  </si>
  <si>
    <t>Solidification Assessment - Safety</t>
  </si>
  <si>
    <t>: Items from Safety Maturity Assessment</t>
    <phoneticPr fontId="9"/>
  </si>
  <si>
    <t>: Items that is newly added for solidification assessment</t>
    <phoneticPr fontId="9"/>
  </si>
  <si>
    <t>Judgement Criteria</t>
    <phoneticPr fontId="9"/>
  </si>
  <si>
    <t>Safety/
DP</t>
    <phoneticPr fontId="6"/>
  </si>
  <si>
    <t>Secondary Categoty</t>
    <phoneticPr fontId="6"/>
  </si>
  <si>
    <t>Current Issues Disposition</t>
    <phoneticPr fontId="9"/>
  </si>
  <si>
    <t>Potential Risk Prevention</t>
    <phoneticPr fontId="9"/>
  </si>
  <si>
    <t>Proactive Prevention</t>
    <phoneticPr fontId="9"/>
  </si>
  <si>
    <t>Independent Quality Management</t>
    <phoneticPr fontId="9"/>
  </si>
  <si>
    <t>判定転記</t>
    <rPh sb="0" eb="2">
      <t>ハンテイ</t>
    </rPh>
    <rPh sb="2" eb="4">
      <t>テンキ</t>
    </rPh>
    <phoneticPr fontId="6"/>
  </si>
  <si>
    <t>Judge</t>
    <phoneticPr fontId="6"/>
  </si>
  <si>
    <t xml:space="preserve">Quickness of issue solving
Deep root cause analysis, standardization and implementation </t>
    <phoneticPr fontId="6"/>
  </si>
  <si>
    <t>Safety</t>
    <phoneticPr fontId="6"/>
  </si>
  <si>
    <t>All teammates stated that, at least, safety manager and site leadership representative (e.g. plant manager, department manager, line manager) was involved in the root cause analysis process when a serious incident(lost-time-injury, etc.) occurred.
(Leadership: Operator: No.5)</t>
    <phoneticPr fontId="9"/>
  </si>
  <si>
    <t>All teammates can state that they are informed of recent safety incidents (injury, near-miss, etc.) in their areas and actions have been taken to address these.
(Teammate Engagement: Operator: No.7)</t>
  </si>
  <si>
    <t>All teammates say that they are well informed and can explain how the information* communicated contributes to their safety.  
(System: Operator: No.64)
 *information: injury, near-miss etc.</t>
  </si>
  <si>
    <t>Teammates can provide examples of accidents which occurred on other facilities and how that information was obtained. 
(System: Operator: No.110)</t>
  </si>
  <si>
    <t>H&amp;S risks/measures of other departments have been shared at the safety meeting in your department.
(Teammate Engagement: Operator: No.17)</t>
  </si>
  <si>
    <t>安全</t>
    <rPh sb="0" eb="2">
      <t>アンゼン</t>
    </rPh>
    <phoneticPr fontId="6"/>
  </si>
  <si>
    <t>There is evidence that actions have been taken to prevent recurring incidents. And SVs can explain it.
And also, confirm at least one example at GENBA.
(System: Safety Manager: No.30)
 *Ask SVs</t>
  </si>
  <si>
    <t>A sample of 3 teammates, at least 1 (more than 33%) said they take part in the actions required to prevent safety accidents and provide feedback if these actions are not appropriate or useful. 
(Teammate Engagement: Operator: No.6)</t>
  </si>
  <si>
    <t>The safety manager can explain what actions are required for recurrence prevention when occuring a safety accicdent.
(System: Safety Manager: No.86)</t>
  </si>
  <si>
    <t>All teammates stated that management had taken specific actions to address hazards they reported, and these actions have been communicated to them. (safety point of view)
(Organization: Operator: No.16)</t>
  </si>
  <si>
    <t>The safety leader can explain how such reviews are completed and why that method(s) is effective, providing feedback to SBU and assisting in determining countermeasures. (Example: Share more valid safety measreus than measures proposed by GBS/SBU)
(System: Safety Manager: No.140)</t>
  </si>
  <si>
    <t>Injury
 Reporting</t>
    <phoneticPr fontId="6"/>
  </si>
  <si>
    <t>Issuing injury report with SBU's support.
(Safety Manager)</t>
  </si>
  <si>
    <t>Injury report is issued by plant, but there was a delay in the due date in the guideline.
(Safety Manager)</t>
  </si>
  <si>
    <t>Injury report is issued by plant, within the due date that is standardized in the guideline. 
And root cause analysis and its countermeasure has been completed and these report is issued within the due date as the guideline.
(Safety Manager)</t>
  </si>
  <si>
    <t>Injury report is issued by plant, within the due date that is standardized in the guideline. 
And root cause analysis and its countermeasure has been completed and these report is issued within the due date as the guideline.
Also, the countermeasure has been spreaded to similar machines/tasks. After the countermeasure is compleated, the report to SBU has been issued. 
(Safety Manager)</t>
    <phoneticPr fontId="6"/>
  </si>
  <si>
    <t>Past countermeasures have been re-checked its implementation status periodically.
 *At least, need to check its progress within 1 year.
(Safety Manager)</t>
  </si>
  <si>
    <t>Recurrence
Prevention
Process KPI</t>
    <phoneticPr fontId="6"/>
  </si>
  <si>
    <t>There is no plan for countermeasures from outside of plant.
 *"Countermeasure" in this part means that is issued from BSJ7310
(Safety Manager)</t>
  </si>
  <si>
    <t>There is a plan for contermeasure, but there is a delay in the plan. 
 *No corrective plan for delay.
(Safety Manager)</t>
  </si>
  <si>
    <t>There is a plan for contermeasure, and it is on-going to the plan, but not yet completed.
Or, there is a delay but corrective plan has been made for it, and it is on-going.
(Safety Manager)</t>
  </si>
  <si>
    <t>There is a plan for contermeasure, and progressing ahead of the plan, but not yet completed.
(Safety Manager)</t>
  </si>
  <si>
    <t>All contermeasures have been completed.
(Safety Manager)</t>
  </si>
  <si>
    <t>Symptom Management for QM defct
Management and analysis of information which is exploared, issued</t>
    <phoneticPr fontId="6"/>
  </si>
  <si>
    <t>There is evidence that the required risk assessments have been done or there is a plan to complete.
(System: Safety Manager: No.28)</t>
  </si>
  <si>
    <t>There is a risk tracking that lists specific risks on site.
(System: Safety Manager: No.53)</t>
  </si>
  <si>
    <t>There is at least one control prescribed for each risk identified. These controls are either administrative or technical by nature. The remaining risks are written in the work standard.
(System: Safety Manager: No.85)</t>
  </si>
  <si>
    <t>The respondent is able to provide at least one recent example of bottom-up communication on hazards and risks.
(System: Safety Manager: No.95)</t>
  </si>
  <si>
    <t>The respondent can show evidence of at least one review performed in the past 12 months where the risk assessment result/process was improved based on external best practice. 
(System: Safety Manager: No.139)</t>
  </si>
  <si>
    <t>Equipment RA</t>
    <phoneticPr fontId="6"/>
  </si>
  <si>
    <t>There is a plan for Machine RA.
(Safety Manager)</t>
  </si>
  <si>
    <t>There is a plan for hardware countermeasures, but there is a delay in the plan. 
 *No corrective plan for the delay.
(Safety Manager)</t>
  </si>
  <si>
    <t>There is a plan for hardware countermeasures , and it is on-going to the plan.
Or, there is a delay but corrective plan has been made for it, and it is on-going.
(Safety Manager)</t>
  </si>
  <si>
    <t>There is a plan for hardware contermeasures, and progressing ahead of the plan, but not yet completed.
(Safety Manager)</t>
  </si>
  <si>
    <t>All contermeasures have been completed.
 *all risks that could be countered by hardware have been reduced by hardware.
(Safety Manager)</t>
  </si>
  <si>
    <t>Task RA</t>
    <phoneticPr fontId="6"/>
  </si>
  <si>
    <t>There is a plan for Task RA.
(Safety Manager)</t>
  </si>
  <si>
    <t>There is a plan for Task RA, but there is a delay in the plan. 
 *No corrective plan for the delay.
(Safety Manager)</t>
  </si>
  <si>
    <t>There is a plan for Task RA, and it is on-going to the plan.
Or, there is a delay but corrective plan has been made for it, and it is on-going.
(Safety Manager)</t>
  </si>
  <si>
    <t>There is a plan for Task RA, and progressing ahead of the plan, but not yet completed.
(Safety Manager)</t>
  </si>
  <si>
    <t>All task RA have been completed.
(Safety Manager)</t>
  </si>
  <si>
    <t>The basic LOTO training has been implemented anually, all operators understand basic LOTO operation.
And, operator take one's own key and locks to GENBA if it is necessary.
(operator)</t>
    <phoneticPr fontId="6"/>
  </si>
  <si>
    <t>With the basic LOTO training, ECP has been trained to all operators, and they understand LOTO procedure.
 *ECP should be included in SOP.
 *ECP should be prepared for all LOTO devise
(Operator)</t>
    <phoneticPr fontId="6"/>
  </si>
  <si>
    <t>SVs can explain what operation needs LOTO in their own process, and SOP has been already prepared.
(SVs)</t>
    <phoneticPr fontId="6"/>
  </si>
  <si>
    <t>If the operator handle LOTO procedure regularly, he/she can explain its detail procedure.
If the operator do not handle LOTO, he/she can explain basic LOTO rule.
(Operator)</t>
    <phoneticPr fontId="6"/>
  </si>
  <si>
    <t>LOTO method is standardized as the site's rule, and managers and/or SVs confirm its compliance by patrol or something.(GENBA)
 In case of instruction is needed, they could instruct it.
(SVs)</t>
    <phoneticPr fontId="6"/>
  </si>
  <si>
    <t>Safety trainings have been given to workers when new hired and/or trasfered. 
(SVs)</t>
    <phoneticPr fontId="6"/>
  </si>
  <si>
    <t>Safety training meets regional legal requirement.
(SVs)</t>
    <phoneticPr fontId="6"/>
  </si>
  <si>
    <t>Operators can work alone after their skill/knowledge is validated by the site's criteria.
(SVs)</t>
    <phoneticPr fontId="6"/>
  </si>
  <si>
    <t>Skill/knowledge training is managed by IIP for all operaters, and its criteria is clear.
Also, their skill/knowledge is followed up until they achieve 100%
(SVs)</t>
    <phoneticPr fontId="6"/>
  </si>
  <si>
    <t>All operators understanding is confirmed periodically, and the confirmation step is standardized.
(SVs)</t>
    <phoneticPr fontId="6"/>
  </si>
  <si>
    <t>Fundamental enhancement by Cpk and COPQ analysis
QM management assurerance across value chain</t>
    <phoneticPr fontId="6"/>
  </si>
  <si>
    <t>Safety policy/target has not been issued.
(Safety Manager)</t>
  </si>
  <si>
    <t>OH&amp;S policy has been established at site. And the manager can explain it.
(System: Plant Manager: No.9)</t>
    <phoneticPr fontId="6"/>
  </si>
  <si>
    <t>Management can describe and explain the site's OH&amp;S objectives and goals.
(System: Manager: No.66)</t>
  </si>
  <si>
    <t>The plan contains goals to be achieved which are relevant to the incidents and risks identified by the SBU.
(System: Manager: No.98)</t>
  </si>
  <si>
    <t>There is evidence of OH&amp;S benchmarking with other sites.
(System: Safety Manager: No.123)</t>
  </si>
  <si>
    <t>There is no implementation plan for safety.
(Safety Manager)</t>
    <phoneticPr fontId="6"/>
  </si>
  <si>
    <t>There are documented OH&amp;S action plans and evidence of OH&amp;S results tracking.
(System: Plant Manager: No.10)</t>
  </si>
  <si>
    <t>Safety KPIs are tracked at plant, department and line level.
To solve issues on H&amp;S, site leadership follow safety KPIs, and give directions to review the safety program if necessary.
(Leadership: Plant Manager: No.6)</t>
  </si>
  <si>
    <t>Safety KPIs are tracked positively at plant, department and line level - using "Leading indicators"(e.g. Progress of RA, KPI for 3S activity, etc.)
Site leadership follow not only lagging indicator(e.g. # of injuries), but also leading indicators, and give directions to review and/or improve safety programs if necessary.
(Leadership: Plant Manager: No.14)</t>
  </si>
  <si>
    <t>The Plant Manager can describe his/her OH&amp;S strategy and its goals, and how it will be implemented and the goals achieved.
And, the strategy has been reviewed quarterly - its progress, validity. Also, revision/instruction for the starategy result have been implemented by plant manager.
(Leadership: Plant manager: No.21)</t>
  </si>
  <si>
    <t>Internal/external audit has not been conducted.
(Safety Manager)</t>
  </si>
  <si>
    <t>Internal audit has been conducted, and its report could be found. But, it is not enough to follow up the findings.
(System: Safety Manager: No.47)</t>
  </si>
  <si>
    <t>Items/Non-Conformities pointed out at the internal audits were improved or planed to improve them.
(System: Safety Manager: No.77)</t>
  </si>
  <si>
    <t>OFIs found at last internal audit have been improved or have been planed to improve.
(System: Safety Manager: No.106)</t>
  </si>
  <si>
    <t>Regarding the safety management system in the plant, the H&amp;S manager can explain evaluation results by third party, feedback, and the actions.
(Organization: Safety Manager: No.20)</t>
  </si>
  <si>
    <t>Independent implementation of BSFA</t>
    <phoneticPr fontId="9"/>
  </si>
  <si>
    <t>All teammates are taking BSFA training more than annually.
(Operator)</t>
  </si>
  <si>
    <t>All teammates are taking BSFA training more than annually, but the material is not the latest version.
(Safety Manager)</t>
  </si>
  <si>
    <t>All teammates are taking BSFA training more than annually, and the material is the latest version.
 *Confirm the the material and training records
 *In case that the material is not updated, if the site have a plan for the training, this item could be judged "Yes".
(Safety Manager)</t>
  </si>
  <si>
    <t>After the BSFA training, all teammates' understandings are validated in GENBA situation by manager or supervisor.
(Safety Manager)</t>
  </si>
  <si>
    <t>After the BSFA training, all teammates' understandings are validated in GENBA situation by manager or supervisor, and all teammates could answer correctly. 
(Safety Manager)</t>
  </si>
  <si>
    <t>3S Documents are displayed in work areas, and there is evidence of this being followed.
And, self-check has been implemented.
(System: Operator: No.19)</t>
    <phoneticPr fontId="11"/>
  </si>
  <si>
    <t>There is an officially appointed 3S leader on site. There is evidence of 3S inspections and recommended actions to improve 3S. 
(System: Safety Manager: No.44+45)</t>
  </si>
  <si>
    <t>The 3S Visual Standard was prepared and all inspected work areas were cleaned (no debris on floor, no spillages) as defined in the 3S visual standard, and there were no unnecessary objects that were not currently in use in the work area.
  *work area: production area and office
(System: Operator: No.75)</t>
    <phoneticPr fontId="6"/>
  </si>
  <si>
    <t>3S activity for the improvement of 3S level has been  proceeded. (or Improvement of 3S level can be confirmed, or 3s level is over 4.)
(System: Operator: No.105)</t>
  </si>
  <si>
    <t>The best practices on 3S have been gathered from other plants/industry, and it has been incorporated into the site procedure. or There is a evidence of the comparison with other plants.
(System: Safety Manager: No.133)</t>
  </si>
  <si>
    <t>KYT/
Practical KYT</t>
    <phoneticPr fontId="6"/>
  </si>
  <si>
    <t>KYT has not been implemented.
(Safety Manager)
　*Ask SVs</t>
    <phoneticPr fontId="9"/>
  </si>
  <si>
    <t>There is evidence of a defined KY process that been communicated with all staff at least once in the past year.
(System: Manager: No.26)</t>
  </si>
  <si>
    <t>There is an officially appointed KY leader and KY representatives on site.
(System: Manager: No.55)</t>
  </si>
  <si>
    <t>KYT records show that all teammates and temporary staff have submitted a KYT within the last 3 months.
KYT records indicate that KYT is completed periodically in accordance with SBU and/or site standard by everyone on site. 
(System: Safety Manager: No.83+112)</t>
  </si>
  <si>
    <t>The KYT activity is evaluated and opportunity for inprovement is discussed with the plant manager annually. 
(System: Safety Manager: No.113)</t>
  </si>
  <si>
    <t>Autonomously
KY</t>
    <phoneticPr fontId="6"/>
  </si>
  <si>
    <t>Autonomously KY has not been conducted.
(SVs)</t>
    <phoneticPr fontId="9"/>
  </si>
  <si>
    <t>Autonomously KY has been conducted but it is conducted by group. (not individual)
(Operator)</t>
    <phoneticPr fontId="9"/>
  </si>
  <si>
    <t>All teammates conduct autonomously KY everyday, decide KY point and its action to avoid.
(need to check evidence)
(Operator)</t>
  </si>
  <si>
    <t>SVs or leaders conduct GENBA patrol to confirm autonomously KY result, and instruct teammates if needed.
(Operator)</t>
  </si>
  <si>
    <t>Visualized the reslut of autonomously KY (making a map), promoted KAIZEN activity besed on the result.
Operators can explain an example of KAIZEN activity that is based on autononously KY.
 *update safety rule, machinery update, etc.
 *if the site has the system to manage bottom up KAIZEN cycle as from KY activity, this item could be judged "Yes"
(Operator)</t>
    <phoneticPr fontId="9"/>
  </si>
  <si>
    <t>All teammates recognize the H&amp;S risks applicable in their areas and confirmed these were addressed in trainings. 
(Teammate Engagement: Operator: No.1)</t>
    <phoneticPr fontId="9"/>
  </si>
  <si>
    <t>A sample of 3 teammates could all state that they took the traning on residual risks based on the work standard.
(Teammate Engagement: Operator: No.11)</t>
  </si>
  <si>
    <t>A sample of 3 teammates could all describe and explain the greatest potential H&amp;S risks in their work, and what controls they use or are in place to mitigate these risks.
(Teammate Engagement: Operator: No.13)</t>
  </si>
  <si>
    <t>In a sample of 3 teammates, at least one have participated RA process, and he/she could explain a full and accurate Risk Assessment.
(Teammate Engagement: Operator: No.14)</t>
  </si>
  <si>
    <t>Safety Rule</t>
  </si>
  <si>
    <t>All operators shows understanding of the applicable All Bridgestone Safety Rules in their areas.
(System: Operator: No.13)</t>
    <phoneticPr fontId="6"/>
  </si>
  <si>
    <t>The respondent can clearly indicate how Site Safety Rules are reviewed and improved.
(System: Safety Manager: No.41)</t>
  </si>
  <si>
    <t>All teammates can demonstrate knowledge of the Safety Rules and explain key points on safety in the work standard.
(System: Operator: No.70)</t>
  </si>
  <si>
    <t>Line-management conducts floor observations(e.g. site tours) and provide feedbacks to teammates to ensure adherence to safety rules, such as procedures, standards, etc. 
(Leadership: SVs: No.9)</t>
  </si>
  <si>
    <t>The respondent explains that feedback is used to make tangible changes in the Safety Rules and can give at least 1 recent example. 
（Examples of FB: Responsed to proposed safety rules. Teammates can work based on the safety rules, or require changes due to dificulties to work based on the rules, etc.)
(System: Operator: No.128)</t>
  </si>
  <si>
    <t>4M change process is standardized/documented at the site.
(Safety Manager)</t>
    <phoneticPr fontId="6"/>
  </si>
  <si>
    <t>4M change process is standardized/documented at the site, and EHS manager confirm/approve it as a system.
(Safety Manager)</t>
    <phoneticPr fontId="6"/>
  </si>
  <si>
    <t>In 4M change process, RA before/after the change by EHS team is standardized, and could see the evidence.
 *at leastt one example should be validated
(Safety Manager)</t>
    <phoneticPr fontId="6"/>
  </si>
  <si>
    <t>The changing point is valiadted not only by documents documents or pictures, but by GENBA validation.
(Safety Manager)</t>
    <phoneticPr fontId="6"/>
  </si>
  <si>
    <t>After the change, EHS team confirm whether there is any problem or not as intial management.
(Safety manager)</t>
    <phoneticPr fontId="6"/>
  </si>
  <si>
    <t>Autonomously Managemet System</t>
    <phoneticPr fontId="6"/>
  </si>
  <si>
    <t>Management System:
P</t>
    <phoneticPr fontId="6"/>
  </si>
  <si>
    <t>There is no IIP for Safety.
(Safety Manager)</t>
  </si>
  <si>
    <t>Safety IIP is issued only by top-management  and safety committee, and the plan is deployed in plant. 
Or, the plan is approved by plant manager and issued in plant, but it was deployed not all department.
(Safety Manager)</t>
  </si>
  <si>
    <t>Safety IIP is approved by plant manager and safety committee, and it was deployed into all department.
(Safety Manager)</t>
  </si>
  <si>
    <t>Safety IIP is approved by plant manager and safety committee, and it was deployed into all department, and all department shared it in team. (Each department has each safety IIP)
(Safety Manager)
 *Ask Manager (not safety)</t>
    <phoneticPr fontId="9"/>
  </si>
  <si>
    <t>Before Safety IIP is approved by plant manager and safety committee, the plan has been discussed and built a consensus by all team.
And, all teammates has been explained it and confirmed its understandings.
(Safety Manager)
 *Ask Manager (not safety)</t>
    <phoneticPr fontId="9"/>
  </si>
  <si>
    <t>Management System:
D</t>
  </si>
  <si>
    <t>Safety activities have not been conducted as the IIP in plant.
(Safety Manager)
 *Ask Manager (not safety)</t>
    <phoneticPr fontId="9"/>
  </si>
  <si>
    <t>Almost of Safety activities have been conducted as the IIP in plant, but some activities have not.
(Safety Manager)
 *Ask Manager (not safety)</t>
    <phoneticPr fontId="9"/>
  </si>
  <si>
    <t>Safety activities have been conducted as the IIP in plant.
(Safety Manager)
 *Ask Manager (not safety)</t>
    <phoneticPr fontId="9"/>
  </si>
  <si>
    <t>Safety activities have been conducted as the IIP in plant, but it is only for direct employee. 
(Safety Manager)
 *Ask Manager (not safety)</t>
    <phoneticPr fontId="9"/>
  </si>
  <si>
    <t>Managers lead/self-implement/follow-up/instruct  safety activities as safety IIP, and 
all workers in plant have implemented these.
(Safety Manager)
 *Ask Manager (not safety)</t>
    <phoneticPr fontId="9"/>
  </si>
  <si>
    <t>Management System:
C</t>
  </si>
  <si>
    <t>Progress of safety IIP have not been followed-up.
(Safety Manager)
 *Ask Manager (not safety)</t>
    <phoneticPr fontId="9"/>
  </si>
  <si>
    <t>Progress of safety IIP have been followed-up almost, but not all items.
(Safety Manager)
 *Ask Manager (not safety)</t>
    <phoneticPr fontId="9"/>
  </si>
  <si>
    <t>All items in Safety IIP have been followed-up.
(At least once a month)
(Safety Manager)
 *Ask Manager (not safety)</t>
    <phoneticPr fontId="9"/>
  </si>
  <si>
    <t>All items in Safety IIP have been followed-up more than once a month, but it is not enough to check/confirm it in GENBA.
 *No evidence to check/confirm in GENBA
(Safety Manager)
 *Ask Manager (not safety)</t>
    <phoneticPr fontId="9"/>
  </si>
  <si>
    <t>Progress of Safety IIP have been followed-up by management team, including SVs, and it has been checked/confirmed in GENBA.
(Manager, SV)
 *Ask Manager (not safety)</t>
    <phoneticPr fontId="9"/>
  </si>
  <si>
    <t>Management System:
A</t>
  </si>
  <si>
    <t>Safety IIP has been followed-up but review/re-thinking has not been done, issued/OFI have not been extracted.
(Safety Manager)
 *Ask Manager (not safety)</t>
    <phoneticPr fontId="9"/>
  </si>
  <si>
    <r>
      <t xml:space="preserve">Safety IIP has been followed-up, and review/re-thinking has </t>
    </r>
    <r>
      <rPr>
        <strike/>
        <sz val="11"/>
        <color rgb="FF0000FF"/>
        <rFont val="Yu Gothic UI"/>
        <family val="3"/>
        <charset val="128"/>
      </rPr>
      <t>not</t>
    </r>
    <r>
      <rPr>
        <sz val="11"/>
        <color theme="1"/>
        <rFont val="Yu Gothic UI"/>
        <family val="3"/>
        <charset val="128"/>
      </rPr>
      <t xml:space="preserve"> been done, also, issued/OFI have been extracted, but not for all item.
(Safety Manager)
 *Ask Manager (not safety)</t>
    </r>
    <phoneticPr fontId="9"/>
  </si>
  <si>
    <r>
      <t xml:space="preserve">Safety IIP has been followed-up, and review/re-thinking has </t>
    </r>
    <r>
      <rPr>
        <strike/>
        <sz val="11"/>
        <color rgb="FF0000FF"/>
        <rFont val="Yu Gothic UI"/>
        <family val="3"/>
        <charset val="128"/>
      </rPr>
      <t>not</t>
    </r>
    <r>
      <rPr>
        <sz val="11"/>
        <color theme="1"/>
        <rFont val="Yu Gothic UI"/>
        <family val="3"/>
        <charset val="128"/>
      </rPr>
      <t xml:space="preserve"> been done, also, issued/OFI have been extracted, but safety activities have not evolved. (just backing-up or revise frequency)
(Safety Manager)
 *Ask Manager (not safety)</t>
    </r>
    <phoneticPr fontId="6"/>
  </si>
  <si>
    <r>
      <t xml:space="preserve">Safety IIP has been followed-up, and review/re-thinking has </t>
    </r>
    <r>
      <rPr>
        <strike/>
        <sz val="11"/>
        <color rgb="FF0000FF"/>
        <rFont val="Yu Gothic UI"/>
        <family val="3"/>
        <charset val="128"/>
      </rPr>
      <t>not</t>
    </r>
    <r>
      <rPr>
        <sz val="11"/>
        <color theme="1"/>
        <rFont val="Yu Gothic UI"/>
        <family val="3"/>
        <charset val="128"/>
      </rPr>
      <t xml:space="preserve"> been done, also, issued/OFI have been extracted, resulting in safety activities have evolved. But, these activities have not been standardized.
(Safety Manager)
 *Ask Manager (not safety)</t>
    </r>
    <phoneticPr fontId="9"/>
  </si>
  <si>
    <r>
      <t xml:space="preserve">Safety IIP has been followed-up, and review/re-thinking has </t>
    </r>
    <r>
      <rPr>
        <strike/>
        <sz val="11"/>
        <color rgb="FF0000FF"/>
        <rFont val="Yu Gothic UI"/>
        <family val="3"/>
        <charset val="128"/>
      </rPr>
      <t>not</t>
    </r>
    <r>
      <rPr>
        <sz val="11"/>
        <color theme="1"/>
        <rFont val="Yu Gothic UI"/>
        <family val="3"/>
        <charset val="128"/>
      </rPr>
      <t xml:space="preserve"> been done, also, issued/OFI have been extracted, resulting in safety activities have evolved. And, these activities have been standardized to keep it going.
(Safety Manager)
 *Ask Manager (not safety)</t>
    </r>
    <phoneticPr fontId="9"/>
  </si>
  <si>
    <t>There is a EHS manager.
(Safety manager)</t>
    <phoneticPr fontId="6"/>
  </si>
  <si>
    <t>There is a EHS manager but he/she has multiple role.
(Safety manager)</t>
    <phoneticPr fontId="6"/>
  </si>
  <si>
    <t>Safety/DP Manager's role is exclusive duty in plant. (Safety/DP Manager is managing only safety and DP, and no any other jobs are assigned.)
And, a safety staff is asigned in plant.
(Safety Manager)</t>
    <phoneticPr fontId="6"/>
  </si>
  <si>
    <t>Safety/DP Manager's role is exclusive duty in plant. (Safety/DP Manager is managing only safety and DP, and no any other jobs are assigned.)
And, a safety staff's role also exclusive duty.
(Safety Manager)</t>
    <phoneticPr fontId="6"/>
  </si>
  <si>
    <t>Safety/DP Manager's role is exclusive duty in plant. (Safety/DP Manager is managing only safety and DP, and no any other jobs are assigned.)
And, his/her experiece is more than three years.
(Safety Manager)</t>
    <phoneticPr fontId="6"/>
  </si>
  <si>
    <t>There is no Safety Engineer (SE).
(Safety Manager)</t>
  </si>
  <si>
    <t>SE has multiple roles.
(Safety Manager)</t>
  </si>
  <si>
    <t>There is a SE exclusive staff.
(Safety Manager)</t>
    <phoneticPr fontId="6"/>
  </si>
  <si>
    <t>SE has a official license certified by government.
(Safety Manager)</t>
  </si>
  <si>
    <t xml:space="preserve">There are SEs (two or more), and they do not have multiple role.
(Safety Manager) </t>
  </si>
  <si>
    <t>Budget for recurrence prevention, RA countermeasure, and working hours (human resource) is not enough.
(Safety Manager)
 *Ask Manager (not safety)</t>
    <phoneticPr fontId="6"/>
  </si>
  <si>
    <t>There is a lack of budget for either recurrence prevention, RA countermeasure, and working hours(human resource).
(Safety Manager)</t>
  </si>
  <si>
    <t>Budget for recurrence prevention, RA countermeasure, and working hours (human resource) is prepared enough as plan.
(Safety Manager)
 *Ask Manager (not safety)</t>
    <phoneticPr fontId="6"/>
  </si>
  <si>
    <t>Budget is used for recurrence prevention, RA countermeasure, and any other activities as planed.
(Safety Manager)
 *Ask Manager (not safety)</t>
    <phoneticPr fontId="6"/>
  </si>
  <si>
    <t>Budget is prepared even for sudden accidents. Or, in case of sudden accidents, additional budget is obtained, and recurrence prevention, RA countermeasure, and any other activities are implemented ahead of schedule.
(Safety Manager)</t>
  </si>
  <si>
    <t>TBD</t>
    <phoneticPr fontId="6"/>
  </si>
  <si>
    <t>BSFA
インストラクター</t>
    <phoneticPr fontId="6"/>
  </si>
  <si>
    <t>インストラクターがいない。</t>
    <phoneticPr fontId="6"/>
  </si>
  <si>
    <t>拠点にマスターインストラクターはいないが、GBSまたはSBUによるインストラクター教育を受講経験のあるものが、安全防災機能に1名以上配置されている。</t>
    <rPh sb="0" eb="2">
      <t>キョテン</t>
    </rPh>
    <rPh sb="41" eb="43">
      <t>キョウイク</t>
    </rPh>
    <rPh sb="44" eb="46">
      <t>ジュコウ</t>
    </rPh>
    <rPh sb="46" eb="48">
      <t>ケイケン</t>
    </rPh>
    <rPh sb="55" eb="59">
      <t>アンゼンボウサイ</t>
    </rPh>
    <rPh sb="59" eb="61">
      <t>キノウ</t>
    </rPh>
    <rPh sb="63" eb="64">
      <t>メイ</t>
    </rPh>
    <rPh sb="64" eb="66">
      <t>イジョウ</t>
    </rPh>
    <rPh sb="66" eb="68">
      <t>ハイチ</t>
    </rPh>
    <phoneticPr fontId="6"/>
  </si>
  <si>
    <t>マスターインストラクターが1名以上配置されている。</t>
    <rPh sb="14" eb="15">
      <t>メイ</t>
    </rPh>
    <rPh sb="15" eb="17">
      <t>イジョウ</t>
    </rPh>
    <rPh sb="17" eb="19">
      <t>ハイチ</t>
    </rPh>
    <phoneticPr fontId="6"/>
  </si>
  <si>
    <t>マスターインストラクターによる教育が実施されているが、全部署には教育・認定がされていない。</t>
    <rPh sb="15" eb="17">
      <t>キョウイク</t>
    </rPh>
    <rPh sb="18" eb="20">
      <t>ジッシ</t>
    </rPh>
    <rPh sb="27" eb="30">
      <t>ゼンブショ</t>
    </rPh>
    <rPh sb="32" eb="34">
      <t>キョウイク</t>
    </rPh>
    <rPh sb="35" eb="37">
      <t>ニンテイ</t>
    </rPh>
    <phoneticPr fontId="6"/>
  </si>
  <si>
    <t>各部署のマネージャー全員がマスターインストラクター教育を受講しており、認定されている。</t>
    <rPh sb="0" eb="3">
      <t>カクブショ</t>
    </rPh>
    <rPh sb="10" eb="12">
      <t>ゼンイン</t>
    </rPh>
    <rPh sb="25" eb="27">
      <t>キョウイク</t>
    </rPh>
    <rPh sb="28" eb="30">
      <t>ジュコウ</t>
    </rPh>
    <rPh sb="35" eb="37">
      <t>ニンテイ</t>
    </rPh>
    <phoneticPr fontId="6"/>
  </si>
  <si>
    <t>■Legend</t>
    <phoneticPr fontId="9"/>
  </si>
  <si>
    <t>評価するポイント</t>
    <rPh sb="0" eb="2">
      <t>ヒョウカ</t>
    </rPh>
    <phoneticPr fontId="6"/>
  </si>
  <si>
    <t>評価項目</t>
    <rPh sb="0" eb="2">
      <t>ヒョウカ</t>
    </rPh>
    <rPh sb="2" eb="4">
      <t>コウモク</t>
    </rPh>
    <phoneticPr fontId="6"/>
  </si>
  <si>
    <t>Point</t>
    <phoneticPr fontId="6"/>
  </si>
  <si>
    <t>Criteria</t>
    <phoneticPr fontId="9"/>
  </si>
  <si>
    <t>・課題解決のスピードとレベル
・深層・真因の深堀、しくみ構築と運用</t>
    <phoneticPr fontId="6"/>
  </si>
  <si>
    <t>災害対応、類災対策</t>
    <rPh sb="0" eb="2">
      <t>サイガイ</t>
    </rPh>
    <rPh sb="2" eb="4">
      <t>タイオウ</t>
    </rPh>
    <rPh sb="5" eb="7">
      <t>ルイサイ</t>
    </rPh>
    <rPh sb="7" eb="9">
      <t>タイサク</t>
    </rPh>
    <phoneticPr fontId="9"/>
  </si>
  <si>
    <t>Yes</t>
    <phoneticPr fontId="6"/>
  </si>
  <si>
    <t>・Cpk　COPQ分析での基盤強化
・VC・階層を俯瞰した品質経営担保</t>
    <phoneticPr fontId="6"/>
  </si>
  <si>
    <t>マネジメントシステム運用</t>
    <rPh sb="10" eb="12">
      <t>ウンヨウ</t>
    </rPh>
    <phoneticPr fontId="9"/>
  </si>
  <si>
    <t>No</t>
    <phoneticPr fontId="6"/>
  </si>
  <si>
    <t>・品質経営知識と意識、活動定着</t>
    <phoneticPr fontId="6"/>
  </si>
  <si>
    <t>規定項目の自律的実行</t>
    <rPh sb="0" eb="2">
      <t>キテイ</t>
    </rPh>
    <rPh sb="2" eb="4">
      <t>コウモク</t>
    </rPh>
    <rPh sb="5" eb="8">
      <t>ジリツテキ</t>
    </rPh>
    <rPh sb="8" eb="10">
      <t>ジッコウ</t>
    </rPh>
    <phoneticPr fontId="9"/>
  </si>
  <si>
    <t xml:space="preserve">Monthly Safety Patrol, </t>
    <phoneticPr fontId="6"/>
  </si>
  <si>
    <t>マネジメントシステムの
自律的実行
※マネジメントシステムを
基盤とした
スパイラルアップ活動</t>
    <phoneticPr fontId="6"/>
  </si>
  <si>
    <t>・品質経営活動に供する組織とリソース</t>
    <phoneticPr fontId="6"/>
  </si>
  <si>
    <t>工場の管理体制</t>
    <rPh sb="0" eb="2">
      <t>コウジョウ</t>
    </rPh>
    <rPh sb="3" eb="5">
      <t>カンリ</t>
    </rPh>
    <rPh sb="5" eb="7">
      <t>タイセイ</t>
    </rPh>
    <phoneticPr fontId="9"/>
  </si>
  <si>
    <t>・課題解決のスピードとレベル
・深層・真因の深堀、しくみ構築と運用</t>
    <phoneticPr fontId="9"/>
  </si>
  <si>
    <t>・品質経営不具合の兆候管理
・探索・発信情報の管理分析力</t>
    <phoneticPr fontId="9"/>
  </si>
  <si>
    <t>RA
(兆候管理からの
改善)</t>
    <phoneticPr fontId="9"/>
  </si>
  <si>
    <t>Autonomous KY</t>
    <phoneticPr fontId="6"/>
  </si>
  <si>
    <t>5 years exp</t>
    <phoneticPr fontId="6"/>
  </si>
  <si>
    <t>(Memo) Reason of judgement</t>
    <phoneticPr fontId="6"/>
  </si>
  <si>
    <t>災害受信してるか・自工場・他工場</t>
    <rPh sb="0" eb="2">
      <t>サイガイ</t>
    </rPh>
    <rPh sb="2" eb="4">
      <t>ジュシン</t>
    </rPh>
    <rPh sb="9" eb="12">
      <t>ジコウジョウ</t>
    </rPh>
    <rPh sb="13" eb="16">
      <t>タコウジョウ</t>
    </rPh>
    <phoneticPr fontId="6"/>
  </si>
  <si>
    <t>再発防止の会議に参加している・または意見している</t>
    <rPh sb="0" eb="4">
      <t>サイハツボウシ</t>
    </rPh>
    <rPh sb="5" eb="7">
      <t>カイギ</t>
    </rPh>
    <rPh sb="8" eb="10">
      <t>サンカ</t>
    </rPh>
    <rPh sb="18" eb="20">
      <t>イケン</t>
    </rPh>
    <phoneticPr fontId="6"/>
  </si>
  <si>
    <t>（災害と同時）対策内容</t>
    <rPh sb="1" eb="3">
      <t>サイガイ</t>
    </rPh>
    <rPh sb="4" eb="6">
      <t>ドウジ</t>
    </rPh>
    <rPh sb="7" eb="9">
      <t>タイサク</t>
    </rPh>
    <rPh sb="9" eb="11">
      <t>ナイヨウ</t>
    </rPh>
    <phoneticPr fontId="6"/>
  </si>
  <si>
    <t>・品質経営不具合の兆候管理
・探索・発信情報の管理分析力</t>
    <phoneticPr fontId="6"/>
  </si>
  <si>
    <t>RAの共有</t>
    <rPh sb="3" eb="5">
      <t>キョウユウ</t>
    </rPh>
    <phoneticPr fontId="6"/>
  </si>
  <si>
    <t>してるか、基本的な教育？手順？</t>
    <rPh sb="5" eb="8">
      <t>キホンテキ</t>
    </rPh>
    <rPh sb="9" eb="11">
      <t>キョウイク</t>
    </rPh>
    <rPh sb="12" eb="14">
      <t>テジュン</t>
    </rPh>
    <phoneticPr fontId="6"/>
  </si>
  <si>
    <t>BSFA教育　1回/年　移譲</t>
    <rPh sb="4" eb="6">
      <t>キョウイク</t>
    </rPh>
    <rPh sb="8" eb="9">
      <t>カイ</t>
    </rPh>
    <rPh sb="10" eb="11">
      <t>ネン</t>
    </rPh>
    <rPh sb="12" eb="14">
      <t>イジョウ</t>
    </rPh>
    <phoneticPr fontId="6"/>
  </si>
  <si>
    <t>レベル④以上か、または改善ちゅうか</t>
    <rPh sb="4" eb="6">
      <t>イジョウ</t>
    </rPh>
    <rPh sb="11" eb="13">
      <t>カイゼン</t>
    </rPh>
    <phoneticPr fontId="6"/>
  </si>
  <si>
    <t>自律的KYしてるか</t>
    <rPh sb="0" eb="3">
      <t>ジリツテキ</t>
    </rPh>
    <phoneticPr fontId="6"/>
  </si>
  <si>
    <t>自律的KYの巡回あるか</t>
    <rPh sb="0" eb="3">
      <t>ジリツテキ</t>
    </rPh>
    <rPh sb="6" eb="8">
      <t>ジュンカイ</t>
    </rPh>
    <phoneticPr fontId="6"/>
  </si>
  <si>
    <t>～改善しているか</t>
    <rPh sb="1" eb="3">
      <t>カイゼン</t>
    </rPh>
    <phoneticPr fontId="6"/>
  </si>
  <si>
    <t>現場のリスク</t>
    <rPh sb="0" eb="2">
      <t>ゲンバ</t>
    </rPh>
    <phoneticPr fontId="6"/>
  </si>
  <si>
    <t>残留リスク（III・IV）</t>
    <rPh sb="0" eb="2">
      <t>ザンリュウ</t>
    </rPh>
    <phoneticPr fontId="6"/>
  </si>
  <si>
    <t>最大のリスク</t>
    <rPh sb="0" eb="2">
      <t>サイダイ</t>
    </rPh>
    <phoneticPr fontId="6"/>
  </si>
  <si>
    <t>RAかんぺき？</t>
    <phoneticPr fontId="6"/>
  </si>
  <si>
    <t>他部署のリスク？</t>
    <rPh sb="0" eb="3">
      <t>タブショ</t>
    </rPh>
    <phoneticPr fontId="6"/>
  </si>
  <si>
    <t>BS安全ルールしってるか</t>
    <rPh sb="2" eb="4">
      <t>アンゼン</t>
    </rPh>
    <phoneticPr fontId="6"/>
  </si>
  <si>
    <t>標準に反映されているか、安全ルール</t>
    <rPh sb="0" eb="2">
      <t>ヒョウジュン</t>
    </rPh>
    <rPh sb="3" eb="5">
      <t>ハンエイ</t>
    </rPh>
    <rPh sb="12" eb="14">
      <t>アンゼン</t>
    </rPh>
    <phoneticPr fontId="6"/>
  </si>
  <si>
    <t>改善事例</t>
    <rPh sb="0" eb="2">
      <t>カイゼン</t>
    </rPh>
    <rPh sb="2" eb="4">
      <t>ジレイ</t>
    </rPh>
    <phoneticPr fontId="6"/>
  </si>
  <si>
    <t>Solidification Assessment [DP] - DP Manager Sheet</t>
  </si>
  <si>
    <t>Solidification
5 items</t>
    <phoneticPr fontId="9"/>
  </si>
  <si>
    <t>Fire reporting</t>
  </si>
  <si>
    <t>Fire RA
Progress</t>
    <phoneticPr fontId="9"/>
  </si>
  <si>
    <t>Fire RA</t>
    <phoneticPr fontId="9"/>
  </si>
  <si>
    <t>DP
Inspection</t>
    <phoneticPr fontId="9"/>
  </si>
  <si>
    <t>Fire Fighting</t>
    <phoneticPr fontId="9"/>
  </si>
  <si>
    <t xml:space="preserve">Inspection of unattended areas </t>
    <phoneticPr fontId="6"/>
  </si>
  <si>
    <t>DP Organization</t>
    <phoneticPr fontId="6"/>
  </si>
  <si>
    <t>Solidification Assessment [DP] - Manager Sheet</t>
  </si>
  <si>
    <t>Solidification Assessment [DP] - Supervisor Sheet</t>
  </si>
  <si>
    <t>Solidification Assessment [DP] - Operator Sheet</t>
  </si>
  <si>
    <t>DP</t>
  </si>
  <si>
    <t>grade</t>
  </si>
  <si>
    <t>Score</t>
  </si>
  <si>
    <t>3 Axes Evaluation</t>
  </si>
  <si>
    <t>平均</t>
    <rPh sb="0" eb="2">
      <t>ヘイキン</t>
    </rPh>
    <phoneticPr fontId="6"/>
  </si>
  <si>
    <t>最小</t>
    <rPh sb="0" eb="2">
      <t>サイショウ</t>
    </rPh>
    <phoneticPr fontId="6"/>
  </si>
  <si>
    <t>Total</t>
  </si>
  <si>
    <t>Solidification 5 items</t>
  </si>
  <si>
    <t>MIN</t>
  </si>
  <si>
    <t>AVG</t>
  </si>
  <si>
    <t>3 axis details</t>
  </si>
  <si>
    <t>B+ or higher</t>
  </si>
  <si>
    <t>佐賀</t>
    <rPh sb="0" eb="2">
      <t>サガ</t>
    </rPh>
    <phoneticPr fontId="9"/>
  </si>
  <si>
    <t>BMT</t>
    <phoneticPr fontId="9"/>
  </si>
  <si>
    <t>BSSS</t>
    <phoneticPr fontId="9"/>
  </si>
  <si>
    <t>BMU</t>
    <phoneticPr fontId="9"/>
  </si>
  <si>
    <t>日モ</t>
    <rPh sb="0" eb="1">
      <t>ニチ</t>
    </rPh>
    <phoneticPr fontId="9"/>
  </si>
  <si>
    <t>TMOT</t>
    <phoneticPr fontId="9"/>
  </si>
  <si>
    <t>ACA</t>
    <phoneticPr fontId="9"/>
  </si>
  <si>
    <t>BSCB</t>
    <phoneticPr fontId="9"/>
  </si>
  <si>
    <t>MXCB</t>
    <phoneticPr fontId="9"/>
  </si>
  <si>
    <t>課題
解決力</t>
  </si>
  <si>
    <t>リスク
管理力</t>
  </si>
  <si>
    <t>方向性
アジャスト</t>
  </si>
  <si>
    <t>自律・
持続力</t>
  </si>
  <si>
    <t>横断・
一本化</t>
  </si>
  <si>
    <t>総合</t>
    <rPh sb="0" eb="2">
      <t>ソウゴウ</t>
    </rPh>
    <phoneticPr fontId="6"/>
  </si>
  <si>
    <t/>
  </si>
  <si>
    <t>情報展開</t>
    <rPh sb="0" eb="4">
      <t>ジョウホウテンカイ</t>
    </rPh>
    <phoneticPr fontId="9"/>
  </si>
  <si>
    <t>再発防止
対策</t>
    <rPh sb="0" eb="4">
      <t>サイハツボウシ</t>
    </rPh>
    <rPh sb="5" eb="7">
      <t>タイサク</t>
    </rPh>
    <phoneticPr fontId="9"/>
  </si>
  <si>
    <t>事故報告</t>
    <rPh sb="0" eb="2">
      <t>ジコ</t>
    </rPh>
    <rPh sb="2" eb="4">
      <t>ホウコク</t>
    </rPh>
    <phoneticPr fontId="26"/>
  </si>
  <si>
    <t>Fire 
Reporting</t>
  </si>
  <si>
    <t>事故報告</t>
    <rPh sb="0" eb="2">
      <t>ジコ</t>
    </rPh>
    <rPh sb="2" eb="4">
      <t>ホウコク</t>
    </rPh>
    <phoneticPr fontId="9"/>
  </si>
  <si>
    <t>類災対策
プロセスKPI</t>
    <rPh sb="0" eb="2">
      <t>ルイサイ</t>
    </rPh>
    <rPh sb="2" eb="4">
      <t>タイサク</t>
    </rPh>
    <phoneticPr fontId="9"/>
  </si>
  <si>
    <t>防火RA
評価推進</t>
    <rPh sb="0" eb="2">
      <t>ボウカ</t>
    </rPh>
    <rPh sb="5" eb="7">
      <t>ヒョウカ</t>
    </rPh>
    <rPh sb="7" eb="9">
      <t>スイシン</t>
    </rPh>
    <phoneticPr fontId="26"/>
  </si>
  <si>
    <t>Fire RA
Progress</t>
  </si>
  <si>
    <t>防火RA
評価推進</t>
    <rPh sb="0" eb="2">
      <t>ボウカ</t>
    </rPh>
    <rPh sb="5" eb="7">
      <t>ヒョウカ</t>
    </rPh>
    <rPh sb="7" eb="9">
      <t>スイシン</t>
    </rPh>
    <phoneticPr fontId="9"/>
  </si>
  <si>
    <t>防火RA
対策</t>
    <rPh sb="0" eb="2">
      <t>ボウカ</t>
    </rPh>
    <rPh sb="5" eb="7">
      <t>タイサク</t>
    </rPh>
    <phoneticPr fontId="26"/>
  </si>
  <si>
    <t>Fire RA</t>
  </si>
  <si>
    <t>防火RA
対策</t>
    <rPh sb="0" eb="2">
      <t>ボウカ</t>
    </rPh>
    <rPh sb="5" eb="7">
      <t>タイサク</t>
    </rPh>
    <phoneticPr fontId="9"/>
  </si>
  <si>
    <r>
      <t xml:space="preserve">防災点検
</t>
    </r>
    <r>
      <rPr>
        <sz val="11"/>
        <color rgb="FF0000FF"/>
        <rFont val="Calibri"/>
        <family val="3"/>
        <charset val="128"/>
        <scheme val="minor"/>
      </rPr>
      <t>【防災点検専任などの点検】</t>
    </r>
    <rPh sb="0" eb="2">
      <t>ボウサイ</t>
    </rPh>
    <rPh sb="2" eb="4">
      <t>テンケン</t>
    </rPh>
    <phoneticPr fontId="26"/>
  </si>
  <si>
    <t>DP
Inspection</t>
  </si>
  <si>
    <t>防災点検</t>
    <rPh sb="0" eb="2">
      <t>ボウサイ</t>
    </rPh>
    <rPh sb="2" eb="4">
      <t>テンケン</t>
    </rPh>
    <phoneticPr fontId="9"/>
  </si>
  <si>
    <t>不良配線ZD活動
【防災重点７項目】</t>
  </si>
  <si>
    <t>Electrical Wiring Inspection</t>
  </si>
  <si>
    <t>異音パトロール
【防災重点７項目】</t>
  </si>
  <si>
    <t>Noise patrol</t>
  </si>
  <si>
    <t>Policy/
Purpose/
Target</t>
  </si>
  <si>
    <t>方針・目的・目標</t>
    <rPh sb="0" eb="2">
      <t>ホウシン</t>
    </rPh>
    <rPh sb="3" eb="5">
      <t>モクテキ</t>
    </rPh>
    <rPh sb="6" eb="8">
      <t>モクヒョウ</t>
    </rPh>
    <phoneticPr fontId="9"/>
  </si>
  <si>
    <t>Implementation
Plan</t>
  </si>
  <si>
    <t>実施計画</t>
    <rPh sb="0" eb="4">
      <t>ジッシケイカク</t>
    </rPh>
    <phoneticPr fontId="9"/>
  </si>
  <si>
    <t>監査</t>
    <rPh sb="0" eb="2">
      <t>カンサ</t>
    </rPh>
    <phoneticPr fontId="9"/>
  </si>
  <si>
    <t>3S
*防災目線（セメントハウス、危険物倉庫等）で評価</t>
  </si>
  <si>
    <t>3S
*DP perspective
(for flammable/combastible material storage)</t>
  </si>
  <si>
    <t>3S
*防災目線（危険物倉庫・薬品倉庫・ペンキ倉庫等）で評価</t>
  </si>
  <si>
    <t>KYT
実践型KYT
*活動に防災要素を含む</t>
    <rPh sb="4" eb="7">
      <t>ジッセンガタ</t>
    </rPh>
    <rPh sb="12" eb="14">
      <t>カツドウ</t>
    </rPh>
    <rPh sb="17" eb="19">
      <t>ヨウソ</t>
    </rPh>
    <rPh sb="20" eb="21">
      <t>フク</t>
    </rPh>
    <phoneticPr fontId="26"/>
  </si>
  <si>
    <t>KYT/
Practical KYT
*DP point of view</t>
  </si>
  <si>
    <t>KYT
実践型KYT
*活動に防災要素を含む</t>
    <rPh sb="4" eb="7">
      <t>ジッセンガタ</t>
    </rPh>
    <rPh sb="12" eb="14">
      <t>カツドウ</t>
    </rPh>
    <rPh sb="17" eb="19">
      <t>ヨウソ</t>
    </rPh>
    <rPh sb="20" eb="21">
      <t>フク</t>
    </rPh>
    <phoneticPr fontId="9"/>
  </si>
  <si>
    <t>自律的KY
*活動に防災要素を含む</t>
    <rPh sb="0" eb="3">
      <t>ジリツテキ</t>
    </rPh>
    <phoneticPr fontId="26"/>
  </si>
  <si>
    <t>Autonomous
KY
*DP point of view</t>
  </si>
  <si>
    <t>自律的KY
*活動に防災要素を含む</t>
    <rPh sb="0" eb="3">
      <t>ジリツテキ</t>
    </rPh>
    <phoneticPr fontId="9"/>
  </si>
  <si>
    <t>共通防火ルール</t>
    <rPh sb="0" eb="4">
      <t>キョウツウボウカ</t>
    </rPh>
    <phoneticPr fontId="26"/>
  </si>
  <si>
    <t>共通防火ルール</t>
    <rPh sb="0" eb="4">
      <t>キョウツウボウカ</t>
    </rPh>
    <phoneticPr fontId="9"/>
  </si>
  <si>
    <r>
      <t xml:space="preserve">消火訓練
</t>
    </r>
    <r>
      <rPr>
        <sz val="11"/>
        <color rgb="FF0000CC"/>
        <rFont val="Calibri"/>
        <family val="3"/>
        <charset val="128"/>
        <scheme val="minor"/>
      </rPr>
      <t>【防災重点７項目】</t>
    </r>
    <rPh sb="0" eb="2">
      <t>ショウカ</t>
    </rPh>
    <rPh sb="2" eb="4">
      <t>クンレン</t>
    </rPh>
    <phoneticPr fontId="26"/>
  </si>
  <si>
    <t>Fire Fighting</t>
  </si>
  <si>
    <r>
      <t xml:space="preserve">消火訓練
</t>
    </r>
    <r>
      <rPr>
        <sz val="11"/>
        <color rgb="FF0000CC"/>
        <rFont val="Yu Gothic UI"/>
        <family val="3"/>
        <charset val="128"/>
      </rPr>
      <t>【防災重点７項目】</t>
    </r>
    <rPh sb="0" eb="2">
      <t>ショウカ</t>
    </rPh>
    <rPh sb="2" eb="4">
      <t>クンレン</t>
    </rPh>
    <phoneticPr fontId="9"/>
  </si>
  <si>
    <t>火気取扱運用基準
の順守</t>
  </si>
  <si>
    <t>Hot Work</t>
  </si>
  <si>
    <t>火気取扱運用基準の順守</t>
  </si>
  <si>
    <t>動力車の点検・清掃
【防災重点７項目】</t>
  </si>
  <si>
    <t>Inspection/
clean-up of mobile equipment</t>
  </si>
  <si>
    <t>セメントハウス、
危険物倉庫の点検、標準順守
【防災重点７項目】</t>
  </si>
  <si>
    <t>Compliance of standards and inspection for gasoline cement houses and Warehouse storing flammable materials</t>
  </si>
  <si>
    <t>危険物倉庫の標準順守
【防災重点７項目】</t>
    <rPh sb="3" eb="5">
      <t>ソウコ</t>
    </rPh>
    <phoneticPr fontId="6"/>
  </si>
  <si>
    <t>指定可燃物置場の管理
【防災重点７項目】</t>
  </si>
  <si>
    <t>無人施設の巡回点検
【防災重点７項目】</t>
  </si>
  <si>
    <t xml:space="preserve">Inspection of unattended areas </t>
  </si>
  <si>
    <t>カーボンMUST
セルフチェック
(カーボン工場)</t>
  </si>
  <si>
    <t>Carbon MUST items Selfcheck</t>
  </si>
  <si>
    <t>カーボンMUST
教育
(カーボン工場)</t>
  </si>
  <si>
    <t>Carbon MUST items Training</t>
  </si>
  <si>
    <t>防災組織</t>
    <rPh sb="0" eb="2">
      <t>ボウサイ</t>
    </rPh>
    <rPh sb="2" eb="4">
      <t>ソシキ</t>
    </rPh>
    <phoneticPr fontId="9"/>
  </si>
  <si>
    <t>防災組織</t>
    <rPh sb="0" eb="4">
      <t>ボウサイソシキ</t>
    </rPh>
    <phoneticPr fontId="6"/>
  </si>
  <si>
    <t>防災専任</t>
    <rPh sb="0" eb="2">
      <t>ボウサイ</t>
    </rPh>
    <rPh sb="2" eb="4">
      <t>センニン</t>
    </rPh>
    <phoneticPr fontId="9"/>
  </si>
  <si>
    <t>危険物資格
(BS本体)</t>
    <rPh sb="0" eb="3">
      <t>キケンブツ</t>
    </rPh>
    <rPh sb="3" eb="5">
      <t>シカク</t>
    </rPh>
    <rPh sb="9" eb="11">
      <t>ホンタイ</t>
    </rPh>
    <phoneticPr fontId="9"/>
  </si>
  <si>
    <t>Legal lisence</t>
  </si>
  <si>
    <t>点検専任(タイヤ工場)</t>
    <rPh sb="0" eb="2">
      <t>テンケン</t>
    </rPh>
    <rPh sb="8" eb="10">
      <t>コウジョウ</t>
    </rPh>
    <phoneticPr fontId="9"/>
  </si>
  <si>
    <t>予算確保</t>
    <rPh sb="0" eb="2">
      <t>ヨサン</t>
    </rPh>
    <rPh sb="2" eb="4">
      <t>カクホ</t>
    </rPh>
    <phoneticPr fontId="6"/>
  </si>
  <si>
    <t>精練防災専任(タイヤ工場)</t>
    <rPh sb="0" eb="2">
      <t>セイレン</t>
    </rPh>
    <rPh sb="2" eb="4">
      <t>ボウサイ</t>
    </rPh>
    <rPh sb="10" eb="12">
      <t>コウジョウ</t>
    </rPh>
    <phoneticPr fontId="9"/>
  </si>
  <si>
    <t>危険物資格(BS本体)</t>
    <rPh sb="0" eb="3">
      <t>キケンブツ</t>
    </rPh>
    <rPh sb="3" eb="5">
      <t>シカク</t>
    </rPh>
    <rPh sb="8" eb="10">
      <t>ホンタイ</t>
    </rPh>
    <phoneticPr fontId="9"/>
  </si>
  <si>
    <t>Score(X)</t>
    <phoneticPr fontId="6"/>
  </si>
  <si>
    <t>QM Foundation Level</t>
    <phoneticPr fontId="6"/>
  </si>
  <si>
    <t>x = 5.0</t>
    <phoneticPr fontId="6"/>
  </si>
  <si>
    <t>Autonomous Safety, D.P. management</t>
    <phoneticPr fontId="6"/>
  </si>
  <si>
    <t>4.0  ≤  x  &lt;  5.0</t>
  </si>
  <si>
    <t>Managed as standardized, and improved continuously by PDCA</t>
    <phoneticPr fontId="6"/>
  </si>
  <si>
    <t>3.0  ≤  x  &lt;  4.0</t>
  </si>
  <si>
    <t>Managed as standardized</t>
    <phoneticPr fontId="6"/>
  </si>
  <si>
    <t>2.0  ≤  x  &lt;  3.0</t>
  </si>
  <si>
    <t>Basically maanaged as standardized, but not enough (leakage)</t>
    <phoneticPr fontId="6"/>
  </si>
  <si>
    <t>x  &lt;  2.0</t>
  </si>
  <si>
    <t>NOT managed as standardized</t>
    <phoneticPr fontId="6"/>
  </si>
  <si>
    <r>
      <t xml:space="preserve">D.P. Solidification Report
</t>
    </r>
    <r>
      <rPr>
        <b/>
        <sz val="14"/>
        <color rgb="FF0000FF"/>
        <rFont val="Aptos Narrow"/>
        <family val="2"/>
      </rPr>
      <t>(This is trial result, the score will not be recorded as BSAPIC's solidification)</t>
    </r>
  </si>
  <si>
    <t xml:space="preserve">Issue: </t>
  </si>
  <si>
    <r>
      <rPr>
        <b/>
        <u/>
        <sz val="11"/>
        <color rgb="FF000000"/>
        <rFont val="Aptos Narrow"/>
        <family val="2"/>
      </rPr>
      <t xml:space="preserve">&lt;Comments from 3 axes points of view&gt;
</t>
    </r>
    <r>
      <rPr>
        <sz val="11"/>
        <color rgb="FF000000"/>
        <rFont val="Aptos Narrow"/>
        <family val="2"/>
      </rPr>
      <t xml:space="preserve">
</t>
    </r>
    <r>
      <rPr>
        <b/>
        <u/>
        <sz val="11"/>
        <color rgb="FF000000"/>
        <rFont val="Aptos Narrow"/>
        <family val="2"/>
      </rPr>
      <t xml:space="preserve">&lt;Risk&gt;
</t>
    </r>
    <r>
      <rPr>
        <sz val="11"/>
        <color rgb="FF000000"/>
        <rFont val="Aptos Narrow"/>
        <family val="2"/>
      </rPr>
      <t xml:space="preserve">
</t>
    </r>
    <r>
      <rPr>
        <b/>
        <u/>
        <sz val="11"/>
        <color rgb="FF000000"/>
        <rFont val="Aptos Narrow"/>
        <family val="2"/>
      </rPr>
      <t xml:space="preserve">&lt;Compliance&gt;
</t>
    </r>
    <r>
      <rPr>
        <sz val="11"/>
        <color rgb="FF000000"/>
        <rFont val="Aptos Narrow"/>
        <family val="2"/>
      </rPr>
      <t xml:space="preserve">
</t>
    </r>
    <r>
      <rPr>
        <b/>
        <u/>
        <sz val="11"/>
        <color rgb="FF000000"/>
        <rFont val="Aptos Narrow"/>
        <family val="2"/>
      </rPr>
      <t xml:space="preserve">&lt;Governance&gt;
</t>
    </r>
  </si>
  <si>
    <r>
      <rPr>
        <sz val="11"/>
        <color rgb="FF0000FF"/>
        <rFont val="Aptos Narrow"/>
        <family val="2"/>
      </rPr>
      <t>SVs can explain the actions</t>
    </r>
    <r>
      <rPr>
        <sz val="11"/>
        <rFont val="Aptos Narrow"/>
        <family val="2"/>
      </rPr>
      <t xml:space="preserve">
SVs can explain the actions required for recurrence prevention in the event of a D.P. accident. They are able to describe measures taken in terms of prevention, detection, and protection based on the analysis. In addition, SVs can explain how to prevent the recurrence of accidents that have occurred in their own processes.
Genba improvement, all completed without delay
(System: Safety Manager: No.86)
 *Ask SVs</t>
    </r>
  </si>
  <si>
    <t>BSAPIC re.2</t>
  </si>
  <si>
    <r>
      <rPr>
        <sz val="11"/>
        <color rgb="FF0000FF"/>
        <rFont val="Aptos Narrow"/>
        <family val="2"/>
      </rPr>
      <t>Exclusive Safety/DP Manager + Staff Assigned</t>
    </r>
    <r>
      <rPr>
        <sz val="11"/>
        <rFont val="Aptos Narrow"/>
        <family val="2"/>
      </rPr>
      <t xml:space="preserve">
The Safety/DP Manager’s role is an exclusive duty (managing only safety and DP, with no other jobs assigned).
Additionally, a safety staff is assigned in the plant.
(DP Manager)</t>
    </r>
  </si>
  <si>
    <r>
      <rPr>
        <sz val="11"/>
        <color rgb="FF0000FF"/>
        <rFont val="Aptos Narrow"/>
        <family val="2"/>
      </rPr>
      <t>Assigned and Active</t>
    </r>
    <r>
      <rPr>
        <sz val="11"/>
        <rFont val="Aptos Narrow"/>
        <family val="2"/>
      </rPr>
      <t xml:space="preserve">
DP Inspector are assigned</t>
    </r>
    <r>
      <rPr>
        <sz val="11"/>
        <color rgb="FFFF0000"/>
        <rFont val="Aptos Narrow"/>
        <family val="2"/>
      </rPr>
      <t xml:space="preserve"> and qualified at least 2-3 person</t>
    </r>
    <r>
      <rPr>
        <sz val="11"/>
        <rFont val="Aptos Narrow"/>
        <family val="2"/>
      </rPr>
      <t xml:space="preserve"> to carries out inspection duties based on the daily, weekly, and yearly plan.
Inspection records are maintained, but improvement follow-up may be limited due to insufficient knowledge or resources </t>
    </r>
    <r>
      <rPr>
        <sz val="11"/>
        <color rgb="FFFF0000"/>
        <rFont val="Aptos Narrow"/>
        <family val="2"/>
      </rPr>
      <t xml:space="preserve">but can manager without concern. </t>
    </r>
    <r>
      <rPr>
        <sz val="11"/>
        <rFont val="Aptos Narrow"/>
        <family val="2"/>
      </rPr>
      <t>(DP Manager)</t>
    </r>
  </si>
  <si>
    <r>
      <rPr>
        <sz val="11"/>
        <color rgb="FF0000FF"/>
        <rFont val="Aptos Narrow"/>
        <family val="2"/>
      </rPr>
      <t>Assigned with Exclusive Responsibility</t>
    </r>
    <r>
      <rPr>
        <sz val="11"/>
        <rFont val="Aptos Narrow"/>
        <family val="2"/>
      </rPr>
      <t xml:space="preserve">
Experienced and</t>
    </r>
    <r>
      <rPr>
        <sz val="11"/>
        <color rgb="FFFF0000"/>
        <rFont val="Aptos Narrow"/>
        <family val="2"/>
      </rPr>
      <t xml:space="preserve"> qualified </t>
    </r>
    <r>
      <rPr>
        <sz val="11"/>
        <rFont val="Aptos Narrow"/>
        <family val="2"/>
      </rPr>
      <t xml:space="preserve">DP Inspector are assigned with  responsibility for DP inspection activities.
He/she </t>
    </r>
    <r>
      <rPr>
        <sz val="11"/>
        <color rgb="FFFF0000"/>
        <rFont val="Aptos Narrow"/>
        <family val="2"/>
      </rPr>
      <t xml:space="preserve">prepare/ review checksheet, </t>
    </r>
    <r>
      <rPr>
        <sz val="11"/>
        <rFont val="Aptos Narrow"/>
        <family val="2"/>
      </rPr>
      <t xml:space="preserve">conducts inspections regularly in accordance with the plan, records the results, reports </t>
    </r>
    <r>
      <rPr>
        <sz val="11"/>
        <color rgb="FFFF0000"/>
        <rFont val="Aptos Narrow"/>
        <family val="2"/>
      </rPr>
      <t xml:space="preserve">and suggest for countermeasure for </t>
    </r>
    <r>
      <rPr>
        <sz val="11"/>
        <rFont val="Aptos Narrow"/>
        <family val="2"/>
      </rPr>
      <t>any defects.
He/she has more than three years of relevant experience.
(DP Manager)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</si>
</sst>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_);[Red]\(0.0\)"/>
    <numFmt numFmtId="165" formatCode="yyyy/m/d;@"/>
    <numFmt numFmtId="166" formatCode="0.0"/>
    <numFmt numFmtId="167" formatCode="0_);[Red]\(0\)"/>
    <numFmt numFmtId="168" formatCode="0.00_);[Red]\(0.00\)"/>
  </numFmts>
  <fonts count="71">
    <font>
      <sz val="11"/>
      <color theme="1"/>
      <name val="Calibri"/>
      <family val="2"/>
      <scheme val="minor"/>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6"/>
      <name val="Calibri"/>
      <family val="3"/>
      <charset val="128"/>
      <scheme val="minor"/>
    </font>
    <font>
      <sz val="11"/>
      <name val="ＭＳ Ｐゴシック"/>
      <family val="3"/>
      <charset val="128"/>
    </font>
    <font>
      <b/>
      <sz val="11"/>
      <color theme="1"/>
      <name val="Yu Gothic UI"/>
      <family val="3"/>
      <charset val="128"/>
    </font>
    <font>
      <sz val="6"/>
      <name val="ＭＳ Ｐゴシック"/>
      <family val="2"/>
      <charset val="128"/>
    </font>
    <font>
      <sz val="11"/>
      <color theme="1"/>
      <name val="Yu Gothic UI"/>
      <family val="3"/>
      <charset val="128"/>
    </font>
    <font>
      <sz val="10.5"/>
      <color rgb="FF000000"/>
      <name val="Yu Gothic UI"/>
      <family val="3"/>
      <charset val="128"/>
    </font>
    <font>
      <sz val="11"/>
      <name val="Yu Gothic UI"/>
      <family val="3"/>
      <charset val="128"/>
    </font>
    <font>
      <sz val="11"/>
      <color rgb="FF00B050"/>
      <name val="Yu Gothic UI"/>
      <family val="3"/>
      <charset val="128"/>
    </font>
    <font>
      <sz val="18"/>
      <color theme="1"/>
      <name val="Yu Gothic UI"/>
      <family val="3"/>
      <charset val="128"/>
    </font>
    <font>
      <sz val="28"/>
      <color theme="1"/>
      <name val="Yu Gothic UI"/>
      <family val="3"/>
      <charset val="128"/>
    </font>
    <font>
      <sz val="24"/>
      <color theme="1"/>
      <name val="Yu Gothic UI"/>
      <family val="3"/>
      <charset val="128"/>
    </font>
    <font>
      <sz val="9"/>
      <color theme="1"/>
      <name val="Calibri"/>
      <family val="2"/>
      <scheme val="minor"/>
    </font>
    <font>
      <sz val="9"/>
      <color theme="1"/>
      <name val="Calibri"/>
      <family val="3"/>
      <charset val="128"/>
      <scheme val="minor"/>
    </font>
    <font>
      <b/>
      <sz val="11"/>
      <color theme="1"/>
      <name val="Calibri"/>
      <family val="3"/>
      <charset val="128"/>
      <scheme val="minor"/>
    </font>
    <font>
      <sz val="11"/>
      <color theme="1"/>
      <name val="Calibri"/>
      <family val="3"/>
      <charset val="128"/>
      <scheme val="minor"/>
    </font>
    <font>
      <sz val="11"/>
      <color rgb="FF0000FF"/>
      <name val="Yu Gothic UI"/>
      <family val="3"/>
      <charset val="128"/>
    </font>
    <font>
      <sz val="11"/>
      <color rgb="FF0000CC"/>
      <name val="Yu Gothic UI"/>
      <family val="3"/>
      <charset val="128"/>
    </font>
    <font>
      <sz val="11"/>
      <color rgb="FFFF0000"/>
      <name val="Yu Gothic UI"/>
      <family val="3"/>
      <charset val="128"/>
    </font>
    <font>
      <u/>
      <sz val="11"/>
      <color theme="1"/>
      <name val="Yu Gothic UI"/>
      <family val="3"/>
      <charset val="128"/>
    </font>
    <font>
      <u/>
      <sz val="11"/>
      <color theme="1"/>
      <name val="Calibri"/>
      <family val="2"/>
      <scheme val="minor"/>
    </font>
    <font>
      <b/>
      <sz val="13"/>
      <color theme="3"/>
      <name val="ＭＳ Ｐゴシック"/>
      <family val="2"/>
      <charset val="128"/>
    </font>
    <font>
      <sz val="11"/>
      <color rgb="FF0000FF"/>
      <name val="Calibri"/>
      <family val="3"/>
      <charset val="128"/>
      <scheme val="minor"/>
    </font>
    <font>
      <sz val="11"/>
      <color rgb="FF0000CC"/>
      <name val="Calibri"/>
      <family val="3"/>
      <charset val="128"/>
      <scheme val="minor"/>
    </font>
    <font>
      <sz val="11"/>
      <color theme="1"/>
      <name val="Calibri"/>
      <family val="2"/>
      <scheme val="minor"/>
    </font>
    <font>
      <sz val="11"/>
      <color theme="1"/>
      <name val="Calibri"/>
      <family val="2"/>
    </font>
    <font>
      <b/>
      <sz val="12"/>
      <color theme="1"/>
      <name val="Calibri"/>
      <family val="2"/>
    </font>
    <font>
      <b/>
      <sz val="16"/>
      <color theme="1"/>
      <name val="Calibri"/>
      <family val="2"/>
    </font>
    <font>
      <b/>
      <sz val="11"/>
      <color theme="1"/>
      <name val="Calibri"/>
      <family val="2"/>
    </font>
    <font>
      <sz val="9"/>
      <color theme="1"/>
      <name val="Calibri"/>
      <family val="2"/>
    </font>
    <font>
      <b/>
      <sz val="11"/>
      <name val="Calibri"/>
      <family val="2"/>
    </font>
    <font>
      <b/>
      <sz val="11"/>
      <color theme="1"/>
      <name val="Calibri"/>
      <family val="3"/>
    </font>
    <font>
      <strike/>
      <sz val="11"/>
      <color rgb="FF0000FF"/>
      <name val="Yu Gothic UI"/>
      <family val="3"/>
      <charset val="128"/>
    </font>
    <font>
      <b/>
      <sz val="11"/>
      <color rgb="FFFF0000"/>
      <name val="Yu Gothic UI"/>
      <family val="3"/>
      <charset val="128"/>
    </font>
    <font>
      <b/>
      <sz val="18"/>
      <color theme="1"/>
      <name val="Yu Gothic UI"/>
      <family val="2"/>
    </font>
    <font>
      <sz val="11"/>
      <name val="Aptos Narrow"/>
      <family val="2"/>
    </font>
    <font>
      <b/>
      <sz val="11"/>
      <name val="Aptos Narrow"/>
      <family val="2"/>
    </font>
    <font>
      <b/>
      <sz val="18"/>
      <color theme="1"/>
      <name val="Aptos Narrow"/>
      <family val="2"/>
    </font>
    <font>
      <b/>
      <sz val="8"/>
      <color theme="1"/>
      <name val="Aptos Narrow"/>
      <family val="2"/>
    </font>
    <font>
      <b/>
      <sz val="11"/>
      <color theme="0"/>
      <name val="Aptos Narrow"/>
      <family val="2"/>
    </font>
    <font>
      <sz val="11"/>
      <color rgb="FF0000FF"/>
      <name val="Aptos Narrow"/>
      <family val="2"/>
    </font>
    <font>
      <i/>
      <sz val="9"/>
      <name val="Aptos Narrow"/>
      <family val="2"/>
    </font>
    <font>
      <i/>
      <sz val="11"/>
      <name val="Aptos Narrow"/>
      <family val="2"/>
    </font>
    <font>
      <sz val="9"/>
      <name val="Aptos Narrow"/>
      <family val="2"/>
    </font>
    <font>
      <sz val="12"/>
      <color theme="1"/>
      <name val="Aptos Narrow"/>
      <family val="2"/>
    </font>
    <font>
      <sz val="12"/>
      <name val="Aptos Narrow"/>
      <family val="2"/>
    </font>
    <font>
      <b/>
      <sz val="12"/>
      <color theme="0"/>
      <name val="Aptos Narrow"/>
      <family val="2"/>
    </font>
    <font>
      <b/>
      <sz val="12"/>
      <color theme="1"/>
      <name val="Aptos Narrow"/>
      <family val="2"/>
    </font>
    <font>
      <b/>
      <sz val="11"/>
      <color theme="1"/>
      <name val="Calibri"/>
      <family val="2"/>
      <scheme val="minor"/>
    </font>
    <font>
      <sz val="11"/>
      <color rgb="FF000000"/>
      <name val="Calibri"/>
      <family val="3"/>
      <charset val="128"/>
      <scheme val="minor"/>
    </font>
    <font>
      <b/>
      <sz val="11"/>
      <color rgb="FF000000"/>
      <name val="Calibri"/>
      <family val="2"/>
      <scheme val="minor"/>
    </font>
    <font>
      <sz val="11"/>
      <color theme="1"/>
      <name val="Aptos Narrow"/>
      <family val="2"/>
    </font>
    <font>
      <b/>
      <sz val="16"/>
      <color theme="1"/>
      <name val="Aptos Narrow"/>
      <family val="2"/>
    </font>
    <font>
      <b/>
      <sz val="11"/>
      <color theme="1"/>
      <name val="Aptos Narrow"/>
      <family val="2"/>
    </font>
    <font>
      <sz val="9"/>
      <color theme="1"/>
      <name val="Aptos Narrow"/>
      <family val="2"/>
    </font>
    <font>
      <sz val="11"/>
      <color theme="0"/>
      <name val="Aptos Narrow"/>
      <family val="2"/>
    </font>
    <font>
      <b/>
      <sz val="14"/>
      <color theme="0"/>
      <name val="Aptos Narrow"/>
      <family val="2"/>
    </font>
    <font>
      <sz val="14"/>
      <color theme="0"/>
      <name val="Aptos Narrow"/>
      <family val="2"/>
    </font>
    <font>
      <sz val="18"/>
      <color theme="1"/>
      <name val="Aptos Narrow"/>
      <family val="2"/>
    </font>
    <font>
      <sz val="28"/>
      <color theme="1"/>
      <name val="Aptos Narrow"/>
      <family val="2"/>
    </font>
    <font>
      <sz val="24"/>
      <color theme="1"/>
      <name val="Aptos Narrow"/>
      <family val="2"/>
    </font>
    <font>
      <b/>
      <sz val="11"/>
      <color rgb="FF000000"/>
      <name val="Aptos Narrow"/>
      <family val="2"/>
    </font>
    <font>
      <b/>
      <u/>
      <sz val="11"/>
      <color rgb="FF000000"/>
      <name val="Aptos Narrow"/>
      <family val="2"/>
    </font>
    <font>
      <sz val="11"/>
      <color rgb="FF000000"/>
      <name val="Aptos Narrow"/>
      <family val="2"/>
    </font>
    <font>
      <b/>
      <sz val="14"/>
      <color rgb="FF0000FF"/>
      <name val="Aptos Narrow"/>
      <family val="2"/>
    </font>
    <font>
      <sz val="11"/>
      <color rgb="FFFF0000"/>
      <name val="Aptos Narrow"/>
      <family val="2"/>
    </font>
  </fonts>
  <fills count="22">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CCFF"/>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rgb="FFFFFF00"/>
        <bgColor indexed="64"/>
      </patternFill>
    </fill>
    <fill>
      <patternFill patternType="solid">
        <fgColor rgb="FF0070C0"/>
        <bgColor indexed="64"/>
      </patternFill>
    </fill>
    <fill>
      <patternFill patternType="solid">
        <fgColor rgb="FFCCFFFF"/>
        <bgColor indexed="64"/>
      </patternFill>
    </fill>
    <fill>
      <patternFill patternType="solid">
        <fgColor rgb="FFFFFFCC"/>
        <bgColor indexed="64"/>
      </patternFill>
    </fill>
    <fill>
      <patternFill patternType="solid">
        <fgColor rgb="FFD4F6D6"/>
        <bgColor indexed="64"/>
      </patternFill>
    </fill>
    <fill>
      <patternFill patternType="solid">
        <fgColor rgb="FFFFE5FF"/>
        <bgColor indexed="64"/>
      </patternFill>
    </fill>
    <fill>
      <patternFill patternType="solid">
        <fgColor theme="4" tint="-0.249977111117893"/>
        <bgColor indexed="64"/>
      </patternFill>
    </fill>
    <fill>
      <patternFill patternType="solid">
        <fgColor theme="1" tint="0.49998474074526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top style="thin">
        <color theme="1" tint="0.249977111117893"/>
      </top>
      <bottom/>
      <diagonal/>
    </border>
    <border>
      <left/>
      <right/>
      <top style="thin">
        <color theme="1" tint="0.249977111117893"/>
      </top>
      <bottom/>
      <diagonal/>
    </border>
    <border>
      <left/>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style="thin">
        <color theme="1" tint="0.249977111117893"/>
      </left>
      <right style="thin">
        <color theme="1" tint="0.249977111117893"/>
      </right>
      <top/>
      <bottom/>
      <diagonal/>
    </border>
    <border>
      <left style="thin">
        <color theme="1" tint="0.249977111117893"/>
      </left>
      <right/>
      <top style="thin">
        <color theme="1" tint="0.249977111117893"/>
      </top>
      <bottom style="thin">
        <color theme="1" tint="0.249977111117893"/>
      </bottom>
      <diagonal/>
    </border>
    <border>
      <left/>
      <right style="thin">
        <color theme="1" tint="0.249977111117893"/>
      </right>
      <top/>
      <bottom/>
      <diagonal/>
    </border>
    <border>
      <left style="thin">
        <color theme="1" tint="0.249977111117893"/>
      </left>
      <right style="thin">
        <color theme="1" tint="0.249977111117893"/>
      </right>
      <top style="thin">
        <color theme="1" tint="0.249977111117893"/>
      </top>
      <bottom/>
      <diagonal/>
    </border>
    <border>
      <left style="thin">
        <color theme="1" tint="0.249977111117893"/>
      </left>
      <right style="thin">
        <color theme="1" tint="0.249977111117893"/>
      </right>
      <top/>
      <bottom style="thin">
        <color theme="1" tint="0.249977111117893"/>
      </bottom>
      <diagonal/>
    </border>
    <border>
      <left style="thin">
        <color indexed="64"/>
      </left>
      <right/>
      <top/>
      <bottom style="thin">
        <color theme="0" tint="-0.34998626667073579"/>
      </bottom>
      <diagonal/>
    </border>
    <border>
      <left/>
      <right/>
      <top/>
      <bottom style="thin">
        <color theme="0" tint="-0.34998626667073579"/>
      </bottom>
      <diagonal/>
    </border>
    <border>
      <left/>
      <right style="thin">
        <color indexed="64"/>
      </right>
      <top/>
      <bottom style="thin">
        <color theme="0" tint="-0.34998626667073579"/>
      </bottom>
      <diagonal/>
    </border>
  </borders>
  <cellStyleXfs count="13">
    <xf numFmtId="0" fontId="0" fillId="0" borderId="0"/>
    <xf numFmtId="0" fontId="7" fillId="0" borderId="0"/>
    <xf numFmtId="0" fontId="5" fillId="0" borderId="0">
      <alignment vertical="center"/>
    </xf>
    <xf numFmtId="0" fontId="4" fillId="0" borderId="0">
      <alignment vertical="center"/>
    </xf>
    <xf numFmtId="0" fontId="7" fillId="0" borderId="0">
      <alignment vertical="center"/>
    </xf>
    <xf numFmtId="0" fontId="7" fillId="0" borderId="0">
      <alignment vertical="center"/>
    </xf>
    <xf numFmtId="0" fontId="3" fillId="0" borderId="0">
      <alignment vertical="center"/>
    </xf>
    <xf numFmtId="9" fontId="29"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598">
    <xf numFmtId="0" fontId="0" fillId="0" borderId="0" xfId="0"/>
    <xf numFmtId="0" fontId="8" fillId="0" borderId="0" xfId="2" applyFont="1">
      <alignment vertical="center"/>
    </xf>
    <xf numFmtId="0" fontId="10" fillId="0" borderId="0" xfId="2" applyFont="1">
      <alignment vertical="center"/>
    </xf>
    <xf numFmtId="0" fontId="10" fillId="0" borderId="0" xfId="2" applyFont="1" applyAlignment="1">
      <alignment vertical="center" wrapText="1"/>
    </xf>
    <xf numFmtId="0" fontId="10" fillId="2" borderId="1" xfId="2" applyFont="1" applyFill="1" applyBorder="1">
      <alignment vertical="center"/>
    </xf>
    <xf numFmtId="0" fontId="10" fillId="3" borderId="1" xfId="2" applyFont="1" applyFill="1" applyBorder="1">
      <alignment vertical="center"/>
    </xf>
    <xf numFmtId="0" fontId="10" fillId="0" borderId="0" xfId="2" applyFont="1" applyAlignment="1">
      <alignment horizontal="center" vertical="center"/>
    </xf>
    <xf numFmtId="0" fontId="10" fillId="0" borderId="0" xfId="2" applyFont="1" applyAlignment="1">
      <alignment horizontal="right" vertical="center"/>
    </xf>
    <xf numFmtId="0" fontId="10" fillId="0" borderId="6" xfId="2" applyFont="1" applyBorder="1" applyAlignment="1">
      <alignment horizontal="center" vertical="center" wrapText="1"/>
    </xf>
    <xf numFmtId="0" fontId="10" fillId="0" borderId="1" xfId="2" applyFont="1" applyBorder="1" applyAlignment="1">
      <alignment horizontal="left" vertical="center" wrapText="1"/>
    </xf>
    <xf numFmtId="0" fontId="10" fillId="3" borderId="1" xfId="2" applyFont="1" applyFill="1" applyBorder="1" applyAlignment="1">
      <alignment horizontal="center" vertical="center"/>
    </xf>
    <xf numFmtId="0" fontId="10" fillId="3" borderId="1" xfId="2" applyFont="1" applyFill="1" applyBorder="1" applyAlignment="1">
      <alignment vertical="center" wrapText="1"/>
    </xf>
    <xf numFmtId="0" fontId="10" fillId="3" borderId="1" xfId="2" applyFont="1" applyFill="1" applyBorder="1" applyAlignment="1">
      <alignment horizontal="center" vertical="center" wrapText="1"/>
    </xf>
    <xf numFmtId="0" fontId="10" fillId="3" borderId="1" xfId="2" applyFont="1" applyFill="1" applyBorder="1" applyAlignment="1">
      <alignment horizontal="left" vertical="center" wrapText="1"/>
    </xf>
    <xf numFmtId="0" fontId="10" fillId="2" borderId="1" xfId="2" applyFont="1" applyFill="1" applyBorder="1" applyAlignment="1">
      <alignment vertical="center" wrapText="1"/>
    </xf>
    <xf numFmtId="0" fontId="10" fillId="0" borderId="1" xfId="2" applyFont="1" applyBorder="1" applyAlignment="1">
      <alignment vertical="center" wrapText="1"/>
    </xf>
    <xf numFmtId="0" fontId="10" fillId="2" borderId="1" xfId="2" applyFont="1" applyFill="1" applyBorder="1" applyAlignment="1">
      <alignment horizontal="left" vertical="center" wrapText="1"/>
    </xf>
    <xf numFmtId="0" fontId="10" fillId="4" borderId="0" xfId="2" applyFont="1" applyFill="1" applyAlignment="1">
      <alignment horizontal="center" vertical="center"/>
    </xf>
    <xf numFmtId="0" fontId="10" fillId="4" borderId="0" xfId="2" applyFont="1" applyFill="1" applyAlignment="1">
      <alignment vertical="center" wrapText="1"/>
    </xf>
    <xf numFmtId="0" fontId="10" fillId="4" borderId="0" xfId="2" applyFont="1" applyFill="1">
      <alignment vertical="center"/>
    </xf>
    <xf numFmtId="0" fontId="10" fillId="5" borderId="0" xfId="2" applyFont="1" applyFill="1" applyAlignment="1">
      <alignment horizontal="center" vertical="center"/>
    </xf>
    <xf numFmtId="0" fontId="10" fillId="5" borderId="0" xfId="2" applyFont="1" applyFill="1" applyAlignment="1">
      <alignment vertical="center" wrapText="1"/>
    </xf>
    <xf numFmtId="0" fontId="0" fillId="0" borderId="0" xfId="0"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0" xfId="2" applyFont="1" applyAlignment="1">
      <alignment horizontal="left" vertical="center"/>
    </xf>
    <xf numFmtId="0" fontId="10" fillId="0" borderId="0" xfId="2" applyFont="1" applyAlignment="1">
      <alignment horizontal="left" vertical="center" wrapText="1"/>
    </xf>
    <xf numFmtId="0" fontId="13" fillId="0" borderId="0" xfId="2" applyFont="1">
      <alignment vertical="center"/>
    </xf>
    <xf numFmtId="0" fontId="10" fillId="0" borderId="0" xfId="2" applyFont="1" applyAlignment="1">
      <alignment horizontal="right" vertical="center" wrapText="1"/>
    </xf>
    <xf numFmtId="0" fontId="10" fillId="2" borderId="1" xfId="2" applyFont="1" applyFill="1" applyBorder="1" applyAlignment="1">
      <alignment horizontal="center" vertical="center" wrapText="1"/>
    </xf>
    <xf numFmtId="0" fontId="10" fillId="0" borderId="0" xfId="2" applyFont="1" applyAlignment="1">
      <alignment horizontal="center" vertical="center" wrapText="1"/>
    </xf>
    <xf numFmtId="0" fontId="10" fillId="4" borderId="0" xfId="2" applyFont="1" applyFill="1" applyAlignment="1">
      <alignment horizontal="center" vertical="center" wrapText="1"/>
    </xf>
    <xf numFmtId="0" fontId="10" fillId="5" borderId="0" xfId="2" applyFont="1" applyFill="1" applyAlignment="1">
      <alignment horizontal="center" vertical="center" wrapText="1"/>
    </xf>
    <xf numFmtId="0" fontId="0" fillId="0" borderId="1" xfId="0" applyBorder="1"/>
    <xf numFmtId="0" fontId="10" fillId="6" borderId="1" xfId="2" applyFont="1" applyFill="1" applyBorder="1" applyAlignment="1">
      <alignment horizontal="center" vertical="center"/>
    </xf>
    <xf numFmtId="0" fontId="10" fillId="0" borderId="0" xfId="3" applyFont="1">
      <alignment vertical="center"/>
    </xf>
    <xf numFmtId="0" fontId="14" fillId="0" borderId="0" xfId="3" applyFont="1" applyAlignment="1">
      <alignment horizontal="center" vertical="center"/>
    </xf>
    <xf numFmtId="0" fontId="10" fillId="0" borderId="0" xfId="3" applyFont="1" applyAlignment="1">
      <alignment horizontal="center" vertical="center"/>
    </xf>
    <xf numFmtId="0" fontId="10" fillId="0" borderId="0" xfId="3" applyFont="1" applyAlignment="1">
      <alignment horizontal="right" vertical="center"/>
    </xf>
    <xf numFmtId="0" fontId="10" fillId="0" borderId="0" xfId="3" applyFont="1" applyAlignment="1">
      <alignment vertical="center" wrapText="1"/>
    </xf>
    <xf numFmtId="0" fontId="15" fillId="0" borderId="0" xfId="3" applyFont="1">
      <alignment vertical="center"/>
    </xf>
    <xf numFmtId="0" fontId="16" fillId="0" borderId="1" xfId="3" applyFont="1" applyBorder="1" applyAlignment="1">
      <alignment horizontal="center" vertical="center"/>
    </xf>
    <xf numFmtId="0" fontId="12" fillId="0" borderId="1" xfId="3" applyFont="1" applyBorder="1" applyAlignment="1">
      <alignment horizontal="center" vertical="center" wrapText="1"/>
    </xf>
    <xf numFmtId="0" fontId="10" fillId="4" borderId="0" xfId="3" applyFont="1" applyFill="1" applyAlignment="1">
      <alignment horizontal="center" vertical="center"/>
    </xf>
    <xf numFmtId="0" fontId="10" fillId="5" borderId="0" xfId="3" applyFont="1" applyFill="1" applyAlignment="1">
      <alignment horizontal="center" vertical="center"/>
    </xf>
    <xf numFmtId="0" fontId="0" fillId="0" borderId="0" xfId="0" applyAlignment="1">
      <alignment wrapText="1"/>
    </xf>
    <xf numFmtId="0" fontId="12" fillId="0" borderId="1" xfId="3" applyFont="1" applyBorder="1" applyAlignment="1">
      <alignment horizontal="left" vertical="center" wrapText="1"/>
    </xf>
    <xf numFmtId="0" fontId="12" fillId="3" borderId="1" xfId="2" applyFont="1" applyFill="1" applyBorder="1" applyAlignment="1">
      <alignment horizontal="center" vertical="center" wrapText="1"/>
    </xf>
    <xf numFmtId="0" fontId="21" fillId="3" borderId="1" xfId="2" applyFont="1" applyFill="1" applyBorder="1" applyAlignment="1">
      <alignment horizontal="center" vertical="center" wrapText="1"/>
    </xf>
    <xf numFmtId="0" fontId="22" fillId="0" borderId="0" xfId="2" applyFont="1" applyAlignment="1">
      <alignment horizontal="right" vertical="center" wrapText="1"/>
    </xf>
    <xf numFmtId="0" fontId="20" fillId="0" borderId="0" xfId="0" applyFont="1"/>
    <xf numFmtId="0" fontId="10" fillId="7" borderId="7" xfId="2" applyFont="1" applyFill="1" applyBorder="1" applyAlignment="1">
      <alignment horizontal="center" vertical="center"/>
    </xf>
    <xf numFmtId="0" fontId="10" fillId="7" borderId="1" xfId="2" applyFont="1" applyFill="1" applyBorder="1" applyAlignment="1">
      <alignment horizontal="center" vertical="center"/>
    </xf>
    <xf numFmtId="0" fontId="23" fillId="3" borderId="1" xfId="2" applyFont="1" applyFill="1" applyBorder="1" applyAlignment="1">
      <alignment horizontal="center" vertical="center" wrapText="1"/>
    </xf>
    <xf numFmtId="0" fontId="23" fillId="3" borderId="1" xfId="2" applyFont="1" applyFill="1" applyBorder="1" applyAlignment="1">
      <alignment vertical="center" wrapText="1"/>
    </xf>
    <xf numFmtId="0" fontId="23" fillId="3" borderId="1" xfId="2" applyFont="1" applyFill="1" applyBorder="1" applyAlignment="1">
      <alignment horizontal="left" vertical="center" wrapText="1"/>
    </xf>
    <xf numFmtId="0" fontId="20" fillId="7" borderId="0" xfId="0" applyFont="1" applyFill="1"/>
    <xf numFmtId="0" fontId="20" fillId="0" borderId="1" xfId="0" applyFont="1" applyBorder="1"/>
    <xf numFmtId="0" fontId="10" fillId="0" borderId="1" xfId="2" applyFont="1" applyBorder="1" applyAlignment="1">
      <alignment horizontal="center" vertical="center"/>
    </xf>
    <xf numFmtId="0" fontId="10" fillId="0" borderId="1" xfId="2" applyFont="1" applyBorder="1" applyAlignment="1">
      <alignment horizontal="center" vertical="center" wrapText="1"/>
    </xf>
    <xf numFmtId="0" fontId="0" fillId="0" borderId="1" xfId="0" applyBorder="1" applyAlignment="1">
      <alignment horizontal="center" vertical="center"/>
    </xf>
    <xf numFmtId="0" fontId="12" fillId="0" borderId="1" xfId="2" applyFont="1" applyBorder="1" applyAlignment="1">
      <alignment horizontal="center" vertical="center" wrapText="1"/>
    </xf>
    <xf numFmtId="0" fontId="23" fillId="3" borderId="1" xfId="0" applyFont="1" applyFill="1" applyBorder="1" applyAlignment="1">
      <alignment horizontal="center" vertical="center"/>
    </xf>
    <xf numFmtId="0" fontId="24" fillId="0" borderId="0" xfId="2" applyFont="1">
      <alignment vertical="center"/>
    </xf>
    <xf numFmtId="0" fontId="25" fillId="0" borderId="0" xfId="0" applyFont="1"/>
    <xf numFmtId="0" fontId="20" fillId="0" borderId="1" xfId="0" applyFont="1" applyBorder="1" applyAlignment="1">
      <alignment horizontal="center" vertical="center"/>
    </xf>
    <xf numFmtId="0" fontId="10" fillId="0" borderId="1" xfId="0" applyFont="1" applyBorder="1" applyAlignment="1">
      <alignment horizontal="center"/>
    </xf>
    <xf numFmtId="0" fontId="19" fillId="7" borderId="0" xfId="0" applyFont="1" applyFill="1"/>
    <xf numFmtId="0" fontId="19" fillId="0" borderId="0" xfId="0" applyFont="1"/>
    <xf numFmtId="2" fontId="20" fillId="0" borderId="0" xfId="0" applyNumberFormat="1" applyFont="1" applyAlignment="1">
      <alignment horizontal="center"/>
    </xf>
    <xf numFmtId="0" fontId="20" fillId="0" borderId="1" xfId="3" applyFont="1" applyBorder="1" applyAlignment="1">
      <alignment horizontal="center" vertical="center" wrapText="1"/>
    </xf>
    <xf numFmtId="0" fontId="20" fillId="0" borderId="1" xfId="3" applyFont="1" applyBorder="1" applyAlignment="1">
      <alignment horizontal="center" vertical="center"/>
    </xf>
    <xf numFmtId="2" fontId="20" fillId="0" borderId="1" xfId="0" applyNumberFormat="1" applyFont="1" applyBorder="1"/>
    <xf numFmtId="0" fontId="20" fillId="0" borderId="1" xfId="0" applyFont="1" applyBorder="1" applyAlignment="1">
      <alignment horizontal="center"/>
    </xf>
    <xf numFmtId="0" fontId="10" fillId="0" borderId="1" xfId="3" applyFont="1" applyBorder="1" applyAlignment="1">
      <alignment horizontal="center" vertical="center" wrapText="1"/>
    </xf>
    <xf numFmtId="166" fontId="20" fillId="0" borderId="1" xfId="0" applyNumberFormat="1" applyFont="1" applyBorder="1"/>
    <xf numFmtId="0" fontId="20" fillId="0" borderId="0" xfId="0" applyFont="1" applyAlignment="1">
      <alignment horizontal="right"/>
    </xf>
    <xf numFmtId="9" fontId="20" fillId="0" borderId="1" xfId="7" applyFont="1" applyBorder="1" applyAlignment="1"/>
    <xf numFmtId="2" fontId="20" fillId="0" borderId="0" xfId="0" applyNumberFormat="1" applyFont="1"/>
    <xf numFmtId="0" fontId="10" fillId="0" borderId="8" xfId="2" applyFont="1" applyBorder="1" applyAlignment="1">
      <alignment horizontal="center" vertical="center" wrapText="1"/>
    </xf>
    <xf numFmtId="0" fontId="10" fillId="0" borderId="7" xfId="2" applyFont="1" applyBorder="1" applyAlignment="1">
      <alignment horizontal="center" vertical="center" wrapText="1"/>
    </xf>
    <xf numFmtId="0" fontId="10" fillId="0" borderId="7" xfId="2" applyFont="1" applyBorder="1" applyAlignment="1">
      <alignment horizontal="left" vertical="center" wrapText="1"/>
    </xf>
    <xf numFmtId="0" fontId="10" fillId="0" borderId="25" xfId="2" applyFont="1" applyBorder="1" applyAlignment="1">
      <alignment horizontal="left" vertical="center" wrapText="1"/>
    </xf>
    <xf numFmtId="0" fontId="12" fillId="3" borderId="14" xfId="2" applyFont="1" applyFill="1" applyBorder="1" applyAlignment="1">
      <alignment horizontal="left" vertical="center" wrapText="1"/>
    </xf>
    <xf numFmtId="0" fontId="30" fillId="0" borderId="0" xfId="0" applyFont="1"/>
    <xf numFmtId="0" fontId="30" fillId="0" borderId="0" xfId="0" applyFont="1" applyAlignment="1">
      <alignment horizontal="right"/>
    </xf>
    <xf numFmtId="0" fontId="31" fillId="0" borderId="0" xfId="0" applyFont="1" applyAlignment="1">
      <alignment vertical="center"/>
    </xf>
    <xf numFmtId="0" fontId="32" fillId="0" borderId="0" xfId="0" applyFont="1" applyAlignment="1">
      <alignment vertical="center"/>
    </xf>
    <xf numFmtId="0" fontId="30" fillId="0" borderId="0" xfId="0" applyFont="1" applyAlignment="1">
      <alignment vertical="center"/>
    </xf>
    <xf numFmtId="0" fontId="33" fillId="7" borderId="16" xfId="0" applyFont="1" applyFill="1" applyBorder="1"/>
    <xf numFmtId="0" fontId="30" fillId="7" borderId="17" xfId="0" applyFont="1" applyFill="1" applyBorder="1"/>
    <xf numFmtId="0" fontId="30" fillId="7" borderId="18" xfId="0" applyFont="1" applyFill="1" applyBorder="1"/>
    <xf numFmtId="0" fontId="30" fillId="0" borderId="19" xfId="0" applyFont="1" applyBorder="1"/>
    <xf numFmtId="0" fontId="30" fillId="0" borderId="20" xfId="0" applyFont="1" applyBorder="1"/>
    <xf numFmtId="0" fontId="33" fillId="9" borderId="28" xfId="0" applyFont="1" applyFill="1" applyBorder="1" applyAlignment="1">
      <alignment horizontal="center"/>
    </xf>
    <xf numFmtId="0" fontId="30" fillId="2" borderId="0" xfId="0" applyFont="1" applyFill="1"/>
    <xf numFmtId="0" fontId="33" fillId="0" borderId="30" xfId="0" applyFont="1" applyBorder="1" applyAlignment="1">
      <alignment horizontal="left" vertical="top" wrapText="1"/>
    </xf>
    <xf numFmtId="0" fontId="33" fillId="0" borderId="31" xfId="0" applyFont="1" applyBorder="1" applyAlignment="1">
      <alignment horizontal="center" vertical="top"/>
    </xf>
    <xf numFmtId="0" fontId="30" fillId="0" borderId="31" xfId="0" applyFont="1" applyBorder="1"/>
    <xf numFmtId="2" fontId="33" fillId="8" borderId="28" xfId="0" applyNumberFormat="1" applyFont="1" applyFill="1" applyBorder="1" applyAlignment="1">
      <alignment horizontal="center"/>
    </xf>
    <xf numFmtId="0" fontId="33" fillId="8" borderId="28" xfId="0" applyFont="1" applyFill="1" applyBorder="1" applyAlignment="1">
      <alignment horizontal="center"/>
    </xf>
    <xf numFmtId="2" fontId="33" fillId="0" borderId="28" xfId="0" applyNumberFormat="1" applyFont="1" applyBorder="1" applyAlignment="1">
      <alignment horizontal="center"/>
    </xf>
    <xf numFmtId="0" fontId="33" fillId="0" borderId="28" xfId="0" applyFont="1" applyBorder="1" applyAlignment="1">
      <alignment horizontal="center"/>
    </xf>
    <xf numFmtId="0" fontId="33" fillId="0" borderId="33" xfId="0" applyFont="1" applyBorder="1" applyAlignment="1">
      <alignment horizontal="left" vertical="top" wrapText="1"/>
    </xf>
    <xf numFmtId="0" fontId="30" fillId="0" borderId="33" xfId="0" applyFont="1" applyBorder="1"/>
    <xf numFmtId="0" fontId="30" fillId="0" borderId="2" xfId="0" applyFont="1" applyBorder="1"/>
    <xf numFmtId="0" fontId="30" fillId="0" borderId="0" xfId="0" quotePrefix="1" applyFont="1"/>
    <xf numFmtId="0" fontId="30" fillId="0" borderId="0" xfId="0" applyFont="1" applyAlignment="1">
      <alignment horizontal="left"/>
    </xf>
    <xf numFmtId="0" fontId="30" fillId="0" borderId="38" xfId="0" applyFont="1" applyBorder="1"/>
    <xf numFmtId="0" fontId="30" fillId="0" borderId="39" xfId="0" quotePrefix="1" applyFont="1" applyBorder="1"/>
    <xf numFmtId="0" fontId="30" fillId="0" borderId="39" xfId="0" applyFont="1" applyBorder="1" applyAlignment="1">
      <alignment horizontal="left"/>
    </xf>
    <xf numFmtId="0" fontId="30" fillId="0" borderId="39" xfId="0" applyFont="1" applyBorder="1"/>
    <xf numFmtId="0" fontId="30" fillId="0" borderId="37" xfId="0" applyFont="1" applyBorder="1"/>
    <xf numFmtId="0" fontId="30" fillId="0" borderId="14" xfId="0" applyFont="1" applyBorder="1"/>
    <xf numFmtId="0" fontId="30" fillId="0" borderId="25" xfId="0" applyFont="1" applyBorder="1"/>
    <xf numFmtId="0" fontId="30" fillId="0" borderId="15" xfId="0" applyFont="1" applyBorder="1"/>
    <xf numFmtId="0" fontId="30" fillId="0" borderId="0" xfId="0" applyFont="1" applyAlignment="1">
      <alignment horizontal="center"/>
    </xf>
    <xf numFmtId="0" fontId="33" fillId="9" borderId="1" xfId="0" applyFont="1" applyFill="1" applyBorder="1" applyAlignment="1">
      <alignment horizontal="center"/>
    </xf>
    <xf numFmtId="0" fontId="35" fillId="9" borderId="1" xfId="0" applyFont="1" applyFill="1" applyBorder="1" applyAlignment="1">
      <alignment horizontal="center"/>
    </xf>
    <xf numFmtId="168" fontId="30" fillId="0" borderId="1" xfId="0" applyNumberFormat="1" applyFont="1" applyBorder="1" applyAlignment="1">
      <alignment horizontal="center" vertical="center"/>
    </xf>
    <xf numFmtId="164" fontId="30" fillId="0" borderId="1" xfId="0" applyNumberFormat="1" applyFont="1" applyBorder="1" applyAlignment="1">
      <alignment horizontal="center" vertical="center"/>
    </xf>
    <xf numFmtId="168" fontId="30" fillId="0" borderId="0" xfId="0" applyNumberFormat="1" applyFont="1"/>
    <xf numFmtId="0" fontId="30" fillId="0" borderId="21" xfId="0" applyFont="1" applyBorder="1"/>
    <xf numFmtId="0" fontId="30" fillId="0" borderId="22" xfId="0" applyFont="1" applyBorder="1"/>
    <xf numFmtId="0" fontId="30" fillId="0" borderId="23" xfId="0" applyFont="1" applyBorder="1"/>
    <xf numFmtId="0" fontId="30" fillId="7" borderId="0" xfId="0" applyFont="1" applyFill="1"/>
    <xf numFmtId="0" fontId="30" fillId="0" borderId="19" xfId="0" applyFont="1" applyBorder="1" applyAlignment="1">
      <alignment vertical="top" wrapText="1"/>
    </xf>
    <xf numFmtId="0" fontId="30" fillId="0" borderId="0" xfId="0" applyFont="1" applyAlignment="1">
      <alignment vertical="top" wrapText="1"/>
    </xf>
    <xf numFmtId="0" fontId="30" fillId="0" borderId="20" xfId="0" applyFont="1" applyBorder="1" applyAlignment="1">
      <alignment vertical="top" wrapText="1"/>
    </xf>
    <xf numFmtId="0" fontId="30" fillId="0" borderId="21" xfId="0" applyFont="1" applyBorder="1" applyAlignment="1">
      <alignment vertical="top" wrapText="1"/>
    </xf>
    <xf numFmtId="0" fontId="30" fillId="0" borderId="22" xfId="0" applyFont="1" applyBorder="1" applyAlignment="1">
      <alignment vertical="top" wrapText="1"/>
    </xf>
    <xf numFmtId="0" fontId="30" fillId="0" borderId="23" xfId="0" applyFont="1" applyBorder="1" applyAlignment="1">
      <alignment vertical="top" wrapText="1"/>
    </xf>
    <xf numFmtId="0" fontId="36" fillId="0" borderId="32" xfId="0" applyFont="1" applyBorder="1" applyAlignment="1">
      <alignment horizontal="right"/>
    </xf>
    <xf numFmtId="0" fontId="30" fillId="0" borderId="0" xfId="0" applyFont="1" applyAlignment="1">
      <alignment horizontal="center" vertical="center"/>
    </xf>
    <xf numFmtId="0" fontId="10" fillId="0" borderId="1" xfId="3" applyFont="1" applyBorder="1" applyAlignment="1">
      <alignment horizontal="center" vertical="center"/>
    </xf>
    <xf numFmtId="0" fontId="10" fillId="0" borderId="1" xfId="3" applyFont="1" applyBorder="1" applyAlignment="1">
      <alignment horizontal="left" vertical="center" wrapText="1"/>
    </xf>
    <xf numFmtId="0" fontId="29" fillId="0" borderId="0" xfId="0" applyFont="1"/>
    <xf numFmtId="0" fontId="10" fillId="2" borderId="1" xfId="3" applyFont="1" applyFill="1" applyBorder="1" applyAlignment="1">
      <alignment horizontal="left" vertical="center" wrapText="1"/>
    </xf>
    <xf numFmtId="0" fontId="10" fillId="10" borderId="1" xfId="2" applyFont="1" applyFill="1" applyBorder="1" applyAlignment="1">
      <alignment horizontal="center" vertical="center" wrapText="1"/>
    </xf>
    <xf numFmtId="0" fontId="10" fillId="0" borderId="0" xfId="0" applyFont="1" applyAlignment="1">
      <alignment vertical="center"/>
    </xf>
    <xf numFmtId="0" fontId="10" fillId="0" borderId="0" xfId="0" applyFont="1" applyAlignment="1">
      <alignment horizontal="center" vertical="center"/>
    </xf>
    <xf numFmtId="0" fontId="10" fillId="3" borderId="0" xfId="2" applyFont="1" applyFill="1" applyAlignment="1">
      <alignment horizontal="center" vertical="center" wrapText="1"/>
    </xf>
    <xf numFmtId="0" fontId="10" fillId="0" borderId="3" xfId="3" applyFont="1" applyBorder="1" applyAlignment="1">
      <alignment horizontal="center" vertical="center" wrapText="1"/>
    </xf>
    <xf numFmtId="0" fontId="34" fillId="0" borderId="28" xfId="0" applyFont="1" applyBorder="1" applyAlignment="1">
      <alignment horizontal="center" shrinkToFit="1"/>
    </xf>
    <xf numFmtId="0" fontId="34" fillId="0" borderId="1" xfId="0" applyFont="1" applyBorder="1" applyAlignment="1">
      <alignment horizontal="center" shrinkToFit="1"/>
    </xf>
    <xf numFmtId="0" fontId="12" fillId="11" borderId="1" xfId="3" applyFont="1" applyFill="1" applyBorder="1" applyAlignment="1">
      <alignment horizontal="center" vertical="center" wrapText="1"/>
    </xf>
    <xf numFmtId="0" fontId="12" fillId="12" borderId="1" xfId="3" applyFont="1" applyFill="1" applyBorder="1" applyAlignment="1">
      <alignment horizontal="center" vertical="center" wrapText="1"/>
    </xf>
    <xf numFmtId="0" fontId="38" fillId="0" borderId="1" xfId="3" applyFont="1" applyBorder="1" applyAlignment="1">
      <alignment horizontal="center" vertical="center" wrapText="1"/>
    </xf>
    <xf numFmtId="0" fontId="38" fillId="11" borderId="1" xfId="3" applyFont="1" applyFill="1" applyBorder="1" applyAlignment="1">
      <alignment horizontal="center" vertical="center" wrapText="1"/>
    </xf>
    <xf numFmtId="0" fontId="40" fillId="0" borderId="0" xfId="0" applyFont="1"/>
    <xf numFmtId="0" fontId="41" fillId="0" borderId="0" xfId="10" applyFont="1" applyAlignment="1"/>
    <xf numFmtId="0" fontId="40" fillId="0" borderId="0" xfId="10" applyFont="1" applyAlignment="1"/>
    <xf numFmtId="0" fontId="40" fillId="0" borderId="0" xfId="2" applyFont="1" applyAlignment="1"/>
    <xf numFmtId="0" fontId="40" fillId="0" borderId="0" xfId="2" applyFont="1" applyAlignment="1">
      <alignment wrapText="1"/>
    </xf>
    <xf numFmtId="0" fontId="40" fillId="0" borderId="0" xfId="2" applyFont="1" applyAlignment="1">
      <alignment horizontal="center" wrapText="1"/>
    </xf>
    <xf numFmtId="0" fontId="40" fillId="0" borderId="0" xfId="0" applyFont="1" applyAlignment="1">
      <alignment horizontal="center"/>
    </xf>
    <xf numFmtId="0" fontId="40" fillId="0" borderId="0" xfId="10" applyFont="1">
      <alignment vertical="center"/>
    </xf>
    <xf numFmtId="0" fontId="40" fillId="0" borderId="0" xfId="2" applyFont="1">
      <alignment vertical="center"/>
    </xf>
    <xf numFmtId="0" fontId="40" fillId="0" borderId="0" xfId="2" applyFont="1" applyAlignment="1">
      <alignment vertical="center" wrapText="1"/>
    </xf>
    <xf numFmtId="0" fontId="42" fillId="0" borderId="0" xfId="2" applyFont="1">
      <alignment vertical="center"/>
    </xf>
    <xf numFmtId="0" fontId="40" fillId="0" borderId="0" xfId="2" applyFont="1" applyAlignment="1">
      <alignment horizontal="right" vertical="center"/>
    </xf>
    <xf numFmtId="0" fontId="43" fillId="0" borderId="0" xfId="2" applyFont="1" applyAlignment="1">
      <alignment horizontal="left" vertical="center"/>
    </xf>
    <xf numFmtId="14" fontId="43" fillId="0" borderId="0" xfId="2" applyNumberFormat="1" applyFont="1" applyAlignment="1">
      <alignment horizontal="left" vertical="center"/>
    </xf>
    <xf numFmtId="0" fontId="41" fillId="0" borderId="0" xfId="10" applyFont="1">
      <alignment vertical="center"/>
    </xf>
    <xf numFmtId="0" fontId="40" fillId="0" borderId="0" xfId="2" applyFont="1" applyAlignment="1">
      <alignment horizontal="center" vertical="center" wrapText="1"/>
    </xf>
    <xf numFmtId="0" fontId="40" fillId="0" borderId="0" xfId="2" applyFont="1" applyAlignment="1">
      <alignment horizontal="right" vertical="center" wrapText="1"/>
    </xf>
    <xf numFmtId="0" fontId="41" fillId="0" borderId="0" xfId="0" applyFont="1"/>
    <xf numFmtId="0" fontId="41" fillId="0" borderId="0" xfId="2" applyFont="1">
      <alignment vertical="center"/>
    </xf>
    <xf numFmtId="0" fontId="44" fillId="13" borderId="1" xfId="10" applyFont="1" applyFill="1" applyBorder="1" applyAlignment="1">
      <alignment horizontal="center" vertical="center" wrapText="1"/>
    </xf>
    <xf numFmtId="0" fontId="41" fillId="0" borderId="1" xfId="0" applyFont="1" applyBorder="1" applyAlignment="1">
      <alignment horizontal="center" vertical="center" wrapText="1"/>
    </xf>
    <xf numFmtId="0" fontId="44" fillId="13" borderId="6" xfId="10" applyFont="1" applyFill="1" applyBorder="1" applyAlignment="1">
      <alignment horizontal="center" vertical="center" wrapText="1"/>
    </xf>
    <xf numFmtId="0" fontId="40" fillId="2" borderId="0" xfId="0" applyFont="1" applyFill="1" applyAlignment="1">
      <alignment vertical="top"/>
    </xf>
    <xf numFmtId="0" fontId="40" fillId="2" borderId="0" xfId="2" applyFont="1" applyFill="1" applyAlignment="1">
      <alignment vertical="top"/>
    </xf>
    <xf numFmtId="0" fontId="40" fillId="2" borderId="1" xfId="10" applyFont="1" applyFill="1" applyBorder="1" applyAlignment="1">
      <alignment horizontal="center" vertical="top"/>
    </xf>
    <xf numFmtId="0" fontId="40" fillId="2" borderId="1" xfId="2" applyFont="1" applyFill="1" applyBorder="1" applyAlignment="1">
      <alignment horizontal="center" vertical="top"/>
    </xf>
    <xf numFmtId="0" fontId="40" fillId="2" borderId="1" xfId="0" applyFont="1" applyFill="1" applyBorder="1" applyAlignment="1">
      <alignment horizontal="center" vertical="top"/>
    </xf>
    <xf numFmtId="0" fontId="40" fillId="2" borderId="3" xfId="2" applyFont="1" applyFill="1" applyBorder="1" applyAlignment="1">
      <alignment horizontal="center" vertical="top"/>
    </xf>
    <xf numFmtId="0" fontId="40" fillId="2" borderId="7" xfId="2" applyFont="1" applyFill="1" applyBorder="1" applyAlignment="1">
      <alignment horizontal="center" vertical="top"/>
    </xf>
    <xf numFmtId="0" fontId="40" fillId="0" borderId="0" xfId="0" applyFont="1" applyAlignment="1">
      <alignment vertical="top"/>
    </xf>
    <xf numFmtId="0" fontId="40" fillId="0" borderId="0" xfId="2" applyFont="1" applyAlignment="1">
      <alignment vertical="top"/>
    </xf>
    <xf numFmtId="0" fontId="40" fillId="0" borderId="0" xfId="2" applyFont="1" applyAlignment="1">
      <alignment vertical="top" wrapText="1"/>
    </xf>
    <xf numFmtId="0" fontId="40" fillId="0" borderId="0" xfId="2" applyFont="1" applyAlignment="1">
      <alignment horizontal="center" vertical="top" wrapText="1"/>
    </xf>
    <xf numFmtId="0" fontId="40" fillId="0" borderId="0" xfId="0" applyFont="1" applyAlignment="1">
      <alignment horizontal="center" vertical="top"/>
    </xf>
    <xf numFmtId="0" fontId="40" fillId="4" borderId="0" xfId="2" applyFont="1" applyFill="1" applyAlignment="1">
      <alignment horizontal="center" vertical="top"/>
    </xf>
    <xf numFmtId="0" fontId="40" fillId="4" borderId="0" xfId="2" applyFont="1" applyFill="1" applyAlignment="1">
      <alignment vertical="top" wrapText="1"/>
    </xf>
    <xf numFmtId="0" fontId="40" fillId="4" borderId="0" xfId="2" applyFont="1" applyFill="1" applyAlignment="1">
      <alignment horizontal="center" vertical="top" wrapText="1"/>
    </xf>
    <xf numFmtId="0" fontId="40" fillId="4" borderId="0" xfId="2" applyFont="1" applyFill="1" applyAlignment="1">
      <alignment vertical="top"/>
    </xf>
    <xf numFmtId="0" fontId="40" fillId="4" borderId="0" xfId="2" applyFont="1" applyFill="1" applyAlignment="1">
      <alignment vertical="center" wrapText="1"/>
    </xf>
    <xf numFmtId="0" fontId="40" fillId="4" borderId="0" xfId="2" applyFont="1" applyFill="1" applyAlignment="1">
      <alignment horizontal="center" vertical="center" wrapText="1"/>
    </xf>
    <xf numFmtId="0" fontId="40" fillId="5" borderId="0" xfId="2" applyFont="1" applyFill="1" applyAlignment="1">
      <alignment vertical="center" wrapText="1"/>
    </xf>
    <xf numFmtId="0" fontId="40" fillId="5" borderId="0" xfId="2" applyFont="1" applyFill="1" applyAlignment="1">
      <alignment horizontal="center" vertical="center" wrapText="1"/>
    </xf>
    <xf numFmtId="0" fontId="49" fillId="0" borderId="0" xfId="11" applyFont="1">
      <alignment vertical="center"/>
    </xf>
    <xf numFmtId="0" fontId="49" fillId="0" borderId="0" xfId="11" applyFont="1" applyAlignment="1">
      <alignment vertical="center" wrapText="1"/>
    </xf>
    <xf numFmtId="0" fontId="49" fillId="0" borderId="0" xfId="11" applyFont="1" applyAlignment="1">
      <alignment horizontal="center" vertical="center" wrapText="1"/>
    </xf>
    <xf numFmtId="0" fontId="49" fillId="0" borderId="0" xfId="0" applyFont="1"/>
    <xf numFmtId="0" fontId="49" fillId="0" borderId="0" xfId="0" applyFont="1" applyAlignment="1">
      <alignment wrapText="1"/>
    </xf>
    <xf numFmtId="0" fontId="50" fillId="2" borderId="1" xfId="11" applyFont="1" applyFill="1" applyBorder="1" applyAlignment="1">
      <alignment horizontal="center" vertical="center" wrapText="1"/>
    </xf>
    <xf numFmtId="0" fontId="49" fillId="2" borderId="1" xfId="11" applyFont="1" applyFill="1" applyBorder="1" applyAlignment="1">
      <alignment horizontal="center" vertical="center"/>
    </xf>
    <xf numFmtId="0" fontId="49" fillId="0" borderId="1" xfId="11" applyFont="1" applyBorder="1" applyAlignment="1">
      <alignment horizontal="center" vertical="center"/>
    </xf>
    <xf numFmtId="0" fontId="49" fillId="0" borderId="0" xfId="11" applyFont="1" applyAlignment="1">
      <alignment horizontal="center" vertical="center"/>
    </xf>
    <xf numFmtId="0" fontId="49" fillId="4" borderId="0" xfId="11" applyFont="1" applyFill="1" applyAlignment="1">
      <alignment horizontal="center" vertical="center"/>
    </xf>
    <xf numFmtId="0" fontId="49" fillId="4" borderId="0" xfId="11" applyFont="1" applyFill="1" applyAlignment="1">
      <alignment vertical="center" wrapText="1"/>
    </xf>
    <xf numFmtId="0" fontId="49" fillId="4" borderId="0" xfId="11" applyFont="1" applyFill="1" applyAlignment="1">
      <alignment horizontal="center" vertical="center" wrapText="1"/>
    </xf>
    <xf numFmtId="0" fontId="49" fillId="4" borderId="0" xfId="11" applyFont="1" applyFill="1">
      <alignment vertical="center"/>
    </xf>
    <xf numFmtId="0" fontId="49" fillId="5" borderId="0" xfId="11" applyFont="1" applyFill="1" applyAlignment="1">
      <alignment horizontal="center" vertical="center"/>
    </xf>
    <xf numFmtId="0" fontId="49" fillId="5" borderId="0" xfId="11" applyFont="1" applyFill="1" applyAlignment="1">
      <alignment vertical="center" wrapText="1"/>
    </xf>
    <xf numFmtId="0" fontId="49" fillId="5" borderId="0" xfId="11" applyFont="1" applyFill="1" applyAlignment="1">
      <alignment horizontal="center" vertical="center" wrapText="1"/>
    </xf>
    <xf numFmtId="0" fontId="49" fillId="0" borderId="0" xfId="0" applyFont="1" applyAlignment="1">
      <alignment horizontal="center"/>
    </xf>
    <xf numFmtId="0" fontId="51" fillId="15" borderId="1" xfId="11" applyFont="1" applyFill="1" applyBorder="1" applyAlignment="1">
      <alignment horizontal="center" vertical="center" wrapText="1"/>
    </xf>
    <xf numFmtId="0" fontId="50" fillId="0" borderId="1" xfId="11" applyFont="1" applyBorder="1" applyAlignment="1">
      <alignment horizontal="center" vertical="center" wrapText="1"/>
    </xf>
    <xf numFmtId="0" fontId="49" fillId="0" borderId="1" xfId="12" applyFont="1" applyBorder="1" applyAlignment="1">
      <alignment vertical="center" wrapText="1"/>
    </xf>
    <xf numFmtId="0" fontId="49" fillId="0" borderId="1" xfId="11" applyFont="1" applyBorder="1" applyAlignment="1">
      <alignment vertical="center" wrapText="1"/>
    </xf>
    <xf numFmtId="0" fontId="50" fillId="0" borderId="1" xfId="11" applyFont="1" applyBorder="1" applyAlignment="1">
      <alignment vertical="center" wrapText="1"/>
    </xf>
    <xf numFmtId="0" fontId="50" fillId="0" borderId="1" xfId="11" applyFont="1" applyBorder="1" applyAlignment="1">
      <alignment horizontal="left" vertical="center" wrapText="1"/>
    </xf>
    <xf numFmtId="0" fontId="50" fillId="0" borderId="8" xfId="11" applyFont="1" applyBorder="1" applyAlignment="1">
      <alignment horizontal="center" vertical="center" wrapText="1"/>
    </xf>
    <xf numFmtId="0" fontId="50" fillId="0" borderId="7" xfId="11" applyFont="1" applyBorder="1" applyAlignment="1">
      <alignment horizontal="center" vertical="center" wrapText="1"/>
    </xf>
    <xf numFmtId="0" fontId="50" fillId="0" borderId="0" xfId="0" applyFont="1"/>
    <xf numFmtId="0" fontId="50" fillId="0" borderId="1" xfId="11" applyFont="1" applyBorder="1" applyAlignment="1">
      <alignment horizontal="center" vertical="center"/>
    </xf>
    <xf numFmtId="0" fontId="50" fillId="0" borderId="1" xfId="12" applyFont="1" applyBorder="1" applyAlignment="1">
      <alignment vertical="center" wrapText="1"/>
    </xf>
    <xf numFmtId="0" fontId="49" fillId="12" borderId="0" xfId="11" applyFont="1" applyFill="1">
      <alignment vertical="center"/>
    </xf>
    <xf numFmtId="0" fontId="40" fillId="16" borderId="1" xfId="10" applyFont="1" applyFill="1" applyBorder="1" applyAlignment="1">
      <alignment horizontal="left" vertical="top" wrapText="1"/>
    </xf>
    <xf numFmtId="0" fontId="40" fillId="16" borderId="1" xfId="10" applyFont="1" applyFill="1" applyBorder="1" applyAlignment="1">
      <alignment horizontal="center" vertical="top" wrapText="1"/>
    </xf>
    <xf numFmtId="0" fontId="40" fillId="16" borderId="7" xfId="10" applyFont="1" applyFill="1" applyBorder="1" applyAlignment="1">
      <alignment horizontal="left" vertical="top" wrapText="1"/>
    </xf>
    <xf numFmtId="0" fontId="49" fillId="16" borderId="0" xfId="11" applyFont="1" applyFill="1">
      <alignment vertical="center"/>
    </xf>
    <xf numFmtId="0" fontId="40" fillId="16" borderId="1" xfId="10" applyFont="1" applyFill="1" applyBorder="1" applyAlignment="1">
      <alignment vertical="top" wrapText="1"/>
    </xf>
    <xf numFmtId="0" fontId="40" fillId="16" borderId="7" xfId="0" applyFont="1" applyFill="1" applyBorder="1" applyAlignment="1">
      <alignment horizontal="center" vertical="top"/>
    </xf>
    <xf numFmtId="0" fontId="40" fillId="16" borderId="1" xfId="3" applyFont="1" applyFill="1" applyBorder="1" applyAlignment="1">
      <alignment horizontal="left" vertical="top" wrapText="1"/>
    </xf>
    <xf numFmtId="0" fontId="40" fillId="16" borderId="1" xfId="2" applyFont="1" applyFill="1" applyBorder="1" applyAlignment="1">
      <alignment horizontal="center" vertical="top" wrapText="1"/>
    </xf>
    <xf numFmtId="0" fontId="40" fillId="16" borderId="1" xfId="2" applyFont="1" applyFill="1" applyBorder="1" applyAlignment="1">
      <alignment horizontal="left" vertical="top" wrapText="1"/>
    </xf>
    <xf numFmtId="0" fontId="50" fillId="14" borderId="1" xfId="11" applyFont="1" applyFill="1" applyBorder="1" applyAlignment="1">
      <alignment horizontal="center" vertical="center" wrapText="1"/>
    </xf>
    <xf numFmtId="0" fontId="49" fillId="17" borderId="0" xfId="11" applyFont="1" applyFill="1">
      <alignment vertical="center"/>
    </xf>
    <xf numFmtId="0" fontId="40" fillId="17" borderId="7" xfId="10" applyFont="1" applyFill="1" applyBorder="1" applyAlignment="1">
      <alignment horizontal="left" vertical="top" wrapText="1"/>
    </xf>
    <xf numFmtId="0" fontId="40" fillId="17" borderId="7" xfId="0" applyFont="1" applyFill="1" applyBorder="1" applyAlignment="1">
      <alignment horizontal="center" vertical="top"/>
    </xf>
    <xf numFmtId="0" fontId="40" fillId="17" borderId="1" xfId="10" applyFont="1" applyFill="1" applyBorder="1" applyAlignment="1">
      <alignment horizontal="left" vertical="top" wrapText="1"/>
    </xf>
    <xf numFmtId="0" fontId="40" fillId="17" borderId="1" xfId="10" applyFont="1" applyFill="1" applyBorder="1" applyAlignment="1">
      <alignment horizontal="center" vertical="top" wrapText="1"/>
    </xf>
    <xf numFmtId="0" fontId="40" fillId="17" borderId="1" xfId="3" applyFont="1" applyFill="1" applyBorder="1" applyAlignment="1">
      <alignment horizontal="left" vertical="top" wrapText="1"/>
    </xf>
    <xf numFmtId="0" fontId="40" fillId="17" borderId="1" xfId="2" applyFont="1" applyFill="1" applyBorder="1" applyAlignment="1">
      <alignment horizontal="center" vertical="top" wrapText="1"/>
    </xf>
    <xf numFmtId="0" fontId="40" fillId="18" borderId="1" xfId="10" applyFont="1" applyFill="1" applyBorder="1" applyAlignment="1">
      <alignment vertical="top" wrapText="1"/>
    </xf>
    <xf numFmtId="0" fontId="40" fillId="18" borderId="1" xfId="10" applyFont="1" applyFill="1" applyBorder="1" applyAlignment="1">
      <alignment horizontal="center" vertical="top" wrapText="1"/>
    </xf>
    <xf numFmtId="0" fontId="49" fillId="19" borderId="0" xfId="11" applyFont="1" applyFill="1">
      <alignment vertical="center"/>
    </xf>
    <xf numFmtId="0" fontId="40" fillId="19" borderId="1" xfId="10" applyFont="1" applyFill="1" applyBorder="1" applyAlignment="1">
      <alignment vertical="top" wrapText="1"/>
    </xf>
    <xf numFmtId="0" fontId="40" fillId="19" borderId="1" xfId="10" applyFont="1" applyFill="1" applyBorder="1" applyAlignment="1">
      <alignment horizontal="center" vertical="top" wrapText="1"/>
    </xf>
    <xf numFmtId="0" fontId="40" fillId="19" borderId="1" xfId="10" applyFont="1" applyFill="1" applyBorder="1" applyAlignment="1">
      <alignment horizontal="left" vertical="top" wrapText="1"/>
    </xf>
    <xf numFmtId="0" fontId="50" fillId="2" borderId="1" xfId="11" applyFont="1" applyFill="1" applyBorder="1" applyAlignment="1">
      <alignment horizontal="center" vertical="center"/>
    </xf>
    <xf numFmtId="0" fontId="50" fillId="0" borderId="1" xfId="12" applyFont="1" applyBorder="1" applyAlignment="1">
      <alignment horizontal="left" vertical="center" wrapText="1"/>
    </xf>
    <xf numFmtId="0" fontId="40" fillId="19" borderId="7" xfId="10" applyFont="1" applyFill="1" applyBorder="1" applyAlignment="1">
      <alignment horizontal="left" vertical="top" wrapText="1"/>
    </xf>
    <xf numFmtId="0" fontId="40" fillId="19" borderId="7" xfId="0" applyFont="1" applyFill="1" applyBorder="1" applyAlignment="1">
      <alignment horizontal="center" vertical="top"/>
    </xf>
    <xf numFmtId="0" fontId="40" fillId="19" borderId="1" xfId="2" applyFont="1" applyFill="1" applyBorder="1" applyAlignment="1">
      <alignment horizontal="left" vertical="top" wrapText="1"/>
    </xf>
    <xf numFmtId="0" fontId="40" fillId="19" borderId="1" xfId="2" applyFont="1" applyFill="1" applyBorder="1" applyAlignment="1">
      <alignment horizontal="center" vertical="top" wrapText="1"/>
    </xf>
    <xf numFmtId="0" fontId="40" fillId="19" borderId="1" xfId="3" applyFont="1" applyFill="1" applyBorder="1" applyAlignment="1">
      <alignment horizontal="left" vertical="top" wrapText="1"/>
    </xf>
    <xf numFmtId="0" fontId="52" fillId="0" borderId="0" xfId="2" applyFont="1">
      <alignment vertical="center"/>
    </xf>
    <xf numFmtId="0" fontId="42" fillId="19" borderId="1" xfId="2" applyFont="1" applyFill="1" applyBorder="1">
      <alignment vertical="center"/>
    </xf>
    <xf numFmtId="0" fontId="42" fillId="18" borderId="1" xfId="2" applyFont="1" applyFill="1" applyBorder="1">
      <alignment vertical="center"/>
    </xf>
    <xf numFmtId="0" fontId="42" fillId="16" borderId="1" xfId="2" applyFont="1" applyFill="1" applyBorder="1">
      <alignment vertical="center"/>
    </xf>
    <xf numFmtId="0" fontId="42" fillId="17" borderId="1" xfId="2" applyFont="1" applyFill="1" applyBorder="1">
      <alignment vertical="center"/>
    </xf>
    <xf numFmtId="0" fontId="49" fillId="14" borderId="1" xfId="11" applyFont="1" applyFill="1" applyBorder="1" applyAlignment="1">
      <alignment horizontal="center" vertical="center" wrapText="1"/>
    </xf>
    <xf numFmtId="0" fontId="49" fillId="14" borderId="1" xfId="0" applyFont="1" applyFill="1" applyBorder="1" applyAlignment="1">
      <alignment horizontal="center" vertical="center"/>
    </xf>
    <xf numFmtId="0" fontId="50" fillId="18" borderId="1" xfId="11" applyFont="1" applyFill="1" applyBorder="1" applyAlignment="1">
      <alignment horizontal="center" vertical="center" wrapText="1"/>
    </xf>
    <xf numFmtId="0" fontId="40" fillId="0" borderId="0" xfId="2" applyFont="1" applyAlignment="1">
      <alignment horizontal="center" vertical="center"/>
    </xf>
    <xf numFmtId="0" fontId="40" fillId="0" borderId="7" xfId="10" applyFont="1" applyBorder="1" applyAlignment="1">
      <alignment horizontal="center" vertical="top" wrapText="1"/>
    </xf>
    <xf numFmtId="0" fontId="40" fillId="0" borderId="1" xfId="10" applyFont="1" applyBorder="1" applyAlignment="1">
      <alignment horizontal="center" vertical="top" wrapText="1"/>
    </xf>
    <xf numFmtId="0" fontId="40" fillId="0" borderId="8" xfId="10" applyFont="1" applyBorder="1" applyAlignment="1">
      <alignment horizontal="center" vertical="top" wrapText="1"/>
    </xf>
    <xf numFmtId="0" fontId="40" fillId="0" borderId="8" xfId="2" applyFont="1" applyBorder="1" applyAlignment="1">
      <alignment horizontal="center" vertical="top" wrapText="1"/>
    </xf>
    <xf numFmtId="0" fontId="40" fillId="0" borderId="1" xfId="10" applyFont="1" applyBorder="1" applyAlignment="1">
      <alignment horizontal="center" vertical="top"/>
    </xf>
    <xf numFmtId="0" fontId="40" fillId="0" borderId="0" xfId="2" applyFont="1" applyAlignment="1">
      <alignment horizontal="center" vertical="top"/>
    </xf>
    <xf numFmtId="0" fontId="40" fillId="0" borderId="7" xfId="10" applyFont="1" applyBorder="1" applyAlignment="1">
      <alignment horizontal="left" vertical="top"/>
    </xf>
    <xf numFmtId="0" fontId="40" fillId="0" borderId="1" xfId="10" applyFont="1" applyBorder="1" applyAlignment="1">
      <alignment horizontal="left" vertical="top"/>
    </xf>
    <xf numFmtId="0" fontId="40" fillId="0" borderId="8" xfId="10" applyFont="1" applyBorder="1" applyAlignment="1">
      <alignment horizontal="left" vertical="top"/>
    </xf>
    <xf numFmtId="0" fontId="40" fillId="0" borderId="8" xfId="2" applyFont="1" applyBorder="1" applyAlignment="1">
      <alignment horizontal="left" vertical="top"/>
    </xf>
    <xf numFmtId="0" fontId="20" fillId="14" borderId="1" xfId="0" applyFont="1" applyFill="1" applyBorder="1"/>
    <xf numFmtId="1" fontId="20" fillId="0" borderId="1" xfId="0" applyNumberFormat="1" applyFont="1" applyBorder="1"/>
    <xf numFmtId="0" fontId="20" fillId="0" borderId="1" xfId="0" applyFont="1" applyBorder="1" applyAlignment="1">
      <alignment horizontal="right"/>
    </xf>
    <xf numFmtId="0" fontId="55" fillId="0" borderId="0" xfId="0" applyFont="1"/>
    <xf numFmtId="0" fontId="53" fillId="0" borderId="0" xfId="0" applyFont="1"/>
    <xf numFmtId="0" fontId="54" fillId="0" borderId="1" xfId="0" applyFont="1" applyBorder="1"/>
    <xf numFmtId="0" fontId="54" fillId="0" borderId="0" xfId="0" applyFont="1" applyAlignment="1">
      <alignment horizontal="right"/>
    </xf>
    <xf numFmtId="0" fontId="54" fillId="0" borderId="1" xfId="0" applyFont="1" applyBorder="1" applyAlignment="1">
      <alignment horizontal="right"/>
    </xf>
    <xf numFmtId="0" fontId="56" fillId="0" borderId="0" xfId="0" applyFont="1"/>
    <xf numFmtId="0" fontId="56" fillId="0" borderId="0" xfId="0" applyFont="1" applyAlignment="1">
      <alignment horizontal="right"/>
    </xf>
    <xf numFmtId="0" fontId="52" fillId="0" borderId="0" xfId="0" applyFont="1" applyAlignment="1">
      <alignment vertical="center"/>
    </xf>
    <xf numFmtId="0" fontId="57" fillId="0" borderId="0" xfId="0" applyFont="1" applyAlignment="1">
      <alignment vertical="center"/>
    </xf>
    <xf numFmtId="0" fontId="56" fillId="0" borderId="1" xfId="0" applyFont="1" applyBorder="1" applyAlignment="1">
      <alignment horizontal="center" vertical="center"/>
    </xf>
    <xf numFmtId="0" fontId="56" fillId="0" borderId="0" xfId="0" applyFont="1" applyAlignment="1">
      <alignment vertical="center"/>
    </xf>
    <xf numFmtId="0" fontId="56" fillId="2" borderId="0" xfId="0" applyFont="1" applyFill="1"/>
    <xf numFmtId="0" fontId="58" fillId="0" borderId="32" xfId="0" applyFont="1" applyBorder="1" applyAlignment="1">
      <alignment horizontal="right"/>
    </xf>
    <xf numFmtId="2" fontId="58" fillId="0" borderId="28" xfId="0" applyNumberFormat="1" applyFont="1" applyBorder="1" applyAlignment="1">
      <alignment horizontal="center"/>
    </xf>
    <xf numFmtId="0" fontId="58" fillId="0" borderId="28" xfId="0" applyFont="1" applyBorder="1" applyAlignment="1">
      <alignment horizontal="center"/>
    </xf>
    <xf numFmtId="0" fontId="59" fillId="0" borderId="28" xfId="0" applyFont="1" applyBorder="1" applyAlignment="1">
      <alignment horizontal="center" shrinkToFit="1"/>
    </xf>
    <xf numFmtId="0" fontId="56" fillId="0" borderId="2" xfId="0" applyFont="1" applyBorder="1"/>
    <xf numFmtId="0" fontId="56" fillId="0" borderId="0" xfId="0" quotePrefix="1" applyFont="1"/>
    <xf numFmtId="0" fontId="56" fillId="0" borderId="28" xfId="0" applyFont="1" applyBorder="1" applyAlignment="1">
      <alignment horizontal="center" shrinkToFit="1"/>
    </xf>
    <xf numFmtId="0" fontId="56" fillId="0" borderId="38" xfId="0" applyFont="1" applyBorder="1"/>
    <xf numFmtId="0" fontId="56" fillId="0" borderId="39" xfId="0" quotePrefix="1" applyFont="1" applyBorder="1"/>
    <xf numFmtId="0" fontId="56" fillId="0" borderId="39" xfId="0" applyFont="1" applyBorder="1"/>
    <xf numFmtId="0" fontId="59" fillId="0" borderId="1" xfId="0" applyFont="1" applyBorder="1" applyAlignment="1">
      <alignment horizontal="center" shrinkToFit="1"/>
    </xf>
    <xf numFmtId="0" fontId="56" fillId="0" borderId="14" xfId="0" applyFont="1" applyBorder="1"/>
    <xf numFmtId="0" fontId="56" fillId="0" borderId="25" xfId="0" applyFont="1" applyBorder="1"/>
    <xf numFmtId="0" fontId="56" fillId="0" borderId="15" xfId="0" applyFont="1" applyBorder="1"/>
    <xf numFmtId="0" fontId="56" fillId="0" borderId="23" xfId="0" applyFont="1" applyBorder="1"/>
    <xf numFmtId="0" fontId="56" fillId="0" borderId="19" xfId="0" applyFont="1" applyBorder="1" applyAlignment="1">
      <alignment vertical="top" wrapText="1"/>
    </xf>
    <xf numFmtId="0" fontId="56" fillId="0" borderId="0" xfId="0" applyFont="1" applyAlignment="1">
      <alignment vertical="top" wrapText="1"/>
    </xf>
    <xf numFmtId="0" fontId="56" fillId="0" borderId="20" xfId="0" applyFont="1" applyBorder="1" applyAlignment="1">
      <alignment vertical="top" wrapText="1"/>
    </xf>
    <xf numFmtId="0" fontId="56" fillId="0" borderId="21" xfId="0" applyFont="1" applyBorder="1" applyAlignment="1">
      <alignment vertical="top" wrapText="1"/>
    </xf>
    <xf numFmtId="0" fontId="56" fillId="0" borderId="22" xfId="0" applyFont="1" applyBorder="1" applyAlignment="1">
      <alignment vertical="top" wrapText="1"/>
    </xf>
    <xf numFmtId="0" fontId="56" fillId="0" borderId="23" xfId="0" applyFont="1" applyBorder="1" applyAlignment="1">
      <alignment vertical="top" wrapText="1"/>
    </xf>
    <xf numFmtId="0" fontId="58" fillId="7" borderId="28" xfId="0" applyFont="1" applyFill="1" applyBorder="1" applyAlignment="1">
      <alignment horizontal="center"/>
    </xf>
    <xf numFmtId="168" fontId="56" fillId="7" borderId="1" xfId="0" applyNumberFormat="1" applyFont="1" applyFill="1" applyBorder="1" applyAlignment="1">
      <alignment horizontal="center" vertical="center"/>
    </xf>
    <xf numFmtId="164" fontId="56" fillId="7" borderId="1" xfId="0" applyNumberFormat="1" applyFont="1" applyFill="1" applyBorder="1" applyAlignment="1">
      <alignment horizontal="center" vertical="center"/>
    </xf>
    <xf numFmtId="2" fontId="58" fillId="7" borderId="28" xfId="0" applyNumberFormat="1" applyFont="1" applyFill="1" applyBorder="1" applyAlignment="1">
      <alignment horizontal="center"/>
    </xf>
    <xf numFmtId="0" fontId="56" fillId="0" borderId="1" xfId="0" quotePrefix="1" applyFont="1" applyBorder="1" applyAlignment="1">
      <alignment horizontal="center" vertical="center"/>
    </xf>
    <xf numFmtId="0" fontId="56" fillId="0" borderId="1" xfId="0" applyFont="1" applyBorder="1" applyAlignment="1">
      <alignment vertical="center" wrapText="1"/>
    </xf>
    <xf numFmtId="0" fontId="60" fillId="20" borderId="1" xfId="0" applyFont="1" applyFill="1" applyBorder="1" applyAlignment="1">
      <alignment horizontal="center" vertical="center"/>
    </xf>
    <xf numFmtId="0" fontId="44" fillId="20" borderId="28" xfId="0" applyFont="1" applyFill="1" applyBorder="1" applyAlignment="1">
      <alignment horizontal="center"/>
    </xf>
    <xf numFmtId="0" fontId="44" fillId="20" borderId="1" xfId="0" applyFont="1" applyFill="1" applyBorder="1" applyAlignment="1">
      <alignment horizontal="center"/>
    </xf>
    <xf numFmtId="0" fontId="44" fillId="21" borderId="16" xfId="0" applyFont="1" applyFill="1" applyBorder="1"/>
    <xf numFmtId="0" fontId="60" fillId="21" borderId="17" xfId="0" applyFont="1" applyFill="1" applyBorder="1"/>
    <xf numFmtId="0" fontId="60" fillId="21" borderId="18" xfId="0" applyFont="1" applyFill="1" applyBorder="1"/>
    <xf numFmtId="0" fontId="60" fillId="21" borderId="0" xfId="0" applyFont="1" applyFill="1"/>
    <xf numFmtId="0" fontId="40" fillId="2" borderId="8" xfId="2" applyFont="1" applyFill="1" applyBorder="1" applyAlignment="1">
      <alignment vertical="top" wrapText="1"/>
    </xf>
    <xf numFmtId="0" fontId="40" fillId="2" borderId="3" xfId="2" applyFont="1" applyFill="1" applyBorder="1" applyAlignment="1">
      <alignment vertical="top" wrapText="1"/>
    </xf>
    <xf numFmtId="0" fontId="40" fillId="2" borderId="7" xfId="2" applyFont="1" applyFill="1" applyBorder="1" applyAlignment="1">
      <alignment vertical="top" wrapText="1"/>
    </xf>
    <xf numFmtId="0" fontId="56" fillId="2" borderId="19" xfId="0" applyFont="1" applyFill="1" applyBorder="1"/>
    <xf numFmtId="0" fontId="56" fillId="2" borderId="20" xfId="0" applyFont="1" applyFill="1" applyBorder="1"/>
    <xf numFmtId="0" fontId="56" fillId="2" borderId="21" xfId="0" applyFont="1" applyFill="1" applyBorder="1"/>
    <xf numFmtId="168" fontId="56" fillId="2" borderId="0" xfId="0" applyNumberFormat="1" applyFont="1" applyFill="1"/>
    <xf numFmtId="0" fontId="56" fillId="2" borderId="0" xfId="0" applyFont="1" applyFill="1" applyAlignment="1">
      <alignment horizontal="center"/>
    </xf>
    <xf numFmtId="0" fontId="56" fillId="2" borderId="22" xfId="0" applyFont="1" applyFill="1" applyBorder="1"/>
    <xf numFmtId="0" fontId="44" fillId="21" borderId="1" xfId="0" applyFont="1" applyFill="1" applyBorder="1" applyAlignment="1">
      <alignment horizontal="center"/>
    </xf>
    <xf numFmtId="0" fontId="44" fillId="21" borderId="28" xfId="0" applyFont="1" applyFill="1" applyBorder="1" applyAlignment="1">
      <alignment horizontal="center"/>
    </xf>
    <xf numFmtId="168" fontId="56" fillId="21" borderId="1" xfId="0" applyNumberFormat="1" applyFont="1" applyFill="1" applyBorder="1" applyAlignment="1">
      <alignment horizontal="center" vertical="center"/>
    </xf>
    <xf numFmtId="164" fontId="56" fillId="21" borderId="1" xfId="0" applyNumberFormat="1" applyFont="1" applyFill="1" applyBorder="1" applyAlignment="1">
      <alignment horizontal="center" vertical="center"/>
    </xf>
    <xf numFmtId="0" fontId="61" fillId="21" borderId="16" xfId="0" applyFont="1" applyFill="1" applyBorder="1"/>
    <xf numFmtId="0" fontId="62" fillId="21" borderId="17" xfId="0" applyFont="1" applyFill="1" applyBorder="1"/>
    <xf numFmtId="0" fontId="58" fillId="2" borderId="33" xfId="0" applyFont="1" applyFill="1" applyBorder="1" applyAlignment="1">
      <alignment horizontal="left" vertical="top" wrapText="1"/>
    </xf>
    <xf numFmtId="0" fontId="56" fillId="2" borderId="33" xfId="0" applyFont="1" applyFill="1" applyBorder="1"/>
    <xf numFmtId="0" fontId="56" fillId="2" borderId="37" xfId="0" applyFont="1" applyFill="1" applyBorder="1"/>
    <xf numFmtId="0" fontId="58" fillId="2" borderId="30" xfId="0" applyFont="1" applyFill="1" applyBorder="1" applyAlignment="1">
      <alignment horizontal="left" vertical="top" wrapText="1"/>
    </xf>
    <xf numFmtId="0" fontId="58" fillId="2" borderId="31" xfId="0" applyFont="1" applyFill="1" applyBorder="1" applyAlignment="1">
      <alignment horizontal="center" vertical="top"/>
    </xf>
    <xf numFmtId="0" fontId="56" fillId="2" borderId="31" xfId="0" applyFont="1" applyFill="1" applyBorder="1"/>
    <xf numFmtId="0" fontId="40" fillId="0" borderId="1" xfId="10" applyFont="1" applyBorder="1" applyAlignment="1">
      <alignment horizontal="center" vertical="center" wrapText="1"/>
    </xf>
    <xf numFmtId="0" fontId="40" fillId="0" borderId="8" xfId="10" applyFont="1" applyBorder="1" applyAlignment="1">
      <alignment horizontal="center" vertical="center" wrapText="1"/>
    </xf>
    <xf numFmtId="0" fontId="40" fillId="0" borderId="8" xfId="2" applyFont="1" applyBorder="1" applyAlignment="1">
      <alignment horizontal="center" vertical="center" wrapText="1"/>
    </xf>
    <xf numFmtId="0" fontId="56" fillId="0" borderId="0" xfId="3" applyFont="1">
      <alignment vertical="center"/>
    </xf>
    <xf numFmtId="0" fontId="63" fillId="0" borderId="0" xfId="3" applyFont="1" applyAlignment="1">
      <alignment horizontal="center" vertical="center"/>
    </xf>
    <xf numFmtId="0" fontId="40" fillId="0" borderId="0" xfId="3" applyFont="1" applyAlignment="1">
      <alignment horizontal="center" vertical="center"/>
    </xf>
    <xf numFmtId="0" fontId="56" fillId="0" borderId="0" xfId="3" applyFont="1" applyAlignment="1">
      <alignment horizontal="center" vertical="center"/>
    </xf>
    <xf numFmtId="0" fontId="56" fillId="0" borderId="0" xfId="3" applyFont="1" applyAlignment="1">
      <alignment horizontal="right" vertical="center"/>
    </xf>
    <xf numFmtId="0" fontId="64" fillId="0" borderId="0" xfId="3" applyFont="1">
      <alignment vertical="center"/>
    </xf>
    <xf numFmtId="0" fontId="56" fillId="0" borderId="0" xfId="0" applyFont="1" applyAlignment="1">
      <alignment horizontal="center" vertical="center"/>
    </xf>
    <xf numFmtId="0" fontId="65" fillId="0" borderId="1" xfId="3" applyFont="1" applyBorder="1" applyAlignment="1">
      <alignment horizontal="center" vertical="center"/>
    </xf>
    <xf numFmtId="0" fontId="65" fillId="0" borderId="0" xfId="3" applyFont="1" applyAlignment="1">
      <alignment horizontal="center" vertical="center" shrinkToFit="1"/>
    </xf>
    <xf numFmtId="0" fontId="56" fillId="0" borderId="0" xfId="3" applyFont="1" applyAlignment="1">
      <alignment horizontal="center" vertical="center" wrapText="1"/>
    </xf>
    <xf numFmtId="0" fontId="40" fillId="0" borderId="0" xfId="3" applyFont="1" applyAlignment="1">
      <alignment vertical="center" wrapText="1"/>
    </xf>
    <xf numFmtId="0" fontId="56" fillId="0" borderId="0" xfId="3" applyFont="1" applyAlignment="1">
      <alignment vertical="center" wrapText="1"/>
    </xf>
    <xf numFmtId="0" fontId="58" fillId="0" borderId="11" xfId="3" applyFont="1" applyBorder="1" applyAlignment="1">
      <alignment horizontal="center" vertical="center"/>
    </xf>
    <xf numFmtId="0" fontId="66" fillId="0" borderId="8" xfId="0" applyFont="1" applyBorder="1" applyAlignment="1">
      <alignment horizontal="center" vertical="center" wrapText="1"/>
    </xf>
    <xf numFmtId="0" fontId="66" fillId="0" borderId="3" xfId="0" applyFont="1" applyBorder="1" applyAlignment="1">
      <alignment horizontal="center" vertical="center" wrapText="1"/>
    </xf>
    <xf numFmtId="0" fontId="40" fillId="12" borderId="1" xfId="3" applyFont="1" applyFill="1" applyBorder="1" applyAlignment="1">
      <alignment horizontal="center" vertical="center" wrapText="1"/>
    </xf>
    <xf numFmtId="0" fontId="56" fillId="0" borderId="1" xfId="3" applyFont="1" applyBorder="1" applyAlignment="1">
      <alignment horizontal="center" vertical="center" wrapText="1"/>
    </xf>
    <xf numFmtId="0" fontId="56" fillId="0" borderId="1" xfId="3" applyFont="1" applyBorder="1" applyAlignment="1">
      <alignment horizontal="left" vertical="center" wrapText="1"/>
    </xf>
    <xf numFmtId="0" fontId="40" fillId="0" borderId="1" xfId="3" applyFont="1" applyBorder="1" applyAlignment="1">
      <alignment horizontal="left" vertical="center"/>
    </xf>
    <xf numFmtId="0" fontId="56" fillId="0" borderId="1" xfId="0" applyFont="1" applyBorder="1"/>
    <xf numFmtId="0" fontId="40" fillId="0" borderId="1" xfId="3" applyFont="1" applyBorder="1" applyAlignment="1">
      <alignment horizontal="center" vertical="center"/>
    </xf>
    <xf numFmtId="0" fontId="40" fillId="0" borderId="1" xfId="3" applyFont="1" applyBorder="1" applyAlignment="1">
      <alignment horizontal="left" vertical="center" wrapText="1"/>
    </xf>
    <xf numFmtId="0" fontId="40" fillId="0" borderId="1" xfId="3" applyFont="1" applyBorder="1" applyAlignment="1">
      <alignment horizontal="center" vertical="center" wrapText="1"/>
    </xf>
    <xf numFmtId="0" fontId="56" fillId="4" borderId="0" xfId="3" applyFont="1" applyFill="1" applyAlignment="1">
      <alignment horizontal="center" vertical="center"/>
    </xf>
    <xf numFmtId="0" fontId="40" fillId="4" borderId="0" xfId="3" applyFont="1" applyFill="1" applyAlignment="1">
      <alignment horizontal="center" vertical="center"/>
    </xf>
    <xf numFmtId="0" fontId="56" fillId="0" borderId="0" xfId="0" applyFont="1" applyAlignment="1">
      <alignment wrapText="1"/>
    </xf>
    <xf numFmtId="0" fontId="56" fillId="5" borderId="0" xfId="3" applyFont="1" applyFill="1" applyAlignment="1">
      <alignment horizontal="center" vertical="center"/>
    </xf>
    <xf numFmtId="0" fontId="40" fillId="5" borderId="0" xfId="3" applyFont="1" applyFill="1" applyAlignment="1">
      <alignment horizontal="center" vertical="center"/>
    </xf>
    <xf numFmtId="0" fontId="56" fillId="0" borderId="0" xfId="3" applyFont="1" applyAlignment="1">
      <alignment horizontal="left" vertical="center"/>
    </xf>
    <xf numFmtId="0" fontId="10" fillId="2" borderId="1" xfId="3" applyFont="1" applyFill="1" applyBorder="1" applyAlignment="1">
      <alignment horizontal="center" vertical="center" wrapText="1"/>
    </xf>
    <xf numFmtId="0" fontId="12" fillId="2" borderId="1" xfId="3" applyFont="1" applyFill="1" applyBorder="1" applyAlignment="1">
      <alignment horizontal="left" vertical="center" wrapText="1"/>
    </xf>
    <xf numFmtId="0" fontId="56" fillId="2" borderId="1" xfId="3" applyFont="1" applyFill="1" applyBorder="1" applyAlignment="1">
      <alignment horizontal="left" vertical="center" wrapText="1"/>
    </xf>
    <xf numFmtId="0" fontId="56" fillId="0" borderId="0" xfId="0" applyFont="1" applyAlignment="1">
      <alignment horizontal="left"/>
    </xf>
    <xf numFmtId="0" fontId="42" fillId="0" borderId="0" xfId="2" applyFont="1" applyAlignment="1">
      <alignment horizontal="center" vertical="center"/>
    </xf>
    <xf numFmtId="0" fontId="41" fillId="0" borderId="1" xfId="0" applyFont="1" applyBorder="1" applyAlignment="1">
      <alignment horizontal="center" vertical="center"/>
    </xf>
    <xf numFmtId="0" fontId="41" fillId="0" borderId="1" xfId="2" applyFont="1" applyBorder="1" applyAlignment="1">
      <alignment horizontal="center" vertical="center" wrapText="1"/>
    </xf>
    <xf numFmtId="0" fontId="41" fillId="0" borderId="1" xfId="0" applyFont="1" applyBorder="1" applyAlignment="1">
      <alignment horizontal="center" vertical="center" wrapText="1"/>
    </xf>
    <xf numFmtId="0" fontId="44" fillId="13" borderId="1" xfId="10" applyFont="1" applyFill="1" applyBorder="1" applyAlignment="1">
      <alignment horizontal="center" vertical="center" wrapText="1"/>
    </xf>
    <xf numFmtId="0" fontId="44" fillId="13" borderId="8" xfId="10" applyFont="1" applyFill="1" applyBorder="1" applyAlignment="1">
      <alignment horizontal="center" vertical="center" wrapText="1"/>
    </xf>
    <xf numFmtId="0" fontId="44" fillId="13" borderId="13" xfId="10" applyFont="1" applyFill="1" applyBorder="1" applyAlignment="1">
      <alignment horizontal="center" vertical="center" wrapText="1"/>
    </xf>
    <xf numFmtId="0" fontId="44" fillId="13" borderId="4" xfId="10" applyFont="1" applyFill="1" applyBorder="1" applyAlignment="1">
      <alignment horizontal="center" vertical="center" wrapText="1"/>
    </xf>
    <xf numFmtId="0" fontId="44" fillId="13" borderId="2" xfId="10" applyFont="1" applyFill="1" applyBorder="1" applyAlignment="1">
      <alignment horizontal="center" vertical="center" wrapText="1"/>
    </xf>
    <xf numFmtId="0" fontId="44" fillId="13" borderId="5" xfId="10" applyFont="1" applyFill="1" applyBorder="1" applyAlignment="1">
      <alignment horizontal="center" vertical="center" wrapText="1"/>
    </xf>
    <xf numFmtId="0" fontId="44" fillId="13" borderId="3" xfId="10" applyFont="1" applyFill="1" applyBorder="1" applyAlignment="1">
      <alignment horizontal="center" vertical="center" wrapText="1"/>
    </xf>
    <xf numFmtId="0" fontId="40" fillId="2" borderId="3" xfId="2" applyFont="1" applyFill="1" applyBorder="1" applyAlignment="1">
      <alignment horizontal="center" vertical="top"/>
    </xf>
    <xf numFmtId="0" fontId="40" fillId="2" borderId="7" xfId="2" applyFont="1" applyFill="1" applyBorder="1" applyAlignment="1">
      <alignment horizontal="center" vertical="top"/>
    </xf>
    <xf numFmtId="0" fontId="40" fillId="2" borderId="3" xfId="2" applyFont="1" applyFill="1" applyBorder="1" applyAlignment="1">
      <alignment horizontal="center" vertical="center"/>
    </xf>
    <xf numFmtId="0" fontId="40" fillId="2" borderId="7" xfId="2" applyFont="1" applyFill="1" applyBorder="1" applyAlignment="1">
      <alignment horizontal="center" vertical="center"/>
    </xf>
    <xf numFmtId="0" fontId="40" fillId="2" borderId="3" xfId="10" applyFont="1" applyFill="1" applyBorder="1" applyAlignment="1">
      <alignment horizontal="center" vertical="top" wrapText="1"/>
    </xf>
    <xf numFmtId="0" fontId="40" fillId="2" borderId="7" xfId="10" applyFont="1" applyFill="1" applyBorder="1" applyAlignment="1">
      <alignment horizontal="center" vertical="top" wrapText="1"/>
    </xf>
    <xf numFmtId="0" fontId="40" fillId="2" borderId="8" xfId="2" applyFont="1" applyFill="1" applyBorder="1" applyAlignment="1">
      <alignment horizontal="center" vertical="top" wrapText="1"/>
    </xf>
    <xf numFmtId="0" fontId="40" fillId="2" borderId="3" xfId="2" applyFont="1" applyFill="1" applyBorder="1" applyAlignment="1">
      <alignment horizontal="center" vertical="top" wrapText="1"/>
    </xf>
    <xf numFmtId="0" fontId="40" fillId="2" borderId="7" xfId="2" applyFont="1" applyFill="1" applyBorder="1" applyAlignment="1">
      <alignment horizontal="center" vertical="top" wrapText="1"/>
    </xf>
    <xf numFmtId="0" fontId="30" fillId="0" borderId="0" xfId="0" applyFont="1" applyAlignment="1">
      <alignment horizontal="left" vertical="top" wrapText="1"/>
    </xf>
    <xf numFmtId="0" fontId="30" fillId="0" borderId="4" xfId="0" applyFont="1" applyBorder="1" applyAlignment="1">
      <alignment horizontal="center"/>
    </xf>
    <xf numFmtId="0" fontId="30" fillId="0" borderId="26" xfId="0" applyFont="1" applyBorder="1" applyAlignment="1">
      <alignment horizontal="center"/>
    </xf>
    <xf numFmtId="0" fontId="30" fillId="0" borderId="27" xfId="0" applyFont="1" applyBorder="1" applyAlignment="1">
      <alignment horizontal="center"/>
    </xf>
    <xf numFmtId="0" fontId="30" fillId="0" borderId="2" xfId="0" applyFont="1" applyBorder="1" applyAlignment="1">
      <alignment horizontal="center"/>
    </xf>
    <xf numFmtId="0" fontId="30" fillId="0" borderId="0" xfId="0" applyFont="1" applyAlignment="1">
      <alignment horizontal="center"/>
    </xf>
    <xf numFmtId="0" fontId="30" fillId="0" borderId="24" xfId="0" applyFont="1" applyBorder="1" applyAlignment="1">
      <alignment horizontal="center"/>
    </xf>
    <xf numFmtId="0" fontId="30" fillId="0" borderId="14" xfId="0" applyFont="1" applyBorder="1" applyAlignment="1">
      <alignment horizontal="center"/>
    </xf>
    <xf numFmtId="0" fontId="30" fillId="0" borderId="25" xfId="0" applyFont="1" applyBorder="1" applyAlignment="1">
      <alignment horizontal="center"/>
    </xf>
    <xf numFmtId="0" fontId="30" fillId="0" borderId="15" xfId="0" applyFont="1" applyBorder="1" applyAlignment="1">
      <alignment horizontal="center"/>
    </xf>
    <xf numFmtId="0" fontId="30" fillId="0" borderId="39" xfId="0" applyFont="1" applyBorder="1" applyAlignment="1">
      <alignment horizontal="center"/>
    </xf>
    <xf numFmtId="0" fontId="30" fillId="0" borderId="40" xfId="0" applyFont="1" applyBorder="1" applyAlignment="1">
      <alignment horizontal="center"/>
    </xf>
    <xf numFmtId="0" fontId="33" fillId="0" borderId="28" xfId="0" applyFont="1" applyBorder="1" applyAlignment="1">
      <alignment horizontal="left" vertical="top" wrapText="1"/>
    </xf>
    <xf numFmtId="0" fontId="33" fillId="0" borderId="34" xfId="0" applyFont="1" applyBorder="1" applyAlignment="1">
      <alignment horizontal="left" vertical="top" wrapText="1"/>
    </xf>
    <xf numFmtId="0" fontId="36" fillId="0" borderId="0" xfId="0" applyFont="1" applyAlignment="1">
      <alignment horizontal="right"/>
    </xf>
    <xf numFmtId="0" fontId="33" fillId="0" borderId="35" xfId="0" applyFont="1" applyBorder="1" applyAlignment="1">
      <alignment horizontal="right"/>
    </xf>
    <xf numFmtId="0" fontId="30" fillId="0" borderId="36" xfId="0" applyFont="1" applyBorder="1" applyAlignment="1">
      <alignment horizontal="center" vertical="center" textRotation="180"/>
    </xf>
    <xf numFmtId="0" fontId="30" fillId="0" borderId="33" xfId="0" applyFont="1" applyBorder="1" applyAlignment="1">
      <alignment horizontal="center" vertical="center" textRotation="180"/>
    </xf>
    <xf numFmtId="0" fontId="30" fillId="0" borderId="37" xfId="0" applyFont="1" applyBorder="1" applyAlignment="1">
      <alignment horizontal="center" vertical="center" textRotation="180"/>
    </xf>
    <xf numFmtId="167" fontId="30" fillId="0" borderId="28" xfId="0" applyNumberFormat="1" applyFont="1" applyBorder="1" applyAlignment="1">
      <alignment horizontal="center"/>
    </xf>
    <xf numFmtId="0" fontId="33" fillId="9" borderId="9" xfId="0" applyFont="1" applyFill="1" applyBorder="1" applyAlignment="1">
      <alignment horizontal="center"/>
    </xf>
    <xf numFmtId="0" fontId="33" fillId="9" borderId="10" xfId="0" applyFont="1" applyFill="1" applyBorder="1" applyAlignment="1">
      <alignment horizontal="center"/>
    </xf>
    <xf numFmtId="0" fontId="33" fillId="9" borderId="11" xfId="0" applyFont="1" applyFill="1" applyBorder="1" applyAlignment="1">
      <alignment horizontal="center"/>
    </xf>
    <xf numFmtId="0" fontId="33" fillId="9" borderId="4" xfId="0" applyFont="1" applyFill="1" applyBorder="1" applyAlignment="1">
      <alignment horizontal="center" vertical="center"/>
    </xf>
    <xf numFmtId="0" fontId="33" fillId="9" borderId="26" xfId="0" applyFont="1" applyFill="1" applyBorder="1" applyAlignment="1">
      <alignment horizontal="center" vertical="center"/>
    </xf>
    <xf numFmtId="0" fontId="33" fillId="9" borderId="27" xfId="0" applyFont="1" applyFill="1" applyBorder="1" applyAlignment="1">
      <alignment horizontal="center" vertical="center"/>
    </xf>
    <xf numFmtId="0" fontId="33" fillId="9" borderId="2" xfId="0" applyFont="1" applyFill="1" applyBorder="1" applyAlignment="1">
      <alignment horizontal="center" vertical="center"/>
    </xf>
    <xf numFmtId="0" fontId="33" fillId="9" borderId="0" xfId="0" applyFont="1" applyFill="1" applyAlignment="1">
      <alignment horizontal="center" vertical="center"/>
    </xf>
    <xf numFmtId="0" fontId="33" fillId="9" borderId="24" xfId="0" applyFont="1" applyFill="1" applyBorder="1" applyAlignment="1">
      <alignment horizontal="center" vertical="center"/>
    </xf>
    <xf numFmtId="0" fontId="33" fillId="9" borderId="14" xfId="0" applyFont="1" applyFill="1" applyBorder="1" applyAlignment="1">
      <alignment horizontal="center" vertical="center"/>
    </xf>
    <xf numFmtId="0" fontId="33" fillId="9" borderId="25" xfId="0" applyFont="1" applyFill="1" applyBorder="1" applyAlignment="1">
      <alignment horizontal="center" vertical="center"/>
    </xf>
    <xf numFmtId="0" fontId="33" fillId="9" borderId="15" xfId="0" applyFont="1" applyFill="1" applyBorder="1" applyAlignment="1">
      <alignment horizontal="center" vertical="center"/>
    </xf>
    <xf numFmtId="0" fontId="35" fillId="9" borderId="9" xfId="0" applyFont="1" applyFill="1" applyBorder="1" applyAlignment="1">
      <alignment horizontal="center"/>
    </xf>
    <xf numFmtId="0" fontId="35" fillId="9" borderId="10" xfId="0" applyFont="1" applyFill="1" applyBorder="1" applyAlignment="1">
      <alignment horizontal="center"/>
    </xf>
    <xf numFmtId="0" fontId="35" fillId="9" borderId="11" xfId="0" applyFont="1" applyFill="1" applyBorder="1" applyAlignment="1">
      <alignment horizontal="center"/>
    </xf>
    <xf numFmtId="0" fontId="30" fillId="0" borderId="4" xfId="0" applyFont="1" applyBorder="1"/>
    <xf numFmtId="0" fontId="30" fillId="0" borderId="26" xfId="0" applyFont="1" applyBorder="1"/>
    <xf numFmtId="0" fontId="30" fillId="0" borderId="27" xfId="0" applyFont="1" applyBorder="1"/>
    <xf numFmtId="0" fontId="30" fillId="0" borderId="2" xfId="0" applyFont="1" applyBorder="1"/>
    <xf numFmtId="0" fontId="30" fillId="0" borderId="0" xfId="0" applyFont="1"/>
    <xf numFmtId="0" fontId="30" fillId="0" borderId="24" xfId="0" applyFont="1" applyBorder="1"/>
    <xf numFmtId="0" fontId="30" fillId="0" borderId="14" xfId="0" applyFont="1" applyBorder="1"/>
    <xf numFmtId="0" fontId="30" fillId="0" borderId="25" xfId="0" applyFont="1" applyBorder="1"/>
    <xf numFmtId="0" fontId="30" fillId="0" borderId="15" xfId="0" applyFont="1" applyBorder="1"/>
    <xf numFmtId="0" fontId="30" fillId="0" borderId="9" xfId="0" applyFont="1" applyBorder="1" applyAlignment="1">
      <alignment horizontal="center"/>
    </xf>
    <xf numFmtId="0" fontId="30" fillId="0" borderId="10" xfId="0" applyFont="1" applyBorder="1" applyAlignment="1">
      <alignment horizontal="center"/>
    </xf>
    <xf numFmtId="0" fontId="30" fillId="0" borderId="11" xfId="0" applyFont="1" applyBorder="1" applyAlignment="1">
      <alignment horizontal="center"/>
    </xf>
    <xf numFmtId="0" fontId="30" fillId="0" borderId="1" xfId="0" applyFont="1" applyBorder="1" applyAlignment="1">
      <alignment horizontal="center" shrinkToFit="1"/>
    </xf>
    <xf numFmtId="0" fontId="30" fillId="0" borderId="1" xfId="0" applyFont="1" applyBorder="1" applyAlignment="1">
      <alignment horizontal="center"/>
    </xf>
    <xf numFmtId="0" fontId="30" fillId="0" borderId="1" xfId="0" applyFont="1" applyBorder="1" applyAlignment="1">
      <alignment horizontal="center" vertical="center"/>
    </xf>
    <xf numFmtId="165" fontId="30" fillId="0" borderId="1" xfId="0" applyNumberFormat="1" applyFont="1" applyBorder="1" applyAlignment="1">
      <alignment horizontal="center" vertical="center"/>
    </xf>
    <xf numFmtId="0" fontId="33" fillId="9" borderId="4" xfId="0" applyFont="1" applyFill="1" applyBorder="1" applyAlignment="1">
      <alignment vertical="center"/>
    </xf>
    <xf numFmtId="0" fontId="33" fillId="9" borderId="26" xfId="0" applyFont="1" applyFill="1" applyBorder="1" applyAlignment="1">
      <alignment vertical="center"/>
    </xf>
    <xf numFmtId="0" fontId="33" fillId="9" borderId="27" xfId="0" applyFont="1" applyFill="1" applyBorder="1" applyAlignment="1">
      <alignment vertical="center"/>
    </xf>
    <xf numFmtId="0" fontId="33" fillId="9" borderId="14" xfId="0" applyFont="1" applyFill="1" applyBorder="1" applyAlignment="1">
      <alignment vertical="center"/>
    </xf>
    <xf numFmtId="0" fontId="33" fillId="9" borderId="25" xfId="0" applyFont="1" applyFill="1" applyBorder="1" applyAlignment="1">
      <alignment vertical="center"/>
    </xf>
    <xf numFmtId="0" fontId="33" fillId="9" borderId="15" xfId="0" applyFont="1" applyFill="1" applyBorder="1" applyAlignment="1">
      <alignment vertical="center"/>
    </xf>
    <xf numFmtId="0" fontId="33" fillId="9" borderId="8" xfId="0" applyFont="1" applyFill="1" applyBorder="1" applyAlignment="1">
      <alignment horizontal="center"/>
    </xf>
    <xf numFmtId="0" fontId="33" fillId="0" borderId="29" xfId="0" applyFont="1" applyBorder="1" applyAlignment="1">
      <alignment horizontal="left" vertical="top" wrapText="1"/>
    </xf>
    <xf numFmtId="0" fontId="33" fillId="0" borderId="30" xfId="0" applyFont="1" applyBorder="1" applyAlignment="1">
      <alignment horizontal="left" vertical="top" wrapText="1"/>
    </xf>
    <xf numFmtId="0" fontId="33" fillId="0" borderId="28" xfId="0" applyFont="1" applyBorder="1" applyAlignment="1">
      <alignment horizontal="center" vertical="center" textRotation="180" wrapText="1"/>
    </xf>
    <xf numFmtId="0" fontId="10" fillId="0" borderId="1" xfId="3" applyFont="1" applyBorder="1" applyAlignment="1">
      <alignment horizontal="center" vertical="center" wrapText="1"/>
    </xf>
    <xf numFmtId="0" fontId="10" fillId="0" borderId="1" xfId="3" applyFont="1" applyBorder="1" applyAlignment="1">
      <alignment horizontal="center" vertical="center"/>
    </xf>
    <xf numFmtId="0" fontId="10" fillId="0" borderId="8"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7" xfId="3" applyFont="1" applyBorder="1" applyAlignment="1">
      <alignment horizontal="center" vertical="center" wrapText="1"/>
    </xf>
    <xf numFmtId="0" fontId="10" fillId="0" borderId="1" xfId="3" applyFont="1" applyBorder="1" applyAlignment="1">
      <alignment horizontal="left" vertical="center" wrapText="1"/>
    </xf>
    <xf numFmtId="0" fontId="10" fillId="0" borderId="1" xfId="3" applyFont="1" applyBorder="1" applyAlignment="1">
      <alignment horizontal="left" vertical="center"/>
    </xf>
    <xf numFmtId="14" fontId="10" fillId="0" borderId="0" xfId="3" applyNumberFormat="1" applyFont="1" applyAlignment="1">
      <alignment horizontal="left" vertical="center"/>
    </xf>
    <xf numFmtId="0" fontId="10" fillId="0" borderId="0" xfId="3" applyFont="1" applyAlignment="1">
      <alignment horizontal="left" vertical="center"/>
    </xf>
    <xf numFmtId="0" fontId="17" fillId="0" borderId="0" xfId="0" applyFont="1" applyAlignment="1">
      <alignment horizontal="left" wrapText="1"/>
    </xf>
    <xf numFmtId="0" fontId="18" fillId="0" borderId="0" xfId="0" applyFont="1" applyAlignment="1">
      <alignment horizontal="left"/>
    </xf>
    <xf numFmtId="0" fontId="16" fillId="0" borderId="9" xfId="3" applyFont="1" applyBorder="1" applyAlignment="1">
      <alignment horizontal="center" vertical="center" shrinkToFit="1"/>
    </xf>
    <xf numFmtId="0" fontId="16" fillId="0" borderId="11" xfId="3" applyFont="1" applyBorder="1" applyAlignment="1">
      <alignment horizontal="center" vertical="center" shrinkToFit="1"/>
    </xf>
    <xf numFmtId="0" fontId="10" fillId="0" borderId="9" xfId="3" applyFont="1" applyBorder="1" applyAlignment="1">
      <alignment horizontal="center" vertical="center"/>
    </xf>
    <xf numFmtId="0" fontId="10" fillId="0" borderId="11" xfId="3" applyFont="1" applyBorder="1" applyAlignment="1">
      <alignment horizontal="center" vertical="center"/>
    </xf>
    <xf numFmtId="0" fontId="57" fillId="0" borderId="25" xfId="0" applyFont="1" applyBorder="1" applyAlignment="1">
      <alignment horizontal="left" vertical="center" wrapText="1"/>
    </xf>
    <xf numFmtId="0" fontId="68" fillId="0" borderId="0" xfId="0" applyFont="1" applyAlignment="1">
      <alignment horizontal="left" vertical="top" wrapText="1"/>
    </xf>
    <xf numFmtId="0" fontId="56" fillId="0" borderId="0" xfId="0" applyFont="1" applyAlignment="1">
      <alignment horizontal="left" vertical="top" wrapText="1"/>
    </xf>
    <xf numFmtId="0" fontId="56" fillId="0" borderId="4" xfId="0" applyFont="1" applyBorder="1"/>
    <xf numFmtId="0" fontId="56" fillId="0" borderId="26" xfId="0" applyFont="1" applyBorder="1"/>
    <xf numFmtId="0" fontId="56" fillId="0" borderId="27" xfId="0" applyFont="1" applyBorder="1"/>
    <xf numFmtId="0" fontId="56" fillId="0" borderId="2" xfId="0" applyFont="1" applyBorder="1"/>
    <xf numFmtId="0" fontId="56" fillId="0" borderId="0" xfId="0" applyFont="1"/>
    <xf numFmtId="0" fontId="56" fillId="0" borderId="24" xfId="0" applyFont="1" applyBorder="1"/>
    <xf numFmtId="0" fontId="56" fillId="0" borderId="14" xfId="0" applyFont="1" applyBorder="1"/>
    <xf numFmtId="0" fontId="56" fillId="0" borderId="25" xfId="0" applyFont="1" applyBorder="1"/>
    <xf numFmtId="0" fontId="56" fillId="0" borderId="15" xfId="0" applyFont="1" applyBorder="1"/>
    <xf numFmtId="0" fontId="56" fillId="0" borderId="4"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2" xfId="0" applyFont="1" applyBorder="1" applyAlignment="1">
      <alignment horizontal="center"/>
    </xf>
    <xf numFmtId="0" fontId="56" fillId="0" borderId="0" xfId="0" applyFont="1" applyAlignment="1">
      <alignment horizontal="center"/>
    </xf>
    <xf numFmtId="0" fontId="56" fillId="0" borderId="24" xfId="0" applyFont="1" applyBorder="1" applyAlignment="1">
      <alignment horizontal="center"/>
    </xf>
    <xf numFmtId="0" fontId="56" fillId="0" borderId="14" xfId="0" applyFont="1" applyBorder="1" applyAlignment="1">
      <alignment horizontal="center"/>
    </xf>
    <xf numFmtId="0" fontId="56" fillId="0" borderId="25" xfId="0" applyFont="1" applyBorder="1" applyAlignment="1">
      <alignment horizontal="center"/>
    </xf>
    <xf numFmtId="0" fontId="56" fillId="0" borderId="15" xfId="0" applyFont="1" applyBorder="1" applyAlignment="1">
      <alignment horizontal="center"/>
    </xf>
    <xf numFmtId="0" fontId="56" fillId="0" borderId="9" xfId="0" applyFont="1" applyBorder="1" applyAlignment="1">
      <alignment horizontal="center"/>
    </xf>
    <xf numFmtId="0" fontId="56" fillId="0" borderId="10" xfId="0" applyFont="1" applyBorder="1" applyAlignment="1">
      <alignment horizontal="center"/>
    </xf>
    <xf numFmtId="0" fontId="56" fillId="0" borderId="11" xfId="0" applyFont="1" applyBorder="1" applyAlignment="1">
      <alignment horizontal="center"/>
    </xf>
    <xf numFmtId="0" fontId="56" fillId="0" borderId="9" xfId="0" applyFont="1" applyBorder="1" applyAlignment="1">
      <alignment horizontal="center" shrinkToFit="1"/>
    </xf>
    <xf numFmtId="0" fontId="56" fillId="0" borderId="10" xfId="0" applyFont="1" applyBorder="1" applyAlignment="1">
      <alignment horizontal="center" shrinkToFit="1"/>
    </xf>
    <xf numFmtId="0" fontId="56" fillId="0" borderId="11" xfId="0" applyFont="1" applyBorder="1" applyAlignment="1">
      <alignment horizontal="center" shrinkToFit="1"/>
    </xf>
    <xf numFmtId="167" fontId="56" fillId="0" borderId="28" xfId="0" applyNumberFormat="1" applyFont="1" applyBorder="1" applyAlignment="1">
      <alignment horizontal="center"/>
    </xf>
    <xf numFmtId="0" fontId="44" fillId="20" borderId="4" xfId="0" applyFont="1" applyFill="1" applyBorder="1" applyAlignment="1">
      <alignment horizontal="center" vertical="center"/>
    </xf>
    <xf numFmtId="0" fontId="44" fillId="20" borderId="26" xfId="0" applyFont="1" applyFill="1" applyBorder="1" applyAlignment="1">
      <alignment horizontal="center" vertical="center"/>
    </xf>
    <xf numFmtId="0" fontId="44" fillId="20" borderId="27" xfId="0" applyFont="1" applyFill="1" applyBorder="1" applyAlignment="1">
      <alignment horizontal="center" vertical="center"/>
    </xf>
    <xf numFmtId="0" fontId="44" fillId="20" borderId="2" xfId="0" applyFont="1" applyFill="1" applyBorder="1" applyAlignment="1">
      <alignment horizontal="center" vertical="center"/>
    </xf>
    <xf numFmtId="0" fontId="44" fillId="20" borderId="0" xfId="0" applyFont="1" applyFill="1" applyAlignment="1">
      <alignment horizontal="center" vertical="center"/>
    </xf>
    <xf numFmtId="0" fontId="44" fillId="20" borderId="24" xfId="0" applyFont="1" applyFill="1" applyBorder="1" applyAlignment="1">
      <alignment horizontal="center" vertical="center"/>
    </xf>
    <xf numFmtId="0" fontId="44" fillId="20" borderId="14" xfId="0" applyFont="1" applyFill="1" applyBorder="1" applyAlignment="1">
      <alignment horizontal="center" vertical="center"/>
    </xf>
    <xf numFmtId="0" fontId="44" fillId="20" borderId="25" xfId="0" applyFont="1" applyFill="1" applyBorder="1" applyAlignment="1">
      <alignment horizontal="center" vertical="center"/>
    </xf>
    <xf numFmtId="0" fontId="44" fillId="20" borderId="15" xfId="0" applyFont="1" applyFill="1" applyBorder="1" applyAlignment="1">
      <alignment horizontal="center" vertical="center"/>
    </xf>
    <xf numFmtId="0" fontId="44" fillId="20" borderId="9" xfId="0" applyFont="1" applyFill="1" applyBorder="1" applyAlignment="1">
      <alignment horizontal="center"/>
    </xf>
    <xf numFmtId="0" fontId="44" fillId="20" borderId="10" xfId="0" applyFont="1" applyFill="1" applyBorder="1" applyAlignment="1">
      <alignment horizontal="center"/>
    </xf>
    <xf numFmtId="0" fontId="44" fillId="21" borderId="9" xfId="0" applyFont="1" applyFill="1" applyBorder="1" applyAlignment="1">
      <alignment horizontal="center"/>
    </xf>
    <xf numFmtId="0" fontId="44" fillId="21" borderId="10" xfId="0" applyFont="1" applyFill="1" applyBorder="1" applyAlignment="1">
      <alignment horizontal="center"/>
    </xf>
    <xf numFmtId="0" fontId="44" fillId="21" borderId="11" xfId="0" applyFont="1" applyFill="1" applyBorder="1" applyAlignment="1">
      <alignment horizontal="center"/>
    </xf>
    <xf numFmtId="0" fontId="44" fillId="20" borderId="11" xfId="0" applyFont="1" applyFill="1" applyBorder="1" applyAlignment="1">
      <alignment horizontal="center"/>
    </xf>
    <xf numFmtId="0" fontId="58" fillId="0" borderId="28" xfId="0" applyFont="1" applyBorder="1" applyAlignment="1">
      <alignment horizontal="left" vertical="top" wrapText="1"/>
    </xf>
    <xf numFmtId="0" fontId="58" fillId="0" borderId="34" xfId="0" applyFont="1" applyBorder="1" applyAlignment="1">
      <alignment horizontal="left" vertical="top" wrapText="1"/>
    </xf>
    <xf numFmtId="0" fontId="58" fillId="0" borderId="0" xfId="0" applyFont="1" applyAlignment="1">
      <alignment horizontal="right"/>
    </xf>
    <xf numFmtId="0" fontId="58" fillId="0" borderId="35" xfId="0" applyFont="1" applyBorder="1" applyAlignment="1">
      <alignment horizontal="right"/>
    </xf>
    <xf numFmtId="0" fontId="56" fillId="0" borderId="36" xfId="0" applyFont="1" applyBorder="1" applyAlignment="1">
      <alignment horizontal="center" vertical="center" textRotation="180"/>
    </xf>
    <xf numFmtId="0" fontId="56" fillId="0" borderId="33" xfId="0" applyFont="1" applyBorder="1" applyAlignment="1">
      <alignment horizontal="center" vertical="center" textRotation="180"/>
    </xf>
    <xf numFmtId="0" fontId="56" fillId="0" borderId="37" xfId="0" applyFont="1" applyBorder="1" applyAlignment="1">
      <alignment horizontal="center" vertical="center" textRotation="180"/>
    </xf>
    <xf numFmtId="167" fontId="56" fillId="7" borderId="28" xfId="0" applyNumberFormat="1" applyFont="1" applyFill="1" applyBorder="1" applyAlignment="1">
      <alignment horizontal="center"/>
    </xf>
    <xf numFmtId="0" fontId="58" fillId="0" borderId="28" xfId="0" applyFont="1" applyBorder="1" applyAlignment="1">
      <alignment horizontal="center" vertical="center" textRotation="180" wrapText="1"/>
    </xf>
    <xf numFmtId="0" fontId="56" fillId="0" borderId="39" xfId="0" applyFont="1" applyBorder="1" applyAlignment="1">
      <alignment horizontal="center"/>
    </xf>
    <xf numFmtId="0" fontId="56" fillId="0" borderId="40" xfId="0" applyFont="1" applyBorder="1" applyAlignment="1">
      <alignment horizontal="center"/>
    </xf>
    <xf numFmtId="0" fontId="56" fillId="4" borderId="1" xfId="0" applyFont="1" applyFill="1" applyBorder="1" applyAlignment="1">
      <alignment horizontal="center" vertical="center"/>
    </xf>
    <xf numFmtId="0" fontId="56" fillId="0" borderId="1" xfId="0" applyFont="1" applyBorder="1" applyAlignment="1">
      <alignment horizontal="center" vertical="center"/>
    </xf>
    <xf numFmtId="0" fontId="30" fillId="4" borderId="1" xfId="0" applyFont="1" applyFill="1" applyBorder="1" applyAlignment="1">
      <alignment horizontal="center" vertical="center"/>
    </xf>
    <xf numFmtId="0" fontId="44" fillId="20" borderId="4" xfId="0" applyFont="1" applyFill="1" applyBorder="1" applyAlignment="1">
      <alignment vertical="center"/>
    </xf>
    <xf numFmtId="0" fontId="44" fillId="20" borderId="26" xfId="0" applyFont="1" applyFill="1" applyBorder="1" applyAlignment="1">
      <alignment vertical="center"/>
    </xf>
    <xf numFmtId="0" fontId="44" fillId="20" borderId="27" xfId="0" applyFont="1" applyFill="1" applyBorder="1" applyAlignment="1">
      <alignment vertical="center"/>
    </xf>
    <xf numFmtId="0" fontId="44" fillId="20" borderId="14" xfId="0" applyFont="1" applyFill="1" applyBorder="1" applyAlignment="1">
      <alignment vertical="center"/>
    </xf>
    <xf numFmtId="0" fontId="44" fillId="20" borderId="25" xfId="0" applyFont="1" applyFill="1" applyBorder="1" applyAlignment="1">
      <alignment vertical="center"/>
    </xf>
    <xf numFmtId="0" fontId="44" fillId="20" borderId="15" xfId="0" applyFont="1" applyFill="1" applyBorder="1" applyAlignment="1">
      <alignment vertical="center"/>
    </xf>
    <xf numFmtId="0" fontId="44" fillId="20" borderId="8" xfId="0" applyFont="1" applyFill="1" applyBorder="1" applyAlignment="1">
      <alignment horizontal="center"/>
    </xf>
    <xf numFmtId="0" fontId="58" fillId="2" borderId="29" xfId="0" applyFont="1" applyFill="1" applyBorder="1" applyAlignment="1">
      <alignment horizontal="left" vertical="top" wrapText="1"/>
    </xf>
    <xf numFmtId="0" fontId="58" fillId="2" borderId="30" xfId="0" applyFont="1" applyFill="1" applyBorder="1" applyAlignment="1">
      <alignment horizontal="left" vertical="top" wrapText="1"/>
    </xf>
    <xf numFmtId="15" fontId="30" fillId="0" borderId="1" xfId="0" applyNumberFormat="1" applyFont="1" applyBorder="1" applyAlignment="1">
      <alignment horizontal="center"/>
    </xf>
    <xf numFmtId="0" fontId="56" fillId="0" borderId="1" xfId="0" applyFont="1" applyBorder="1" applyAlignment="1">
      <alignment horizontal="center"/>
    </xf>
    <xf numFmtId="165" fontId="56" fillId="0" borderId="1" xfId="0" applyNumberFormat="1" applyFont="1" applyBorder="1" applyAlignment="1">
      <alignment horizontal="center" vertical="center"/>
    </xf>
    <xf numFmtId="0" fontId="39" fillId="0" borderId="0" xfId="2" applyFont="1" applyAlignment="1">
      <alignment horizontal="center" vertical="center"/>
    </xf>
    <xf numFmtId="0" fontId="10" fillId="0" borderId="4" xfId="2" applyFont="1" applyBorder="1" applyAlignment="1">
      <alignment horizontal="center" vertical="center" wrapText="1"/>
    </xf>
    <xf numFmtId="0" fontId="10" fillId="0" borderId="2" xfId="2" applyFont="1" applyBorder="1" applyAlignment="1">
      <alignment horizontal="center" vertical="center" wrapText="1"/>
    </xf>
    <xf numFmtId="0" fontId="10" fillId="0" borderId="5" xfId="2" applyFont="1" applyBorder="1" applyAlignment="1">
      <alignment horizontal="center" vertical="center" wrapText="1"/>
    </xf>
    <xf numFmtId="0" fontId="10" fillId="0" borderId="8" xfId="2" applyFont="1" applyBorder="1" applyAlignment="1">
      <alignment horizontal="center" vertical="center"/>
    </xf>
    <xf numFmtId="0" fontId="10" fillId="0" borderId="3" xfId="2" applyFont="1" applyBorder="1" applyAlignment="1">
      <alignment horizontal="center" vertical="center"/>
    </xf>
    <xf numFmtId="0" fontId="10" fillId="0" borderId="13" xfId="2" applyFont="1" applyBorder="1" applyAlignment="1">
      <alignment horizontal="center" vertical="center"/>
    </xf>
    <xf numFmtId="0" fontId="10" fillId="0" borderId="8" xfId="2" applyFont="1" applyBorder="1" applyAlignment="1">
      <alignment horizontal="center" vertical="center" wrapText="1"/>
    </xf>
    <xf numFmtId="0" fontId="10" fillId="0" borderId="3"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1" xfId="2" applyFont="1" applyBorder="1" applyAlignment="1">
      <alignment horizontal="center" vertical="center" wrapText="1"/>
    </xf>
    <xf numFmtId="0" fontId="12" fillId="0" borderId="8" xfId="2" applyFont="1" applyBorder="1" applyAlignment="1">
      <alignment horizontal="center" vertical="center" wrapText="1"/>
    </xf>
    <xf numFmtId="0" fontId="12" fillId="0" borderId="13" xfId="2" applyFont="1" applyBorder="1" applyAlignment="1">
      <alignment horizontal="center" vertical="center" wrapText="1"/>
    </xf>
    <xf numFmtId="0" fontId="10" fillId="0" borderId="1" xfId="0" applyFont="1" applyBorder="1" applyAlignment="1">
      <alignment horizontal="center" vertical="center" wrapText="1"/>
    </xf>
    <xf numFmtId="0" fontId="0" fillId="0" borderId="1" xfId="0" applyBorder="1" applyAlignment="1">
      <alignment horizontal="center" vertical="center"/>
    </xf>
    <xf numFmtId="0" fontId="10" fillId="0" borderId="12" xfId="2" applyFont="1" applyBorder="1" applyAlignment="1">
      <alignment horizontal="center" vertical="center" wrapText="1"/>
    </xf>
    <xf numFmtId="0" fontId="10" fillId="0" borderId="7" xfId="2" applyFont="1" applyBorder="1" applyAlignment="1">
      <alignment horizontal="center" vertical="center" wrapText="1"/>
    </xf>
    <xf numFmtId="0" fontId="10" fillId="0" borderId="1" xfId="2" applyFont="1" applyBorder="1" applyAlignment="1">
      <alignment horizontal="left" vertical="center" wrapText="1"/>
    </xf>
    <xf numFmtId="0" fontId="10" fillId="3" borderId="1" xfId="2" applyFont="1" applyFill="1" applyBorder="1" applyAlignment="1">
      <alignment horizontal="center" vertical="center" wrapText="1"/>
    </xf>
    <xf numFmtId="0" fontId="23" fillId="3" borderId="1" xfId="2" applyFont="1" applyFill="1" applyBorder="1" applyAlignment="1">
      <alignment horizontal="center" vertical="center" wrapText="1"/>
    </xf>
    <xf numFmtId="0" fontId="10" fillId="3" borderId="1" xfId="2" applyFont="1" applyFill="1" applyBorder="1" applyAlignment="1">
      <alignment horizontal="center" vertical="center"/>
    </xf>
    <xf numFmtId="0" fontId="21" fillId="3" borderId="1" xfId="2" applyFont="1" applyFill="1" applyBorder="1" applyAlignment="1">
      <alignment horizontal="center" vertical="center" wrapText="1"/>
    </xf>
    <xf numFmtId="0" fontId="12" fillId="0" borderId="1" xfId="2" applyFont="1" applyBorder="1" applyAlignment="1">
      <alignment horizontal="center" vertical="center" wrapText="1"/>
    </xf>
    <xf numFmtId="0" fontId="12" fillId="3" borderId="1" xfId="2" applyFont="1" applyFill="1" applyBorder="1" applyAlignment="1">
      <alignment horizontal="center" vertical="center" wrapText="1"/>
    </xf>
    <xf numFmtId="0" fontId="42" fillId="0" borderId="25" xfId="11" applyFont="1" applyBorder="1" applyAlignment="1">
      <alignment horizontal="center" vertical="center" wrapText="1"/>
    </xf>
    <xf numFmtId="0" fontId="49" fillId="0" borderId="8" xfId="11" applyFont="1" applyBorder="1" applyAlignment="1">
      <alignment horizontal="center" vertical="center" wrapText="1"/>
    </xf>
    <xf numFmtId="0" fontId="49" fillId="0" borderId="3" xfId="11" applyFont="1" applyBorder="1" applyAlignment="1">
      <alignment horizontal="center" vertical="center" wrapText="1"/>
    </xf>
    <xf numFmtId="0" fontId="49" fillId="0" borderId="7" xfId="11" applyFont="1" applyBorder="1" applyAlignment="1">
      <alignment horizontal="center" vertical="center" wrapText="1"/>
    </xf>
    <xf numFmtId="0" fontId="50" fillId="0" borderId="8" xfId="11" applyFont="1" applyBorder="1" applyAlignment="1">
      <alignment horizontal="center" vertical="center"/>
    </xf>
    <xf numFmtId="0" fontId="50" fillId="0" borderId="3" xfId="11" applyFont="1" applyBorder="1" applyAlignment="1">
      <alignment horizontal="center" vertical="center"/>
    </xf>
    <xf numFmtId="0" fontId="50" fillId="0" borderId="8" xfId="11" applyFont="1" applyBorder="1" applyAlignment="1">
      <alignment horizontal="center" vertical="center" wrapText="1"/>
    </xf>
    <xf numFmtId="0" fontId="50" fillId="0" borderId="3" xfId="11" applyFont="1" applyBorder="1" applyAlignment="1">
      <alignment horizontal="center" vertical="center" wrapText="1"/>
    </xf>
    <xf numFmtId="0" fontId="50" fillId="0" borderId="7" xfId="11" applyFont="1" applyBorder="1" applyAlignment="1">
      <alignment horizontal="center" vertical="center" wrapText="1"/>
    </xf>
    <xf numFmtId="0" fontId="49" fillId="0" borderId="1" xfId="11" applyFont="1" applyBorder="1" applyAlignment="1">
      <alignment horizontal="center" vertical="center" wrapText="1"/>
    </xf>
    <xf numFmtId="0" fontId="50" fillId="0" borderId="1" xfId="11" applyFont="1" applyBorder="1" applyAlignment="1">
      <alignment horizontal="center" vertical="center" wrapText="1"/>
    </xf>
    <xf numFmtId="0" fontId="50" fillId="0" borderId="1" xfId="11" quotePrefix="1" applyFont="1" applyBorder="1" applyAlignment="1">
      <alignment horizontal="center" vertical="center" wrapText="1"/>
    </xf>
    <xf numFmtId="0" fontId="50" fillId="0" borderId="8" xfId="11" quotePrefix="1" applyFont="1" applyBorder="1" applyAlignment="1">
      <alignment horizontal="center" vertical="center" wrapText="1"/>
    </xf>
    <xf numFmtId="0" fontId="50" fillId="0" borderId="3" xfId="11" quotePrefix="1" applyFont="1" applyBorder="1" applyAlignment="1">
      <alignment horizontal="center" vertical="center" wrapText="1"/>
    </xf>
    <xf numFmtId="14" fontId="56" fillId="0" borderId="0" xfId="3" applyNumberFormat="1" applyFont="1" applyAlignment="1">
      <alignment horizontal="left" vertical="center"/>
    </xf>
    <xf numFmtId="0" fontId="56" fillId="0" borderId="0" xfId="3" applyFont="1" applyAlignment="1">
      <alignment horizontal="left" vertical="center"/>
    </xf>
    <xf numFmtId="0" fontId="65" fillId="0" borderId="9" xfId="3" applyFont="1" applyBorder="1" applyAlignment="1">
      <alignment horizontal="center" vertical="center" shrinkToFit="1"/>
    </xf>
    <xf numFmtId="0" fontId="65" fillId="0" borderId="11" xfId="3" applyFont="1" applyBorder="1" applyAlignment="1">
      <alignment horizontal="center" vertical="center" shrinkToFit="1"/>
    </xf>
    <xf numFmtId="0" fontId="58" fillId="0" borderId="1" xfId="3" applyFont="1" applyBorder="1" applyAlignment="1">
      <alignment horizontal="left" vertical="center"/>
    </xf>
    <xf numFmtId="0" fontId="58" fillId="0" borderId="1" xfId="3" applyFont="1" applyBorder="1" applyAlignment="1">
      <alignment horizontal="center" vertical="center"/>
    </xf>
    <xf numFmtId="0" fontId="58" fillId="0" borderId="1" xfId="3" applyFont="1" applyBorder="1" applyAlignment="1">
      <alignment horizontal="center" vertical="center" wrapText="1"/>
    </xf>
    <xf numFmtId="0" fontId="41" fillId="0" borderId="1" xfId="3" applyFont="1" applyBorder="1" applyAlignment="1">
      <alignment horizontal="center" vertical="center"/>
    </xf>
    <xf numFmtId="0" fontId="59" fillId="0" borderId="0" xfId="0" applyFont="1" applyAlignment="1">
      <alignment horizontal="left" wrapText="1"/>
    </xf>
    <xf numFmtId="0" fontId="59" fillId="0" borderId="0" xfId="0" applyFont="1" applyAlignment="1">
      <alignment horizontal="left"/>
    </xf>
    <xf numFmtId="0" fontId="10" fillId="0" borderId="8" xfId="2" applyFont="1" applyBorder="1" applyAlignment="1">
      <alignment horizontal="left" vertical="center" wrapText="1"/>
    </xf>
    <xf numFmtId="0" fontId="10" fillId="0" borderId="3" xfId="2" applyFont="1" applyBorder="1" applyAlignment="1">
      <alignment horizontal="left" vertical="center" wrapText="1"/>
    </xf>
    <xf numFmtId="0" fontId="10" fillId="0" borderId="7" xfId="2" applyFont="1" applyBorder="1" applyAlignment="1">
      <alignment horizontal="left" vertical="center" wrapText="1"/>
    </xf>
    <xf numFmtId="0" fontId="58" fillId="0" borderId="8" xfId="3" applyFont="1" applyBorder="1" applyAlignment="1">
      <alignment horizontal="center" vertical="center"/>
    </xf>
    <xf numFmtId="0" fontId="58" fillId="0" borderId="3" xfId="3" applyFont="1" applyBorder="1" applyAlignment="1">
      <alignment horizontal="center" vertical="center"/>
    </xf>
    <xf numFmtId="0" fontId="58" fillId="0" borderId="7" xfId="3" applyFont="1" applyBorder="1" applyAlignment="1">
      <alignment horizontal="center" vertical="center"/>
    </xf>
    <xf numFmtId="0" fontId="20" fillId="0" borderId="25" xfId="0" applyFont="1" applyBorder="1" applyAlignment="1">
      <alignment horizontal="center"/>
    </xf>
    <xf numFmtId="0" fontId="54" fillId="0" borderId="9" xfId="0" applyFont="1" applyBorder="1" applyAlignment="1">
      <alignment horizontal="center"/>
    </xf>
    <xf numFmtId="0" fontId="54" fillId="0" borderId="11" xfId="0" applyFont="1" applyBorder="1" applyAlignment="1">
      <alignment horizontal="center"/>
    </xf>
    <xf numFmtId="0" fontId="60" fillId="20" borderId="1" xfId="0" applyFont="1" applyFill="1" applyBorder="1" applyAlignment="1">
      <alignment horizontal="center" vertical="center"/>
    </xf>
  </cellXfs>
  <cellStyles count="13">
    <cellStyle name="Normal" xfId="0" builtinId="0"/>
    <cellStyle name="Percent" xfId="7" builtinId="5"/>
    <cellStyle name="標準 11" xfId="4" xr:uid="{8A139863-BE61-4881-8A75-3DDBB52DC4BE}"/>
    <cellStyle name="標準 2" xfId="1" xr:uid="{00000000-0005-0000-0000-000001000000}"/>
    <cellStyle name="標準 3" xfId="2" xr:uid="{00000000-0005-0000-0000-000002000000}"/>
    <cellStyle name="標準 3 2" xfId="3" xr:uid="{FC5C2E8A-A686-48A9-AAC2-9B298D2574A1}"/>
    <cellStyle name="標準 3 2 2" xfId="10" xr:uid="{E24E8E08-B819-483A-B067-529B685949FE}"/>
    <cellStyle name="標準 3 2 3" xfId="9" xr:uid="{B51A8A27-C404-49B7-84A6-1FBEE9952751}"/>
    <cellStyle name="標準 3 2 4" xfId="12" xr:uid="{E773AAC4-206A-4A64-B72B-874B4A5DDC39}"/>
    <cellStyle name="標準 3 3" xfId="5" xr:uid="{9ACCEC74-F504-4508-9A08-5C5D7EDF407B}"/>
    <cellStyle name="標準 3 4" xfId="8" xr:uid="{BB1A2E35-B0D2-4F0D-B0B3-A0DF5FD2D54A}"/>
    <cellStyle name="標準 3 5" xfId="11" xr:uid="{2099E64D-F866-456B-B218-EA61E2AEC210}"/>
    <cellStyle name="標準 4" xfId="6" xr:uid="{F7B15526-2EC2-448D-9908-F6F85D2541C9}"/>
  </cellStyles>
  <dxfs count="17">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s>
  <tableStyles count="0" defaultTableStyle="TableStyleMedium2" defaultPivotStyle="PivotStyleLight16"/>
  <colors>
    <mruColors>
      <color rgb="FF0000FF"/>
      <color rgb="FFFF9900"/>
      <color rgb="FFD4F6D6"/>
      <color rgb="FFFFFFCC"/>
      <color rgb="FFCCFFFF"/>
      <color rgb="FFFFE5FF"/>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871234351896601"/>
          <c:y val="0.126640414424916"/>
          <c:w val="0.47662213225532951"/>
          <c:h val="0.80466575208148783"/>
        </c:manualLayout>
      </c:layout>
      <c:radarChart>
        <c:radarStyle val="marker"/>
        <c:varyColors val="0"/>
        <c:ser>
          <c:idx val="0"/>
          <c:order val="0"/>
          <c:tx>
            <c:v>2025</c:v>
          </c:tx>
          <c:spPr>
            <a:ln w="28575" cap="rnd">
              <a:solidFill>
                <a:schemeClr val="accent1"/>
              </a:solidFill>
              <a:round/>
            </a:ln>
            <a:effectLst/>
          </c:spPr>
          <c:marker>
            <c:symbol val="none"/>
          </c:marker>
          <c:val>
            <c:numRef>
              <c:f>Cal!#REF!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0-AECD-420A-8584-26F98959FDC9}"/>
            </c:ext>
          </c:extLst>
        </c:ser>
        <c:ser>
          <c:idx val="1"/>
          <c:order val="1"/>
          <c:tx>
            <c:v>2024</c:v>
          </c:tx>
          <c:spPr>
            <a:ln w="28575" cap="rnd">
              <a:solidFill>
                <a:schemeClr val="accent2"/>
              </a:solidFill>
              <a:round/>
            </a:ln>
            <a:effectLst/>
          </c:spPr>
          <c:marker>
            <c:symbol val="none"/>
          </c:marker>
          <c:val>
            <c:numRef>
              <c:f>Cal!#REF!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1-AECD-420A-8584-26F98959FDC9}"/>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solidFill>
              <a:schemeClr val="bg1">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majorUnit val="1"/>
      </c:valAx>
      <c:spPr>
        <a:noFill/>
        <a:ln>
          <a:noFill/>
        </a:ln>
        <a:effectLst/>
      </c:spPr>
    </c:plotArea>
    <c:legend>
      <c:legendPos val="r"/>
      <c:layout>
        <c:manualLayout>
          <c:xMode val="edge"/>
          <c:yMode val="edge"/>
          <c:x val="0.63741391820348847"/>
          <c:y val="0.1752086037103881"/>
          <c:w val="0.18813869733450378"/>
          <c:h val="0.21767921177442678"/>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967003368390881E-2"/>
          <c:y val="0.11941748000180478"/>
          <c:w val="0.89080763312676092"/>
          <c:h val="0.74122021729776488"/>
        </c:manualLayout>
      </c:layout>
      <c:barChart>
        <c:barDir val="bar"/>
        <c:grouping val="stacked"/>
        <c:varyColors val="0"/>
        <c:ser>
          <c:idx val="0"/>
          <c:order val="0"/>
          <c:spPr>
            <a:solidFill>
              <a:schemeClr val="accent1"/>
            </a:solidFill>
            <a:ln>
              <a:noFill/>
            </a:ln>
            <a:effectLst/>
          </c:spPr>
          <c:invertIfNegative val="0"/>
          <c:val>
            <c:numRef>
              <c:f>Cal!#REF!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Cal!#REF!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0-47E4-4C7F-9602-146FA3A344E0}"/>
            </c:ext>
          </c:extLst>
        </c:ser>
        <c:ser>
          <c:idx val="1"/>
          <c:order val="1"/>
          <c:spPr>
            <a:solidFill>
              <a:schemeClr val="accent2"/>
            </a:solidFill>
            <a:ln>
              <a:noFill/>
            </a:ln>
            <a:effectLst/>
          </c:spPr>
          <c:invertIfNegative val="0"/>
          <c:val>
            <c:numRef>
              <c:f>Cal!#REF!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Cal!#REF!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1-47E4-4C7F-9602-146FA3A344E0}"/>
            </c:ext>
          </c:extLst>
        </c:ser>
        <c:ser>
          <c:idx val="2"/>
          <c:order val="2"/>
          <c:spPr>
            <a:solidFill>
              <a:schemeClr val="accent3"/>
            </a:solidFill>
            <a:ln>
              <a:noFill/>
            </a:ln>
            <a:effectLst/>
          </c:spPr>
          <c:invertIfNegative val="0"/>
          <c:val>
            <c:numRef>
              <c:f>Cal!#REF!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Cal!#REF!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2-47E4-4C7F-9602-146FA3A344E0}"/>
            </c:ext>
          </c:extLst>
        </c:ser>
        <c:ser>
          <c:idx val="3"/>
          <c:order val="3"/>
          <c:spPr>
            <a:solidFill>
              <a:schemeClr val="accent4"/>
            </a:solidFill>
            <a:ln>
              <a:noFill/>
            </a:ln>
            <a:effectLst/>
          </c:spPr>
          <c:invertIfNegative val="0"/>
          <c:val>
            <c:numRef>
              <c:f>Cal!#REF!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Cal!#REF!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3-47E4-4C7F-9602-146FA3A344E0}"/>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1"/>
        <c:axPos val="l"/>
        <c:numFmt formatCode="General" sourceLinked="1"/>
        <c:majorTickMark val="none"/>
        <c:minorTickMark val="none"/>
        <c:tickLblPos val="nextTo"/>
        <c:crossAx val="613402159"/>
        <c:crosses val="autoZero"/>
        <c:auto val="1"/>
        <c:lblAlgn val="ctr"/>
        <c:lblOffset val="100"/>
        <c:noMultiLvlLbl val="0"/>
      </c:catAx>
      <c:valAx>
        <c:axId val="6134021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613412239"/>
        <c:crosses val="autoZero"/>
        <c:crossBetween val="between"/>
      </c:valAx>
      <c:spPr>
        <a:noFill/>
        <a:ln>
          <a:noFill/>
        </a:ln>
        <a:effectLst/>
      </c:spPr>
    </c:plotArea>
    <c:legend>
      <c:legendPos val="b"/>
      <c:layout>
        <c:manualLayout>
          <c:xMode val="edge"/>
          <c:yMode val="edge"/>
          <c:x val="0.61088341554799641"/>
          <c:y val="9.4623459486941341E-3"/>
          <c:w val="0.32582451764056636"/>
          <c:h val="8.8824251788491904E-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tx>
            <c:v>2025</c:v>
          </c:tx>
          <c:spPr>
            <a:ln w="28575" cap="rnd">
              <a:solidFill>
                <a:schemeClr val="accent1"/>
              </a:solidFill>
              <a:round/>
            </a:ln>
            <a:effectLst/>
          </c:spPr>
          <c:marker>
            <c:symbol val="none"/>
          </c:marker>
          <c:val>
            <c:numRef>
              <c:f>Cal!#REF!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0-F43B-44F6-A5EA-C47EFAC2D47A}"/>
            </c:ext>
          </c:extLst>
        </c:ser>
        <c:ser>
          <c:idx val="1"/>
          <c:order val="1"/>
          <c:tx>
            <c:v>2024</c:v>
          </c:tx>
          <c:spPr>
            <a:ln w="28575" cap="rnd">
              <a:solidFill>
                <a:schemeClr val="accent2"/>
              </a:solidFill>
              <a:round/>
            </a:ln>
            <a:effectLst/>
          </c:spPr>
          <c:marker>
            <c:symbol val="none"/>
          </c:marker>
          <c:val>
            <c:numRef>
              <c:f>Cal!#REF!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1-F43B-44F6-A5EA-C47EFAC2D47A}"/>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64201166681116006"/>
          <c:y val="6.7648360710409347E-2"/>
          <c:w val="0.22792037410229779"/>
          <c:h val="0.208381084047320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tx>
            <c:v>2025</c:v>
          </c:tx>
          <c:spPr>
            <a:ln w="28575" cap="rnd">
              <a:solidFill>
                <a:schemeClr val="accent1"/>
              </a:solidFill>
              <a:round/>
            </a:ln>
            <a:effectLst/>
          </c:spPr>
          <c:marker>
            <c:symbol val="none"/>
          </c:marker>
          <c:val>
            <c:numRef>
              <c:f>Cal!#REF!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0-D9B3-4604-B6C9-79487E5EB1A6}"/>
            </c:ext>
          </c:extLst>
        </c:ser>
        <c:ser>
          <c:idx val="1"/>
          <c:order val="1"/>
          <c:tx>
            <c:v>2024</c:v>
          </c:tx>
          <c:spPr>
            <a:ln w="28575" cap="rnd">
              <a:solidFill>
                <a:schemeClr val="accent2"/>
              </a:solidFill>
              <a:round/>
            </a:ln>
            <a:effectLst/>
          </c:spPr>
          <c:marker>
            <c:symbol val="none"/>
          </c:marker>
          <c:val>
            <c:numRef>
              <c:f>Cal!#REF!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Cal!#REF!</c15:sqref>
                        </c15:formulaRef>
                      </c:ext>
                    </c:extLst>
                    <c:strCache>
                      <c:ptCount val="1"/>
                      <c:pt idx="0">
                        <c:v>#REF!</c:v>
                      </c:pt>
                    </c:strCache>
                  </c:strRef>
                </c15:cat>
              </c15:filteredCategoryTitle>
            </c:ext>
            <c:ext xmlns:c16="http://schemas.microsoft.com/office/drawing/2014/chart" uri="{C3380CC4-5D6E-409C-BE32-E72D297353CC}">
              <c16:uniqueId val="{00000001-D9B3-4604-B6C9-79487E5EB1A6}"/>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61207391408633571"/>
          <c:y val="5.7379751597246231E-2"/>
          <c:w val="0.23644547838360305"/>
          <c:h val="0.2010245619615315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8425857608917"/>
          <c:y val="0.25708509052072637"/>
          <c:w val="0.54272743904304122"/>
          <c:h val="0.7131235295907693"/>
        </c:manualLayout>
      </c:layout>
      <c:radarChart>
        <c:radarStyle val="marker"/>
        <c:varyColors val="0"/>
        <c:ser>
          <c:idx val="1"/>
          <c:order val="0"/>
          <c:tx>
            <c:v>2025</c:v>
          </c:tx>
          <c:spPr>
            <a:ln w="19050" cap="rnd">
              <a:solidFill>
                <a:srgbClr val="0000FF"/>
              </a:solidFill>
              <a:prstDash val="solid"/>
              <a:round/>
            </a:ln>
            <a:effectLst/>
          </c:spPr>
          <c:marker>
            <c:symbol val="none"/>
          </c:marker>
          <c:cat>
            <c:strRef>
              <c:f>Cal!$C$41:$C$43</c:f>
              <c:strCache>
                <c:ptCount val="3"/>
                <c:pt idx="0">
                  <c:v>Compliance</c:v>
                </c:pt>
                <c:pt idx="1">
                  <c:v>Governance</c:v>
                </c:pt>
                <c:pt idx="2">
                  <c:v>Risk</c:v>
                </c:pt>
              </c:strCache>
            </c:strRef>
          </c:cat>
          <c:val>
            <c:numRef>
              <c:f>Cal!$D$41:$D$43</c:f>
              <c:numCache>
                <c:formatCode>0.0</c:formatCode>
                <c:ptCount val="3"/>
                <c:pt idx="0">
                  <c:v>5</c:v>
                </c:pt>
                <c:pt idx="1">
                  <c:v>5</c:v>
                </c:pt>
                <c:pt idx="2">
                  <c:v>5</c:v>
                </c:pt>
              </c:numCache>
            </c:numRef>
          </c:val>
          <c:extLst>
            <c:ext xmlns:c16="http://schemas.microsoft.com/office/drawing/2014/chart" uri="{C3380CC4-5D6E-409C-BE32-E72D297353CC}">
              <c16:uniqueId val="{00000000-71A5-4607-AF9D-2D14B1A973E6}"/>
            </c:ext>
          </c:extLst>
        </c:ser>
        <c:ser>
          <c:idx val="0"/>
          <c:order val="1"/>
          <c:tx>
            <c:v>2028</c:v>
          </c:tx>
          <c:spPr>
            <a:ln w="28575" cap="rnd">
              <a:solidFill>
                <a:srgbClr val="FFC000"/>
              </a:solidFill>
              <a:prstDash val="sysDot"/>
              <a:round/>
            </a:ln>
            <a:effectLst/>
          </c:spPr>
          <c:marker>
            <c:symbol val="none"/>
          </c:marker>
          <c:cat>
            <c:strRef>
              <c:f>Cal!$C$41:$C$43</c:f>
              <c:strCache>
                <c:ptCount val="3"/>
                <c:pt idx="0">
                  <c:v>Compliance</c:v>
                </c:pt>
                <c:pt idx="1">
                  <c:v>Governance</c:v>
                </c:pt>
                <c:pt idx="2">
                  <c:v>Risk</c:v>
                </c:pt>
              </c:strCache>
            </c:strRef>
          </c:cat>
          <c:val>
            <c:numRef>
              <c:f>Cal!$E$41:$E$43</c:f>
              <c:numCache>
                <c:formatCode>0.0</c:formatCode>
                <c:ptCount val="3"/>
              </c:numCache>
            </c:numRef>
          </c:val>
          <c:extLst>
            <c:ext xmlns:c16="http://schemas.microsoft.com/office/drawing/2014/chart" uri="{C3380CC4-5D6E-409C-BE32-E72D297353CC}">
              <c16:uniqueId val="{00000001-71A5-4607-AF9D-2D14B1A973E6}"/>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a:solidFill>
              <a:schemeClr val="bg1">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55068443129758105"/>
          <c:y val="0.22787344669748169"/>
          <c:w val="0.28483902188803228"/>
          <c:h val="0.1463637514169809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2539673216051378E-2"/>
          <c:y val="0.1207717227425639"/>
          <c:w val="0.90286058327704188"/>
          <c:h val="0.73970883022551359"/>
        </c:manualLayout>
      </c:layout>
      <c:barChart>
        <c:barDir val="bar"/>
        <c:grouping val="stacked"/>
        <c:varyColors val="0"/>
        <c:ser>
          <c:idx val="0"/>
          <c:order val="0"/>
          <c:tx>
            <c:v>B+ or more</c:v>
          </c:tx>
          <c:spPr>
            <a:solidFill>
              <a:srgbClr val="70AD47">
                <a:lumMod val="60000"/>
                <a:lumOff val="40000"/>
              </a:srgbClr>
            </a:solidFill>
            <a:ln>
              <a:noFill/>
            </a:ln>
            <a:effectLst/>
          </c:spPr>
          <c:invertIfNegative val="0"/>
          <c:dLbls>
            <c:dLbl>
              <c:idx val="1"/>
              <c:layout>
                <c:manualLayout>
                  <c:x val="0"/>
                  <c:y val="0.116429224390154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1F-4B5F-B196-26A2BB5AA1E7}"/>
                </c:ext>
              </c:extLst>
            </c:dLbl>
            <c:dLbl>
              <c:idx val="3"/>
              <c:layout>
                <c:manualLayout>
                  <c:x val="-3.5710329058029023E-3"/>
                  <c:y val="0.116429224390154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1F-4B5F-B196-26A2BB5AA1E7}"/>
                </c:ext>
              </c:extLst>
            </c:dLbl>
            <c:dLbl>
              <c:idx val="5"/>
              <c:delete val="1"/>
              <c:extLst>
                <c:ext xmlns:c15="http://schemas.microsoft.com/office/drawing/2012/chart" uri="{CE6537A1-D6FC-4f65-9D91-7224C49458BB}"/>
                <c:ext xmlns:c16="http://schemas.microsoft.com/office/drawing/2014/chart" uri="{C3380CC4-5D6E-409C-BE32-E72D297353CC}">
                  <c16:uniqueId val="{00000002-8F1F-4B5F-B196-26A2BB5AA1E7}"/>
                </c:ext>
              </c:extLst>
            </c:dLbl>
            <c:spPr>
              <a:noFill/>
              <a:ln>
                <a:noFill/>
              </a:ln>
              <a:effectLst/>
            </c:spPr>
            <c:txPr>
              <a:bodyPr rot="0" spcFirstLastPara="1" vertOverflow="ellipsis" vert="horz" wrap="square" anchor="ctr" anchorCtr="1"/>
              <a:lstStyle/>
              <a:p>
                <a:pPr>
                  <a:defRPr lang="ja-JP" sz="7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Cal!$K$56:$K$61</c:f>
              <c:numCache>
                <c:formatCode>0%</c:formatCode>
                <c:ptCount val="6"/>
                <c:pt idx="0">
                  <c:v>1</c:v>
                </c:pt>
                <c:pt idx="1">
                  <c:v>0</c:v>
                </c:pt>
                <c:pt idx="2">
                  <c:v>1</c:v>
                </c:pt>
                <c:pt idx="3">
                  <c:v>0</c:v>
                </c:pt>
                <c:pt idx="4">
                  <c:v>1</c:v>
                </c:pt>
                <c:pt idx="5">
                  <c:v>0</c:v>
                </c:pt>
              </c:numCache>
            </c:numRef>
          </c:val>
          <c:extLst>
            <c:ext xmlns:c16="http://schemas.microsoft.com/office/drawing/2014/chart" uri="{C3380CC4-5D6E-409C-BE32-E72D297353CC}">
              <c16:uniqueId val="{00000003-8F1F-4B5F-B196-26A2BB5AA1E7}"/>
            </c:ext>
          </c:extLst>
        </c:ser>
        <c:ser>
          <c:idx val="1"/>
          <c:order val="1"/>
          <c:tx>
            <c:v>B</c:v>
          </c:tx>
          <c:spPr>
            <a:solidFill>
              <a:srgbClr val="70AD47">
                <a:lumMod val="40000"/>
                <a:lumOff val="60000"/>
              </a:srgbClr>
            </a:solidFill>
            <a:ln>
              <a:noFill/>
            </a:ln>
            <a:effectLst/>
          </c:spPr>
          <c:invertIfNegative val="0"/>
          <c:dLbls>
            <c:dLbl>
              <c:idx val="0"/>
              <c:layout>
                <c:manualLayout>
                  <c:x val="-1.42841316232116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1F-4B5F-B196-26A2BB5AA1E7}"/>
                </c:ext>
              </c:extLst>
            </c:dLbl>
            <c:dLbl>
              <c:idx val="1"/>
              <c:delete val="1"/>
              <c:extLst>
                <c:ext xmlns:c15="http://schemas.microsoft.com/office/drawing/2012/chart" uri="{CE6537A1-D6FC-4f65-9D91-7224C49458BB}"/>
                <c:ext xmlns:c16="http://schemas.microsoft.com/office/drawing/2014/chart" uri="{C3380CC4-5D6E-409C-BE32-E72D297353CC}">
                  <c16:uniqueId val="{00000005-8F1F-4B5F-B196-26A2BB5AA1E7}"/>
                </c:ext>
              </c:extLst>
            </c:dLbl>
            <c:dLbl>
              <c:idx val="3"/>
              <c:delete val="1"/>
              <c:extLst>
                <c:ext xmlns:c15="http://schemas.microsoft.com/office/drawing/2012/chart" uri="{CE6537A1-D6FC-4f65-9D91-7224C49458BB}"/>
                <c:ext xmlns:c16="http://schemas.microsoft.com/office/drawing/2014/chart" uri="{C3380CC4-5D6E-409C-BE32-E72D297353CC}">
                  <c16:uniqueId val="{00000006-8F1F-4B5F-B196-26A2BB5AA1E7}"/>
                </c:ext>
              </c:extLst>
            </c:dLbl>
            <c:dLbl>
              <c:idx val="5"/>
              <c:layout>
                <c:manualLayout>
                  <c:x val="-1.0713098717408701E-2"/>
                  <c:y val="0.108112851219429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1F-4B5F-B196-26A2BB5AA1E7}"/>
                </c:ext>
              </c:extLst>
            </c:dLbl>
            <c:spPr>
              <a:noFill/>
              <a:ln>
                <a:noFill/>
              </a:ln>
              <a:effectLst/>
            </c:spPr>
            <c:txPr>
              <a:bodyPr rot="0" spcFirstLastPara="1" vertOverflow="ellipsis" vert="horz" wrap="square" anchor="ctr" anchorCtr="1"/>
              <a:lstStyle/>
              <a:p>
                <a:pPr>
                  <a:defRPr lang="ja-JP" sz="7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Cal!$L$56:$L$61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8-8F1F-4B5F-B196-26A2BB5AA1E7}"/>
            </c:ext>
          </c:extLst>
        </c:ser>
        <c:ser>
          <c:idx val="2"/>
          <c:order val="2"/>
          <c:tx>
            <c:v>B-</c:v>
          </c:tx>
          <c:spPr>
            <a:solidFill>
              <a:srgbClr val="ED7D31">
                <a:lumMod val="20000"/>
                <a:lumOff val="80000"/>
              </a:srgbClr>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9-8F1F-4B5F-B196-26A2BB5AA1E7}"/>
                </c:ext>
              </c:extLst>
            </c:dLbl>
            <c:dLbl>
              <c:idx val="3"/>
              <c:delete val="1"/>
              <c:extLst>
                <c:ext xmlns:c15="http://schemas.microsoft.com/office/drawing/2012/chart" uri="{CE6537A1-D6FC-4f65-9D91-7224C49458BB}"/>
                <c:ext xmlns:c16="http://schemas.microsoft.com/office/drawing/2014/chart" uri="{C3380CC4-5D6E-409C-BE32-E72D297353CC}">
                  <c16:uniqueId val="{0000000A-8F1F-4B5F-B196-26A2BB5AA1E7}"/>
                </c:ext>
              </c:extLst>
            </c:dLbl>
            <c:dLbl>
              <c:idx val="4"/>
              <c:layout>
                <c:manualLayout>
                  <c:x val="-1.42841316232116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F1F-4B5F-B196-26A2BB5AA1E7}"/>
                </c:ext>
              </c:extLst>
            </c:dLbl>
            <c:dLbl>
              <c:idx val="5"/>
              <c:delete val="1"/>
              <c:extLst>
                <c:ext xmlns:c15="http://schemas.microsoft.com/office/drawing/2012/chart" uri="{CE6537A1-D6FC-4f65-9D91-7224C49458BB}"/>
                <c:ext xmlns:c16="http://schemas.microsoft.com/office/drawing/2014/chart" uri="{C3380CC4-5D6E-409C-BE32-E72D297353CC}">
                  <c16:uniqueId val="{0000000C-8F1F-4B5F-B196-26A2BB5AA1E7}"/>
                </c:ext>
              </c:extLst>
            </c:dLbl>
            <c:spPr>
              <a:noFill/>
              <a:ln>
                <a:noFill/>
              </a:ln>
              <a:effectLst/>
            </c:spPr>
            <c:txPr>
              <a:bodyPr rot="0" spcFirstLastPara="1" vertOverflow="ellipsis" vert="horz" wrap="square" anchor="ctr" anchorCtr="1"/>
              <a:lstStyle/>
              <a:p>
                <a:pPr>
                  <a:defRPr lang="ja-JP" sz="7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Cal!$M$56:$M$61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D-8F1F-4B5F-B196-26A2BB5AA1E7}"/>
            </c:ext>
          </c:extLst>
        </c:ser>
        <c:ser>
          <c:idx val="3"/>
          <c:order val="3"/>
          <c:tx>
            <c:v>C</c:v>
          </c:tx>
          <c:spPr>
            <a:solidFill>
              <a:srgbClr val="FFCCFF"/>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E-8F1F-4B5F-B196-26A2BB5AA1E7}"/>
                </c:ext>
              </c:extLst>
            </c:dLbl>
            <c:dLbl>
              <c:idx val="3"/>
              <c:delete val="1"/>
              <c:extLst>
                <c:ext xmlns:c15="http://schemas.microsoft.com/office/drawing/2012/chart" uri="{CE6537A1-D6FC-4f65-9D91-7224C49458BB}"/>
                <c:ext xmlns:c16="http://schemas.microsoft.com/office/drawing/2014/chart" uri="{C3380CC4-5D6E-409C-BE32-E72D297353CC}">
                  <c16:uniqueId val="{0000000F-8F1F-4B5F-B196-26A2BB5AA1E7}"/>
                </c:ext>
              </c:extLst>
            </c:dLbl>
            <c:dLbl>
              <c:idx val="5"/>
              <c:delete val="1"/>
              <c:extLst>
                <c:ext xmlns:c15="http://schemas.microsoft.com/office/drawing/2012/chart" uri="{CE6537A1-D6FC-4f65-9D91-7224C49458BB}"/>
                <c:ext xmlns:c16="http://schemas.microsoft.com/office/drawing/2014/chart" uri="{C3380CC4-5D6E-409C-BE32-E72D297353CC}">
                  <c16:uniqueId val="{00000010-8F1F-4B5F-B196-26A2BB5AA1E7}"/>
                </c:ext>
              </c:extLst>
            </c:dLbl>
            <c:spPr>
              <a:noFill/>
              <a:ln>
                <a:noFill/>
              </a:ln>
              <a:effectLst/>
            </c:spPr>
            <c:txPr>
              <a:bodyPr rot="0" spcFirstLastPara="1" vertOverflow="ellipsis" vert="horz" wrap="square" anchor="ctr" anchorCtr="1"/>
              <a:lstStyle/>
              <a:p>
                <a:pPr>
                  <a:defRPr lang="ja-JP" sz="7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Cal!$N$56:$N$61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11-8F1F-4B5F-B196-26A2BB5AA1E7}"/>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1"/>
        <c:axPos val="l"/>
        <c:numFmt formatCode="General" sourceLinked="1"/>
        <c:majorTickMark val="none"/>
        <c:minorTickMark val="none"/>
        <c:tickLblPos val="nextTo"/>
        <c:crossAx val="613402159"/>
        <c:crosses val="autoZero"/>
        <c:auto val="1"/>
        <c:lblAlgn val="ctr"/>
        <c:lblOffset val="100"/>
        <c:noMultiLvlLbl val="0"/>
      </c:catAx>
      <c:valAx>
        <c:axId val="6134021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Aptos Narrow" panose="020B0004020202020204" pitchFamily="34" charset="0"/>
                <a:ea typeface="Yu Gothic UI" panose="020B0500000000000000" pitchFamily="50" charset="-128"/>
                <a:cs typeface="+mn-cs"/>
              </a:defRPr>
            </a:pPr>
            <a:endParaRPr lang="ja-JP"/>
          </a:p>
        </c:txPr>
        <c:crossAx val="613412239"/>
        <c:crosses val="autoZero"/>
        <c:crossBetween val="between"/>
      </c:valAx>
      <c:spPr>
        <a:noFill/>
        <a:ln w="25400">
          <a:noFill/>
        </a:ln>
        <a:effectLst/>
      </c:spPr>
    </c:plotArea>
    <c:legend>
      <c:legendPos val="b"/>
      <c:layout>
        <c:manualLayout>
          <c:xMode val="edge"/>
          <c:yMode val="edge"/>
          <c:x val="0.43381357633603024"/>
          <c:y val="0.12051145040167427"/>
          <c:w val="0.50148637888925562"/>
          <c:h val="0.11168430785510913"/>
        </c:manualLayout>
      </c:layout>
      <c:overlay val="0"/>
      <c:spPr>
        <a:solidFill>
          <a:srgbClr val="FFC000">
            <a:lumMod val="20000"/>
            <a:lumOff val="80000"/>
          </a:srgbClr>
        </a:solid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1"/>
          <c:order val="0"/>
          <c:tx>
            <c:v>2028</c:v>
          </c:tx>
          <c:spPr>
            <a:ln w="28575" cap="rnd">
              <a:solidFill>
                <a:srgbClr val="FF9900"/>
              </a:solidFill>
              <a:prstDash val="sysDot"/>
              <a:round/>
            </a:ln>
            <a:effectLst/>
          </c:spPr>
          <c:marker>
            <c:symbol val="none"/>
          </c:marker>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Cal!$G$48:$G$52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D174-483B-B43C-2BFC7BD6141B}"/>
            </c:ext>
          </c:extLst>
        </c:ser>
        <c:ser>
          <c:idx val="0"/>
          <c:order val="1"/>
          <c:tx>
            <c:v>2025</c:v>
          </c:tx>
          <c:spPr>
            <a:ln w="28575" cap="rnd">
              <a:solidFill>
                <a:srgbClr val="0000FF"/>
              </a:solidFill>
              <a:round/>
            </a:ln>
            <a:effectLst/>
          </c:spPr>
          <c:marker>
            <c:symbol val="none"/>
          </c:marker>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Cal!$E$48:$E$52</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D174-483B-B43C-2BFC7BD6141B}"/>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6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55592574918938287"/>
          <c:y val="5.5519621536663635E-2"/>
          <c:w val="0.33999364203928767"/>
          <c:h val="0.2206807628428956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1"/>
          <c:order val="0"/>
          <c:tx>
            <c:v>2028</c:v>
          </c:tx>
          <c:spPr>
            <a:ln w="28575" cap="rnd">
              <a:solidFill>
                <a:srgbClr val="FF9900"/>
              </a:solidFill>
              <a:prstDash val="sysDot"/>
              <a:round/>
            </a:ln>
            <a:effectLst/>
          </c:spPr>
          <c:marker>
            <c:symbol val="none"/>
          </c:marker>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Cal!$F$48:$F$52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D7B7-47AD-8DD5-B9911CEFE01A}"/>
            </c:ext>
          </c:extLst>
        </c:ser>
        <c:ser>
          <c:idx val="0"/>
          <c:order val="1"/>
          <c:tx>
            <c:v>2025</c:v>
          </c:tx>
          <c:spPr>
            <a:ln w="38100" cap="rnd">
              <a:solidFill>
                <a:srgbClr val="0000FF"/>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Cal!$D$48:$D$52</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D7B7-47AD-8DD5-B9911CEFE01A}"/>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6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54814535885250304"/>
          <c:y val="7.5994877736447336E-2"/>
          <c:w val="0.31888932424469918"/>
          <c:h val="0.1948761923046888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8425857608917"/>
          <c:y val="0.25708509052072637"/>
          <c:w val="0.54272743904304122"/>
          <c:h val="0.7131235295907693"/>
        </c:manualLayout>
      </c:layout>
      <c:radarChart>
        <c:radarStyle val="marker"/>
        <c:varyColors val="0"/>
        <c:ser>
          <c:idx val="1"/>
          <c:order val="0"/>
          <c:tx>
            <c:v>2025</c:v>
          </c:tx>
          <c:spPr>
            <a:ln w="19050" cap="rnd">
              <a:solidFill>
                <a:srgbClr val="0000FF"/>
              </a:solidFill>
              <a:prstDash val="solid"/>
              <a:round/>
            </a:ln>
            <a:effectLst/>
          </c:spPr>
          <c:marker>
            <c:symbol val="none"/>
          </c:marker>
          <c:cat>
            <c:strRef>
              <c:f>Cal!$C$41:$C$43</c:f>
              <c:strCache>
                <c:ptCount val="3"/>
                <c:pt idx="0">
                  <c:v>Compliance</c:v>
                </c:pt>
                <c:pt idx="1">
                  <c:v>Governance</c:v>
                </c:pt>
                <c:pt idx="2">
                  <c:v>Risk</c:v>
                </c:pt>
              </c:strCache>
            </c:strRef>
          </c:cat>
          <c:val>
            <c:numRef>
              <c:f>Cal!$D$41:$D$43</c:f>
              <c:numCache>
                <c:formatCode>0.0</c:formatCode>
                <c:ptCount val="3"/>
                <c:pt idx="0">
                  <c:v>5</c:v>
                </c:pt>
                <c:pt idx="1">
                  <c:v>5</c:v>
                </c:pt>
                <c:pt idx="2">
                  <c:v>5</c:v>
                </c:pt>
              </c:numCache>
            </c:numRef>
          </c:val>
          <c:extLst>
            <c:ext xmlns:c16="http://schemas.microsoft.com/office/drawing/2014/chart" uri="{C3380CC4-5D6E-409C-BE32-E72D297353CC}">
              <c16:uniqueId val="{00000001-8B75-4418-B52B-FEF39E8C2221}"/>
            </c:ext>
          </c:extLst>
        </c:ser>
        <c:ser>
          <c:idx val="0"/>
          <c:order val="1"/>
          <c:tx>
            <c:v>2028</c:v>
          </c:tx>
          <c:spPr>
            <a:ln w="28575" cap="rnd">
              <a:solidFill>
                <a:srgbClr val="FFC000"/>
              </a:solidFill>
              <a:prstDash val="sysDot"/>
              <a:round/>
            </a:ln>
            <a:effectLst/>
          </c:spPr>
          <c:marker>
            <c:symbol val="none"/>
          </c:marker>
          <c:cat>
            <c:strRef>
              <c:f>Cal!$C$41:$C$43</c:f>
              <c:strCache>
                <c:ptCount val="3"/>
                <c:pt idx="0">
                  <c:v>Compliance</c:v>
                </c:pt>
                <c:pt idx="1">
                  <c:v>Governance</c:v>
                </c:pt>
                <c:pt idx="2">
                  <c:v>Risk</c:v>
                </c:pt>
              </c:strCache>
            </c:strRef>
          </c:cat>
          <c:val>
            <c:numRef>
              <c:f>Cal!$E$41:$E$43</c:f>
              <c:numCache>
                <c:formatCode>0.0</c:formatCode>
                <c:ptCount val="3"/>
              </c:numCache>
            </c:numRef>
          </c:val>
          <c:extLst>
            <c:ext xmlns:c16="http://schemas.microsoft.com/office/drawing/2014/chart" uri="{C3380CC4-5D6E-409C-BE32-E72D297353CC}">
              <c16:uniqueId val="{00000000-8B75-4418-B52B-FEF39E8C2221}"/>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a:solidFill>
              <a:schemeClr val="bg1">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55068443129758105"/>
          <c:y val="0.22787344669748169"/>
          <c:w val="0.28483902188803228"/>
          <c:h val="0.1463637514169809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2539673216051378E-2"/>
          <c:y val="0.1207717227425639"/>
          <c:w val="0.90286058327704188"/>
          <c:h val="0.73970883022551359"/>
        </c:manualLayout>
      </c:layout>
      <c:barChart>
        <c:barDir val="bar"/>
        <c:grouping val="stacked"/>
        <c:varyColors val="0"/>
        <c:ser>
          <c:idx val="0"/>
          <c:order val="0"/>
          <c:tx>
            <c:v>B+ or more</c:v>
          </c:tx>
          <c:spPr>
            <a:solidFill>
              <a:srgbClr val="70AD47">
                <a:lumMod val="60000"/>
                <a:lumOff val="40000"/>
              </a:srgbClr>
            </a:solidFill>
            <a:ln>
              <a:noFill/>
            </a:ln>
            <a:effectLst/>
          </c:spPr>
          <c:invertIfNegative val="0"/>
          <c:dLbls>
            <c:dLbl>
              <c:idx val="1"/>
              <c:layout>
                <c:manualLayout>
                  <c:x val="0"/>
                  <c:y val="0.116429224390154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1B1-43ED-A80B-41887F253DB2}"/>
                </c:ext>
              </c:extLst>
            </c:dLbl>
            <c:dLbl>
              <c:idx val="3"/>
              <c:layout>
                <c:manualLayout>
                  <c:x val="-3.5710329058029023E-3"/>
                  <c:y val="0.116429224390154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1B1-43ED-A80B-41887F253DB2}"/>
                </c:ext>
              </c:extLst>
            </c:dLbl>
            <c:dLbl>
              <c:idx val="5"/>
              <c:delete val="1"/>
              <c:extLst>
                <c:ext xmlns:c15="http://schemas.microsoft.com/office/drawing/2012/chart" uri="{CE6537A1-D6FC-4f65-9D91-7224C49458BB}"/>
                <c:ext xmlns:c16="http://schemas.microsoft.com/office/drawing/2014/chart" uri="{C3380CC4-5D6E-409C-BE32-E72D297353CC}">
                  <c16:uniqueId val="{00000000-01B1-43ED-A80B-41887F253DB2}"/>
                </c:ext>
              </c:extLst>
            </c:dLbl>
            <c:spPr>
              <a:noFill/>
              <a:ln>
                <a:noFill/>
              </a:ln>
              <a:effectLst/>
            </c:spPr>
            <c:txPr>
              <a:bodyPr rot="0" spcFirstLastPara="1" vertOverflow="ellipsis" vert="horz" wrap="square" anchor="ctr" anchorCtr="1"/>
              <a:lstStyle/>
              <a:p>
                <a:pPr>
                  <a:defRPr lang="ja-JP" sz="7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Cal!$K$56:$K$61</c:f>
              <c:numCache>
                <c:formatCode>0%</c:formatCode>
                <c:ptCount val="6"/>
                <c:pt idx="0">
                  <c:v>1</c:v>
                </c:pt>
                <c:pt idx="1">
                  <c:v>0</c:v>
                </c:pt>
                <c:pt idx="2">
                  <c:v>1</c:v>
                </c:pt>
                <c:pt idx="3">
                  <c:v>0</c:v>
                </c:pt>
                <c:pt idx="4">
                  <c:v>1</c:v>
                </c:pt>
                <c:pt idx="5">
                  <c:v>0</c:v>
                </c:pt>
              </c:numCache>
            </c:numRef>
          </c:val>
          <c:extLst>
            <c:ext xmlns:c16="http://schemas.microsoft.com/office/drawing/2014/chart" uri="{C3380CC4-5D6E-409C-BE32-E72D297353CC}">
              <c16:uniqueId val="{00000000-DB3E-4C6A-9E33-BFC560825910}"/>
            </c:ext>
          </c:extLst>
        </c:ser>
        <c:ser>
          <c:idx val="1"/>
          <c:order val="1"/>
          <c:tx>
            <c:v>B</c:v>
          </c:tx>
          <c:spPr>
            <a:solidFill>
              <a:srgbClr val="70AD47">
                <a:lumMod val="40000"/>
                <a:lumOff val="60000"/>
              </a:srgbClr>
            </a:solidFill>
            <a:ln>
              <a:noFill/>
            </a:ln>
            <a:effectLst/>
          </c:spPr>
          <c:invertIfNegative val="0"/>
          <c:dLbls>
            <c:dLbl>
              <c:idx val="0"/>
              <c:layout>
                <c:manualLayout>
                  <c:x val="-1.42841316232116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1B1-43ED-A80B-41887F253DB2}"/>
                </c:ext>
              </c:extLst>
            </c:dLbl>
            <c:dLbl>
              <c:idx val="1"/>
              <c:delete val="1"/>
              <c:extLst>
                <c:ext xmlns:c15="http://schemas.microsoft.com/office/drawing/2012/chart" uri="{CE6537A1-D6FC-4f65-9D91-7224C49458BB}"/>
                <c:ext xmlns:c16="http://schemas.microsoft.com/office/drawing/2014/chart" uri="{C3380CC4-5D6E-409C-BE32-E72D297353CC}">
                  <c16:uniqueId val="{00000009-01B1-43ED-A80B-41887F253DB2}"/>
                </c:ext>
              </c:extLst>
            </c:dLbl>
            <c:dLbl>
              <c:idx val="3"/>
              <c:delete val="1"/>
              <c:extLst>
                <c:ext xmlns:c15="http://schemas.microsoft.com/office/drawing/2012/chart" uri="{CE6537A1-D6FC-4f65-9D91-7224C49458BB}"/>
                <c:ext xmlns:c16="http://schemas.microsoft.com/office/drawing/2014/chart" uri="{C3380CC4-5D6E-409C-BE32-E72D297353CC}">
                  <c16:uniqueId val="{00000003-01B1-43ED-A80B-41887F253DB2}"/>
                </c:ext>
              </c:extLst>
            </c:dLbl>
            <c:dLbl>
              <c:idx val="5"/>
              <c:layout>
                <c:manualLayout>
                  <c:x val="-1.0713098717408701E-2"/>
                  <c:y val="0.108112851219429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B1-43ED-A80B-41887F253DB2}"/>
                </c:ext>
              </c:extLst>
            </c:dLbl>
            <c:spPr>
              <a:noFill/>
              <a:ln>
                <a:noFill/>
              </a:ln>
              <a:effectLst/>
            </c:spPr>
            <c:txPr>
              <a:bodyPr rot="0" spcFirstLastPara="1" vertOverflow="ellipsis" vert="horz" wrap="square" anchor="ctr" anchorCtr="1"/>
              <a:lstStyle/>
              <a:p>
                <a:pPr>
                  <a:defRPr lang="ja-JP" sz="7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Cal!$L$56:$L$61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DB3E-4C6A-9E33-BFC560825910}"/>
            </c:ext>
          </c:extLst>
        </c:ser>
        <c:ser>
          <c:idx val="2"/>
          <c:order val="2"/>
          <c:tx>
            <c:v>B-</c:v>
          </c:tx>
          <c:spPr>
            <a:solidFill>
              <a:srgbClr val="ED7D31">
                <a:lumMod val="20000"/>
                <a:lumOff val="80000"/>
              </a:srgbClr>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8-01B1-43ED-A80B-41887F253DB2}"/>
                </c:ext>
              </c:extLst>
            </c:dLbl>
            <c:dLbl>
              <c:idx val="3"/>
              <c:delete val="1"/>
              <c:extLst>
                <c:ext xmlns:c15="http://schemas.microsoft.com/office/drawing/2012/chart" uri="{CE6537A1-D6FC-4f65-9D91-7224C49458BB}"/>
                <c:ext xmlns:c16="http://schemas.microsoft.com/office/drawing/2014/chart" uri="{C3380CC4-5D6E-409C-BE32-E72D297353CC}">
                  <c16:uniqueId val="{00000002-01B1-43ED-A80B-41887F253DB2}"/>
                </c:ext>
              </c:extLst>
            </c:dLbl>
            <c:dLbl>
              <c:idx val="4"/>
              <c:layout>
                <c:manualLayout>
                  <c:x val="-1.42841316232116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1B1-43ED-A80B-41887F253DB2}"/>
                </c:ext>
              </c:extLst>
            </c:dLbl>
            <c:dLbl>
              <c:idx val="5"/>
              <c:delete val="1"/>
              <c:extLst>
                <c:ext xmlns:c15="http://schemas.microsoft.com/office/drawing/2012/chart" uri="{CE6537A1-D6FC-4f65-9D91-7224C49458BB}"/>
                <c:ext xmlns:c16="http://schemas.microsoft.com/office/drawing/2014/chart" uri="{C3380CC4-5D6E-409C-BE32-E72D297353CC}">
                  <c16:uniqueId val="{00000005-01B1-43ED-A80B-41887F253DB2}"/>
                </c:ext>
              </c:extLst>
            </c:dLbl>
            <c:spPr>
              <a:noFill/>
              <a:ln>
                <a:noFill/>
              </a:ln>
              <a:effectLst/>
            </c:spPr>
            <c:txPr>
              <a:bodyPr rot="0" spcFirstLastPara="1" vertOverflow="ellipsis" vert="horz" wrap="square" anchor="ctr" anchorCtr="1"/>
              <a:lstStyle/>
              <a:p>
                <a:pPr>
                  <a:defRPr lang="ja-JP" sz="7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Cal!$M$56:$M$61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DB3E-4C6A-9E33-BFC560825910}"/>
            </c:ext>
          </c:extLst>
        </c:ser>
        <c:ser>
          <c:idx val="3"/>
          <c:order val="3"/>
          <c:tx>
            <c:v>C</c:v>
          </c:tx>
          <c:spPr>
            <a:solidFill>
              <a:srgbClr val="FFCCFF"/>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7-01B1-43ED-A80B-41887F253DB2}"/>
                </c:ext>
              </c:extLst>
            </c:dLbl>
            <c:dLbl>
              <c:idx val="3"/>
              <c:delete val="1"/>
              <c:extLst>
                <c:ext xmlns:c15="http://schemas.microsoft.com/office/drawing/2012/chart" uri="{CE6537A1-D6FC-4f65-9D91-7224C49458BB}"/>
                <c:ext xmlns:c16="http://schemas.microsoft.com/office/drawing/2014/chart" uri="{C3380CC4-5D6E-409C-BE32-E72D297353CC}">
                  <c16:uniqueId val="{00000001-01B1-43ED-A80B-41887F253DB2}"/>
                </c:ext>
              </c:extLst>
            </c:dLbl>
            <c:dLbl>
              <c:idx val="5"/>
              <c:delete val="1"/>
              <c:extLst>
                <c:ext xmlns:c15="http://schemas.microsoft.com/office/drawing/2012/chart" uri="{CE6537A1-D6FC-4f65-9D91-7224C49458BB}"/>
                <c:ext xmlns:c16="http://schemas.microsoft.com/office/drawing/2014/chart" uri="{C3380CC4-5D6E-409C-BE32-E72D297353CC}">
                  <c16:uniqueId val="{00000004-01B1-43ED-A80B-41887F253DB2}"/>
                </c:ext>
              </c:extLst>
            </c:dLbl>
            <c:spPr>
              <a:noFill/>
              <a:ln>
                <a:noFill/>
              </a:ln>
              <a:effectLst/>
            </c:spPr>
            <c:txPr>
              <a:bodyPr rot="0" spcFirstLastPara="1" vertOverflow="ellipsis" vert="horz" wrap="square" anchor="ctr" anchorCtr="1"/>
              <a:lstStyle/>
              <a:p>
                <a:pPr>
                  <a:defRPr lang="ja-JP" sz="7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Cal!$N$56:$N$61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DB3E-4C6A-9E33-BFC560825910}"/>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1"/>
        <c:axPos val="l"/>
        <c:numFmt formatCode="General" sourceLinked="1"/>
        <c:majorTickMark val="none"/>
        <c:minorTickMark val="none"/>
        <c:tickLblPos val="nextTo"/>
        <c:crossAx val="613402159"/>
        <c:crosses val="autoZero"/>
        <c:auto val="1"/>
        <c:lblAlgn val="ctr"/>
        <c:lblOffset val="100"/>
        <c:noMultiLvlLbl val="0"/>
      </c:catAx>
      <c:valAx>
        <c:axId val="6134021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Aptos Narrow" panose="020B0004020202020204" pitchFamily="34" charset="0"/>
                <a:ea typeface="Yu Gothic UI" panose="020B0500000000000000" pitchFamily="50" charset="-128"/>
                <a:cs typeface="+mn-cs"/>
              </a:defRPr>
            </a:pPr>
            <a:endParaRPr lang="ja-JP"/>
          </a:p>
        </c:txPr>
        <c:crossAx val="613412239"/>
        <c:crosses val="autoZero"/>
        <c:crossBetween val="between"/>
      </c:valAx>
      <c:spPr>
        <a:noFill/>
        <a:ln w="25400">
          <a:noFill/>
        </a:ln>
        <a:effectLst/>
      </c:spPr>
    </c:plotArea>
    <c:legend>
      <c:legendPos val="b"/>
      <c:layout>
        <c:manualLayout>
          <c:xMode val="edge"/>
          <c:yMode val="edge"/>
          <c:x val="0.43381357633603024"/>
          <c:y val="0.12051145040167427"/>
          <c:w val="0.50148637888925562"/>
          <c:h val="0.11168430785510913"/>
        </c:manualLayout>
      </c:layout>
      <c:overlay val="0"/>
      <c:spPr>
        <a:solidFill>
          <a:srgbClr val="FFC000">
            <a:lumMod val="20000"/>
            <a:lumOff val="80000"/>
          </a:srgbClr>
        </a:solid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1"/>
          <c:order val="0"/>
          <c:tx>
            <c:v>2028</c:v>
          </c:tx>
          <c:spPr>
            <a:ln w="28575" cap="rnd">
              <a:solidFill>
                <a:srgbClr val="FF9900"/>
              </a:solidFill>
              <a:prstDash val="sysDot"/>
              <a:round/>
            </a:ln>
            <a:effectLst/>
          </c:spPr>
          <c:marker>
            <c:symbol val="none"/>
          </c:marker>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Cal!$G$48:$G$52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AFA-4F18-8813-D7BC9F47F592}"/>
            </c:ext>
          </c:extLst>
        </c:ser>
        <c:ser>
          <c:idx val="0"/>
          <c:order val="1"/>
          <c:tx>
            <c:v>2025</c:v>
          </c:tx>
          <c:spPr>
            <a:ln w="28575" cap="rnd">
              <a:solidFill>
                <a:srgbClr val="0000FF"/>
              </a:solidFill>
              <a:round/>
            </a:ln>
            <a:effectLst/>
          </c:spPr>
          <c:marker>
            <c:symbol val="none"/>
          </c:marker>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Cal!$E$48:$E$52</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0-BAFA-4F18-8813-D7BC9F47F592}"/>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6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55592574918938287"/>
          <c:y val="5.5519621536663635E-2"/>
          <c:w val="0.33999364203928767"/>
          <c:h val="0.2206807628428956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1"/>
          <c:order val="0"/>
          <c:tx>
            <c:v>2028</c:v>
          </c:tx>
          <c:spPr>
            <a:ln w="28575" cap="rnd">
              <a:solidFill>
                <a:srgbClr val="FF9900"/>
              </a:solidFill>
              <a:prstDash val="sysDot"/>
              <a:round/>
            </a:ln>
            <a:effectLst/>
          </c:spPr>
          <c:marker>
            <c:symbol val="none"/>
          </c:marker>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Cal!$F$48:$F$52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6074-48A4-83A7-EB765EA87473}"/>
            </c:ext>
          </c:extLst>
        </c:ser>
        <c:ser>
          <c:idx val="0"/>
          <c:order val="1"/>
          <c:tx>
            <c:v>2025</c:v>
          </c:tx>
          <c:spPr>
            <a:ln w="38100" cap="rnd">
              <a:solidFill>
                <a:srgbClr val="0000FF"/>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Cal!$D$48:$D$52</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0-6074-48A4-83A7-EB765EA87473}"/>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6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54814535885250304"/>
          <c:y val="7.5994877736447336E-2"/>
          <c:w val="0.31888932424469918"/>
          <c:h val="0.1948761923046888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1"/>
              </a:solidFill>
              <a:round/>
            </a:ln>
            <a:effectLst/>
          </c:spPr>
          <c:marker>
            <c:symbol val="none"/>
          </c:marker>
          <c:cat>
            <c:strRef>
              <c:f>Cal!$C$41:$C$43</c:f>
              <c:strCache>
                <c:ptCount val="3"/>
                <c:pt idx="0">
                  <c:v>Compliance</c:v>
                </c:pt>
                <c:pt idx="1">
                  <c:v>Governance</c:v>
                </c:pt>
                <c:pt idx="2">
                  <c:v>Risk</c:v>
                </c:pt>
              </c:strCache>
            </c:strRef>
          </c:cat>
          <c:val>
            <c:numRef>
              <c:f>Cal!$D$41:$D$43</c:f>
              <c:numCache>
                <c:formatCode>0.0</c:formatCode>
                <c:ptCount val="3"/>
                <c:pt idx="0">
                  <c:v>5</c:v>
                </c:pt>
                <c:pt idx="1">
                  <c:v>5</c:v>
                </c:pt>
                <c:pt idx="2">
                  <c:v>5</c:v>
                </c:pt>
              </c:numCache>
            </c:numRef>
          </c:val>
          <c:extLst>
            <c:ext xmlns:c16="http://schemas.microsoft.com/office/drawing/2014/chart" uri="{C3380CC4-5D6E-409C-BE32-E72D297353CC}">
              <c16:uniqueId val="{00000000-757F-4B28-9566-E7249F7AC73E}"/>
            </c:ext>
          </c:extLst>
        </c:ser>
        <c:ser>
          <c:idx val="1"/>
          <c:order val="1"/>
          <c:spPr>
            <a:ln w="28575" cap="rnd">
              <a:solidFill>
                <a:schemeClr val="accent2"/>
              </a:solidFill>
              <a:round/>
            </a:ln>
            <a:effectLst/>
          </c:spPr>
          <c:marker>
            <c:symbol val="none"/>
          </c:marker>
          <c:cat>
            <c:strRef>
              <c:f>Cal!$C$41:$C$43</c:f>
              <c:strCache>
                <c:ptCount val="3"/>
                <c:pt idx="0">
                  <c:v>Compliance</c:v>
                </c:pt>
                <c:pt idx="1">
                  <c:v>Governance</c:v>
                </c:pt>
                <c:pt idx="2">
                  <c:v>Risk</c:v>
                </c:pt>
              </c:strCache>
            </c:strRef>
          </c:cat>
          <c:val>
            <c:numRef>
              <c:f>Cal!$E$41:$E$43</c:f>
              <c:numCache>
                <c:formatCode>0.0</c:formatCode>
                <c:ptCount val="3"/>
              </c:numCache>
            </c:numRef>
          </c:val>
          <c:extLst>
            <c:ext xmlns:c16="http://schemas.microsoft.com/office/drawing/2014/chart" uri="{C3380CC4-5D6E-409C-BE32-E72D297353CC}">
              <c16:uniqueId val="{00000000-3B9D-46A8-8E3A-064108B2F5AA}"/>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1"/>
              </a:solidFill>
              <a:round/>
            </a:ln>
            <a:effectLst/>
          </c:spPr>
          <c:marker>
            <c:symbol val="none"/>
          </c:marker>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Cal!$E$48:$E$52</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0-001E-40D1-87D2-2B6F4596B1E1}"/>
            </c:ext>
          </c:extLst>
        </c:ser>
        <c:ser>
          <c:idx val="1"/>
          <c:order val="1"/>
          <c:spPr>
            <a:ln w="28575" cap="rnd">
              <a:solidFill>
                <a:schemeClr val="accent2"/>
              </a:solidFill>
              <a:round/>
            </a:ln>
            <a:effectLst/>
          </c:spPr>
          <c:marker>
            <c:symbol val="none"/>
          </c:marker>
          <c:val>
            <c:numRef>
              <c:f>Cal!$G$48:$G$52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004-46BD-B5EE-509D415D7527}"/>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Cal!$K$55</c:f>
              <c:strCache>
                <c:ptCount val="1"/>
                <c:pt idx="0">
                  <c:v>B+ or higher</c:v>
                </c:pt>
              </c:strCache>
            </c:strRef>
          </c:tx>
          <c:spPr>
            <a:solidFill>
              <a:schemeClr val="accent1"/>
            </a:solidFill>
            <a:ln>
              <a:noFill/>
            </a:ln>
            <a:effectLst/>
          </c:spPr>
          <c:invertIfNegative val="0"/>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Cal!$K$56:$K$61</c:f>
              <c:numCache>
                <c:formatCode>0%</c:formatCode>
                <c:ptCount val="6"/>
                <c:pt idx="0">
                  <c:v>1</c:v>
                </c:pt>
                <c:pt idx="1">
                  <c:v>0</c:v>
                </c:pt>
                <c:pt idx="2">
                  <c:v>1</c:v>
                </c:pt>
                <c:pt idx="3">
                  <c:v>0</c:v>
                </c:pt>
                <c:pt idx="4">
                  <c:v>1</c:v>
                </c:pt>
                <c:pt idx="5">
                  <c:v>0</c:v>
                </c:pt>
              </c:numCache>
            </c:numRef>
          </c:val>
          <c:extLst>
            <c:ext xmlns:c16="http://schemas.microsoft.com/office/drawing/2014/chart" uri="{C3380CC4-5D6E-409C-BE32-E72D297353CC}">
              <c16:uniqueId val="{00000000-2D8D-42C8-99F3-C3EECF694A1D}"/>
            </c:ext>
          </c:extLst>
        </c:ser>
        <c:ser>
          <c:idx val="1"/>
          <c:order val="1"/>
          <c:tx>
            <c:strRef>
              <c:f>Cal!$L$55</c:f>
              <c:strCache>
                <c:ptCount val="1"/>
                <c:pt idx="0">
                  <c:v>B</c:v>
                </c:pt>
              </c:strCache>
            </c:strRef>
          </c:tx>
          <c:spPr>
            <a:solidFill>
              <a:schemeClr val="accent2"/>
            </a:solidFill>
            <a:ln>
              <a:noFill/>
            </a:ln>
            <a:effectLst/>
          </c:spPr>
          <c:invertIfNegative val="0"/>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Cal!$L$56:$L$61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D8D-42C8-99F3-C3EECF694A1D}"/>
            </c:ext>
          </c:extLst>
        </c:ser>
        <c:ser>
          <c:idx val="2"/>
          <c:order val="2"/>
          <c:tx>
            <c:strRef>
              <c:f>Cal!$M$55</c:f>
              <c:strCache>
                <c:ptCount val="1"/>
                <c:pt idx="0">
                  <c:v>B-</c:v>
                </c:pt>
              </c:strCache>
            </c:strRef>
          </c:tx>
          <c:spPr>
            <a:solidFill>
              <a:schemeClr val="accent3"/>
            </a:solidFill>
            <a:ln>
              <a:noFill/>
            </a:ln>
            <a:effectLst/>
          </c:spPr>
          <c:invertIfNegative val="0"/>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Cal!$M$56:$M$61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D8D-42C8-99F3-C3EECF694A1D}"/>
            </c:ext>
          </c:extLst>
        </c:ser>
        <c:ser>
          <c:idx val="3"/>
          <c:order val="3"/>
          <c:tx>
            <c:strRef>
              <c:f>Cal!$N$55</c:f>
              <c:strCache>
                <c:ptCount val="1"/>
                <c:pt idx="0">
                  <c:v>C</c:v>
                </c:pt>
              </c:strCache>
            </c:strRef>
          </c:tx>
          <c:spPr>
            <a:solidFill>
              <a:schemeClr val="accent4"/>
            </a:solidFill>
            <a:ln>
              <a:noFill/>
            </a:ln>
            <a:effectLst/>
          </c:spPr>
          <c:invertIfNegative val="0"/>
          <c:cat>
            <c:multiLvlStrRef>
              <c:f>Cal!$I$56:$J$61</c:f>
              <c:multiLvlStrCache>
                <c:ptCount val="6"/>
                <c:lvl>
                  <c:pt idx="0">
                    <c:v>2025</c:v>
                  </c:pt>
                  <c:pt idx="1">
                    <c:v>2026</c:v>
                  </c:pt>
                  <c:pt idx="2">
                    <c:v>2025</c:v>
                  </c:pt>
                  <c:pt idx="3">
                    <c:v>2026</c:v>
                  </c:pt>
                  <c:pt idx="4">
                    <c:v>2025</c:v>
                  </c:pt>
                  <c:pt idx="5">
                    <c:v>2026</c:v>
                  </c:pt>
                </c:lvl>
                <c:lvl>
                  <c:pt idx="0">
                    <c:v>Governance</c:v>
                  </c:pt>
                  <c:pt idx="2">
                    <c:v>Compliance</c:v>
                  </c:pt>
                  <c:pt idx="4">
                    <c:v>Risk</c:v>
                  </c:pt>
                </c:lvl>
              </c:multiLvlStrCache>
            </c:multiLvlStrRef>
          </c:cat>
          <c:val>
            <c:numRef>
              <c:f>Cal!$N$56:$N$61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D8D-42C8-99F3-C3EECF694A1D}"/>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613402159"/>
        <c:crosses val="autoZero"/>
        <c:auto val="1"/>
        <c:lblAlgn val="ctr"/>
        <c:lblOffset val="100"/>
        <c:noMultiLvlLbl val="0"/>
      </c:catAx>
      <c:valAx>
        <c:axId val="6134021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613412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1"/>
              </a:solidFill>
              <a:round/>
            </a:ln>
            <a:effectLst/>
          </c:spPr>
          <c:marker>
            <c:symbol val="none"/>
          </c:marker>
          <c:cat>
            <c:strRef>
              <c:f>Cal!$C$48:$C$52</c:f>
              <c:strCache>
                <c:ptCount val="5"/>
                <c:pt idx="0">
                  <c:v>Issue solving</c:v>
                </c:pt>
                <c:pt idx="1">
                  <c:v>Risk Management</c:v>
                </c:pt>
                <c:pt idx="2">
                  <c:v>Business Strategy Adjustment</c:v>
                </c:pt>
                <c:pt idx="3">
                  <c:v>Independency and Continuity</c:v>
                </c:pt>
                <c:pt idx="4">
                  <c:v>Integration/ Incorporation</c:v>
                </c:pt>
              </c:strCache>
            </c:strRef>
          </c:cat>
          <c:val>
            <c:numRef>
              <c:f>Cal!$D$48:$D$52</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0-F1C1-48A9-95C4-E9436B2B44F5}"/>
            </c:ext>
          </c:extLst>
        </c:ser>
        <c:ser>
          <c:idx val="1"/>
          <c:order val="1"/>
          <c:spPr>
            <a:ln w="28575" cap="rnd">
              <a:solidFill>
                <a:schemeClr val="accent2"/>
              </a:solidFill>
              <a:round/>
            </a:ln>
            <a:effectLst/>
          </c:spPr>
          <c:marker>
            <c:symbol val="none"/>
          </c:marker>
          <c:val>
            <c:numRef>
              <c:f>Cal!$F$48:$F$52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F1C1-48A9-95C4-E9436B2B44F5}"/>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4.emf"/><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12</xdr:col>
      <xdr:colOff>244507</xdr:colOff>
      <xdr:row>8</xdr:row>
      <xdr:rowOff>63089</xdr:rowOff>
    </xdr:from>
    <xdr:to>
      <xdr:col>20</xdr:col>
      <xdr:colOff>28024</xdr:colOff>
      <xdr:row>18</xdr:row>
      <xdr:rowOff>45743</xdr:rowOff>
    </xdr:to>
    <xdr:graphicFrame macro="">
      <xdr:nvGraphicFramePr>
        <xdr:cNvPr id="9" name="Chart 8">
          <a:extLst>
            <a:ext uri="{FF2B5EF4-FFF2-40B4-BE49-F238E27FC236}">
              <a16:creationId xmlns:a16="http://schemas.microsoft.com/office/drawing/2014/main" id="{E2398869-8EAA-4774-8B11-1DEB66EB8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15</xdr:col>
      <xdr:colOff>485591</xdr:colOff>
      <xdr:row>9</xdr:row>
      <xdr:rowOff>75664</xdr:rowOff>
    </xdr:from>
    <xdr:ext cx="318292" cy="874920"/>
    <xdr:sp macro="" textlink="">
      <xdr:nvSpPr>
        <xdr:cNvPr id="5" name="テキスト ボックス 6">
          <a:extLst>
            <a:ext uri="{FF2B5EF4-FFF2-40B4-BE49-F238E27FC236}">
              <a16:creationId xmlns:a16="http://schemas.microsoft.com/office/drawing/2014/main" id="{DB73FEDB-7BA9-4818-BA15-097E96D7C06F}"/>
            </a:ext>
          </a:extLst>
        </xdr:cNvPr>
        <xdr:cNvSpPr txBox="1"/>
      </xdr:nvSpPr>
      <xdr:spPr>
        <a:xfrm>
          <a:off x="8085884" y="2683543"/>
          <a:ext cx="318292" cy="874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solidFill>
                <a:schemeClr val="tx1">
                  <a:lumMod val="50000"/>
                  <a:lumOff val="50000"/>
                </a:schemeClr>
              </a:solidFill>
              <a:effectLst>
                <a:glow rad="63500">
                  <a:schemeClr val="bg1">
                    <a:alpha val="70000"/>
                  </a:schemeClr>
                </a:glow>
              </a:effectLst>
            </a:rPr>
            <a:t>A</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C</a:t>
          </a:r>
          <a:endParaRPr kumimoji="1" lang="ja-JP" altLang="en-US" sz="1000">
            <a:solidFill>
              <a:schemeClr val="tx1">
                <a:lumMod val="50000"/>
                <a:lumOff val="50000"/>
              </a:schemeClr>
            </a:solidFill>
            <a:effectLst>
              <a:glow rad="63500">
                <a:schemeClr val="bg1">
                  <a:alpha val="70000"/>
                </a:schemeClr>
              </a:glow>
            </a:effectLst>
          </a:endParaRPr>
        </a:p>
      </xdr:txBody>
    </xdr:sp>
    <xdr:clientData/>
  </xdr:oneCellAnchor>
  <xdr:twoCellAnchor>
    <xdr:from>
      <xdr:col>16</xdr:col>
      <xdr:colOff>352000</xdr:colOff>
      <xdr:row>17</xdr:row>
      <xdr:rowOff>44482</xdr:rowOff>
    </xdr:from>
    <xdr:to>
      <xdr:col>23</xdr:col>
      <xdr:colOff>524552</xdr:colOff>
      <xdr:row>25</xdr:row>
      <xdr:rowOff>28936</xdr:rowOff>
    </xdr:to>
    <xdr:graphicFrame macro="">
      <xdr:nvGraphicFramePr>
        <xdr:cNvPr id="8" name="Chart 7">
          <a:extLst>
            <a:ext uri="{FF2B5EF4-FFF2-40B4-BE49-F238E27FC236}">
              <a16:creationId xmlns:a16="http://schemas.microsoft.com/office/drawing/2014/main" id="{0D089370-E94A-43F5-8541-B6F6044B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211669</xdr:colOff>
      <xdr:row>29</xdr:row>
      <xdr:rowOff>16909</xdr:rowOff>
    </xdr:from>
    <xdr:to>
      <xdr:col>19</xdr:col>
      <xdr:colOff>366375</xdr:colOff>
      <xdr:row>38</xdr:row>
      <xdr:rowOff>6906</xdr:rowOff>
    </xdr:to>
    <xdr:graphicFrame macro="">
      <xdr:nvGraphicFramePr>
        <xdr:cNvPr id="10" name="Chart 9">
          <a:extLst>
            <a:ext uri="{FF2B5EF4-FFF2-40B4-BE49-F238E27FC236}">
              <a16:creationId xmlns:a16="http://schemas.microsoft.com/office/drawing/2014/main" id="{A035DA5E-0915-4329-A67E-48711D28B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134620</xdr:colOff>
      <xdr:row>29</xdr:row>
      <xdr:rowOff>25227</xdr:rowOff>
    </xdr:from>
    <xdr:to>
      <xdr:col>25</xdr:col>
      <xdr:colOff>368708</xdr:colOff>
      <xdr:row>38</xdr:row>
      <xdr:rowOff>879</xdr:rowOff>
    </xdr:to>
    <xdr:graphicFrame macro="">
      <xdr:nvGraphicFramePr>
        <xdr:cNvPr id="11" name="Chart 10">
          <a:extLst>
            <a:ext uri="{FF2B5EF4-FFF2-40B4-BE49-F238E27FC236}">
              <a16:creationId xmlns:a16="http://schemas.microsoft.com/office/drawing/2014/main" id="{0B4BFF33-E44F-47F8-B6BC-A8DA1C342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16</xdr:col>
      <xdr:colOff>51674</xdr:colOff>
      <xdr:row>30</xdr:row>
      <xdr:rowOff>218806</xdr:rowOff>
    </xdr:from>
    <xdr:ext cx="230191" cy="640240"/>
    <xdr:sp macro="" textlink="">
      <xdr:nvSpPr>
        <xdr:cNvPr id="2" name="テキスト ボックス 6">
          <a:extLst>
            <a:ext uri="{FF2B5EF4-FFF2-40B4-BE49-F238E27FC236}">
              <a16:creationId xmlns:a16="http://schemas.microsoft.com/office/drawing/2014/main" id="{9479E9D6-6DD7-442D-BB27-BE375984D36C}"/>
            </a:ext>
          </a:extLst>
        </xdr:cNvPr>
        <xdr:cNvSpPr txBox="1"/>
      </xdr:nvSpPr>
      <xdr:spPr>
        <a:xfrm>
          <a:off x="8183943" y="7818795"/>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xdr:oneCellAnchor>
    <xdr:from>
      <xdr:col>21</xdr:col>
      <xdr:colOff>29677</xdr:colOff>
      <xdr:row>30</xdr:row>
      <xdr:rowOff>230256</xdr:rowOff>
    </xdr:from>
    <xdr:ext cx="230191" cy="640240"/>
    <xdr:sp macro="" textlink="">
      <xdr:nvSpPr>
        <xdr:cNvPr id="3" name="テキスト ボックス 6">
          <a:extLst>
            <a:ext uri="{FF2B5EF4-FFF2-40B4-BE49-F238E27FC236}">
              <a16:creationId xmlns:a16="http://schemas.microsoft.com/office/drawing/2014/main" id="{994BB9A2-2CFF-4730-AD48-B73E4EAA5E1B}"/>
            </a:ext>
          </a:extLst>
        </xdr:cNvPr>
        <xdr:cNvSpPr txBox="1"/>
      </xdr:nvSpPr>
      <xdr:spPr>
        <a:xfrm>
          <a:off x="10859313" y="7902211"/>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mc:AlternateContent xmlns:mc="http://schemas.openxmlformats.org/markup-compatibility/2006">
    <mc:Choice xmlns:a14="http://schemas.microsoft.com/office/drawing/2010/main" Requires="a14">
      <xdr:twoCellAnchor editAs="oneCell">
        <xdr:from>
          <xdr:col>19</xdr:col>
          <xdr:colOff>146004</xdr:colOff>
          <xdr:row>7</xdr:row>
          <xdr:rowOff>87647</xdr:rowOff>
        </xdr:from>
        <xdr:to>
          <xdr:col>23</xdr:col>
          <xdr:colOff>464298</xdr:colOff>
          <xdr:row>16</xdr:row>
          <xdr:rowOff>133932</xdr:rowOff>
        </xdr:to>
        <xdr:pic>
          <xdr:nvPicPr>
            <xdr:cNvPr id="7" name="Picture 6">
              <a:extLst>
                <a:ext uri="{FF2B5EF4-FFF2-40B4-BE49-F238E27FC236}">
                  <a16:creationId xmlns:a16="http://schemas.microsoft.com/office/drawing/2014/main" id="{113D0AF9-CC8F-6036-9893-003FB07B3E8C}"/>
                </a:ext>
              </a:extLst>
            </xdr:cNvPr>
            <xdr:cNvPicPr>
              <a:picLocks noChangeAspect="1" noChangeArrowheads="1"/>
              <a:extLst>
                <a:ext uri="{84589F7E-364E-4C9E-8A38-B11213B215E9}">
                  <a14:cameraTool cellRange="memo!$B$2:$D$7" spid="_x0000_s1489"/>
                </a:ext>
              </a:extLst>
            </xdr:cNvPicPr>
          </xdr:nvPicPr>
          <xdr:blipFill>
            <a:blip xmlns:r="http://schemas.openxmlformats.org/officeDocument/2006/relationships" r:embed="rId5"/>
            <a:srcRect/>
            <a:stretch>
              <a:fillRect/>
            </a:stretch>
          </xdr:blipFill>
          <xdr:spPr bwMode="auto">
            <a:xfrm>
              <a:off x="9839588" y="2279240"/>
              <a:ext cx="2472995" cy="16899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22</xdr:col>
      <xdr:colOff>256761</xdr:colOff>
      <xdr:row>2</xdr:row>
      <xdr:rowOff>104500</xdr:rowOff>
    </xdr:from>
    <xdr:to>
      <xdr:col>23</xdr:col>
      <xdr:colOff>283468</xdr:colOff>
      <xdr:row>2</xdr:row>
      <xdr:rowOff>626458</xdr:rowOff>
    </xdr:to>
    <xdr:pic>
      <xdr:nvPicPr>
        <xdr:cNvPr id="4" name="図 13">
          <a:extLst>
            <a:ext uri="{FF2B5EF4-FFF2-40B4-BE49-F238E27FC236}">
              <a16:creationId xmlns:a16="http://schemas.microsoft.com/office/drawing/2014/main" id="{590FFCB9-F8B8-443D-A41B-32818508959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703326" y="518630"/>
          <a:ext cx="573359" cy="521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181883</xdr:colOff>
      <xdr:row>7</xdr:row>
      <xdr:rowOff>59872</xdr:rowOff>
    </xdr:from>
    <xdr:to>
      <xdr:col>19</xdr:col>
      <xdr:colOff>462643</xdr:colOff>
      <xdr:row>18</xdr:row>
      <xdr:rowOff>97972</xdr:rowOff>
    </xdr:to>
    <xdr:graphicFrame macro="">
      <xdr:nvGraphicFramePr>
        <xdr:cNvPr id="2" name="Chart 1">
          <a:extLst>
            <a:ext uri="{FF2B5EF4-FFF2-40B4-BE49-F238E27FC236}">
              <a16:creationId xmlns:a16="http://schemas.microsoft.com/office/drawing/2014/main" id="{D61F37D2-69E9-4733-8AC6-C00688002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15</xdr:col>
      <xdr:colOff>410296</xdr:colOff>
      <xdr:row>9</xdr:row>
      <xdr:rowOff>152839</xdr:rowOff>
    </xdr:from>
    <xdr:ext cx="318292" cy="874920"/>
    <xdr:sp macro="" textlink="">
      <xdr:nvSpPr>
        <xdr:cNvPr id="3" name="テキスト ボックス 6">
          <a:extLst>
            <a:ext uri="{FF2B5EF4-FFF2-40B4-BE49-F238E27FC236}">
              <a16:creationId xmlns:a16="http://schemas.microsoft.com/office/drawing/2014/main" id="{06907203-361D-4E1E-A645-DE0CDA82B8EE}"/>
            </a:ext>
          </a:extLst>
        </xdr:cNvPr>
        <xdr:cNvSpPr txBox="1"/>
      </xdr:nvSpPr>
      <xdr:spPr>
        <a:xfrm>
          <a:off x="6836496" y="2788089"/>
          <a:ext cx="318292" cy="874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solidFill>
                <a:schemeClr val="tx1">
                  <a:lumMod val="50000"/>
                  <a:lumOff val="50000"/>
                </a:schemeClr>
              </a:solidFill>
              <a:effectLst>
                <a:glow rad="63500">
                  <a:schemeClr val="bg1">
                    <a:alpha val="70000"/>
                  </a:schemeClr>
                </a:glow>
              </a:effectLst>
            </a:rPr>
            <a:t>A</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C</a:t>
          </a:r>
          <a:endParaRPr kumimoji="1" lang="ja-JP" altLang="en-US" sz="1000">
            <a:solidFill>
              <a:schemeClr val="tx1">
                <a:lumMod val="50000"/>
                <a:lumOff val="50000"/>
              </a:schemeClr>
            </a:solidFill>
            <a:effectLst>
              <a:glow rad="63500">
                <a:schemeClr val="bg1">
                  <a:alpha val="70000"/>
                </a:schemeClr>
              </a:glow>
            </a:effectLst>
          </a:endParaRPr>
        </a:p>
      </xdr:txBody>
    </xdr:sp>
    <xdr:clientData/>
  </xdr:oneCellAnchor>
  <xdr:twoCellAnchor>
    <xdr:from>
      <xdr:col>17</xdr:col>
      <xdr:colOff>0</xdr:colOff>
      <xdr:row>17</xdr:row>
      <xdr:rowOff>31018</xdr:rowOff>
    </xdr:from>
    <xdr:to>
      <xdr:col>24</xdr:col>
      <xdr:colOff>18405</xdr:colOff>
      <xdr:row>25</xdr:row>
      <xdr:rowOff>6569</xdr:rowOff>
    </xdr:to>
    <xdr:graphicFrame macro="">
      <xdr:nvGraphicFramePr>
        <xdr:cNvPr id="4" name="Chart 3">
          <a:extLst>
            <a:ext uri="{FF2B5EF4-FFF2-40B4-BE49-F238E27FC236}">
              <a16:creationId xmlns:a16="http://schemas.microsoft.com/office/drawing/2014/main" id="{BD40F7F0-0DD2-4F81-A57C-921FD6D32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200227</xdr:colOff>
      <xdr:row>29</xdr:row>
      <xdr:rowOff>35688</xdr:rowOff>
    </xdr:from>
    <xdr:to>
      <xdr:col>19</xdr:col>
      <xdr:colOff>393135</xdr:colOff>
      <xdr:row>37</xdr:row>
      <xdr:rowOff>216165</xdr:rowOff>
    </xdr:to>
    <xdr:graphicFrame macro="">
      <xdr:nvGraphicFramePr>
        <xdr:cNvPr id="5" name="Chart 4">
          <a:extLst>
            <a:ext uri="{FF2B5EF4-FFF2-40B4-BE49-F238E27FC236}">
              <a16:creationId xmlns:a16="http://schemas.microsoft.com/office/drawing/2014/main" id="{340F2AEC-134D-4C62-9031-A54D68470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141214</xdr:colOff>
      <xdr:row>29</xdr:row>
      <xdr:rowOff>16857</xdr:rowOff>
    </xdr:from>
    <xdr:to>
      <xdr:col>25</xdr:col>
      <xdr:colOff>15875</xdr:colOff>
      <xdr:row>38</xdr:row>
      <xdr:rowOff>1731</xdr:rowOff>
    </xdr:to>
    <xdr:graphicFrame macro="">
      <xdr:nvGraphicFramePr>
        <xdr:cNvPr id="6" name="Chart 5">
          <a:extLst>
            <a:ext uri="{FF2B5EF4-FFF2-40B4-BE49-F238E27FC236}">
              <a16:creationId xmlns:a16="http://schemas.microsoft.com/office/drawing/2014/main" id="{5A759171-8326-4BFC-BB48-65DB30986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16</xdr:col>
      <xdr:colOff>11367</xdr:colOff>
      <xdr:row>31</xdr:row>
      <xdr:rowOff>3174</xdr:rowOff>
    </xdr:from>
    <xdr:ext cx="230191" cy="640240"/>
    <xdr:sp macro="" textlink="">
      <xdr:nvSpPr>
        <xdr:cNvPr id="7" name="テキスト ボックス 6">
          <a:extLst>
            <a:ext uri="{FF2B5EF4-FFF2-40B4-BE49-F238E27FC236}">
              <a16:creationId xmlns:a16="http://schemas.microsoft.com/office/drawing/2014/main" id="{C6CEB8B5-B43B-473C-8D23-06BCC79AD9C0}"/>
            </a:ext>
          </a:extLst>
        </xdr:cNvPr>
        <xdr:cNvSpPr txBox="1"/>
      </xdr:nvSpPr>
      <xdr:spPr>
        <a:xfrm>
          <a:off x="6932867" y="7013574"/>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xdr:oneCellAnchor>
    <xdr:from>
      <xdr:col>21</xdr:col>
      <xdr:colOff>27750</xdr:colOff>
      <xdr:row>31</xdr:row>
      <xdr:rowOff>24987</xdr:rowOff>
    </xdr:from>
    <xdr:ext cx="230191" cy="640240"/>
    <xdr:sp macro="" textlink="">
      <xdr:nvSpPr>
        <xdr:cNvPr id="8" name="テキスト ボックス 6">
          <a:extLst>
            <a:ext uri="{FF2B5EF4-FFF2-40B4-BE49-F238E27FC236}">
              <a16:creationId xmlns:a16="http://schemas.microsoft.com/office/drawing/2014/main" id="{EF1924C8-1AE7-421C-AA02-C20C464ED668}"/>
            </a:ext>
          </a:extLst>
        </xdr:cNvPr>
        <xdr:cNvSpPr txBox="1"/>
      </xdr:nvSpPr>
      <xdr:spPr>
        <a:xfrm>
          <a:off x="9425750" y="7035387"/>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mc:AlternateContent xmlns:mc="http://schemas.openxmlformats.org/markup-compatibility/2006">
    <mc:Choice xmlns:a14="http://schemas.microsoft.com/office/drawing/2010/main" Requires="a14">
      <xdr:twoCellAnchor editAs="oneCell">
        <xdr:from>
          <xdr:col>19</xdr:col>
          <xdr:colOff>32459</xdr:colOff>
          <xdr:row>6</xdr:row>
          <xdr:rowOff>181600</xdr:rowOff>
        </xdr:from>
        <xdr:to>
          <xdr:col>24</xdr:col>
          <xdr:colOff>290608</xdr:colOff>
          <xdr:row>16</xdr:row>
          <xdr:rowOff>214312</xdr:rowOff>
        </xdr:to>
        <xdr:pic>
          <xdr:nvPicPr>
            <xdr:cNvPr id="9" name="Picture 8">
              <a:extLst>
                <a:ext uri="{FF2B5EF4-FFF2-40B4-BE49-F238E27FC236}">
                  <a16:creationId xmlns:a16="http://schemas.microsoft.com/office/drawing/2014/main" id="{0AC14986-C888-4191-8623-6CBCBF0D6098}"/>
                </a:ext>
              </a:extLst>
            </xdr:cNvPr>
            <xdr:cNvPicPr>
              <a:picLocks noChangeAspect="1" noChangeArrowheads="1"/>
              <a:extLst>
                <a:ext uri="{84589F7E-364E-4C9E-8A38-B11213B215E9}">
                  <a14:cameraTool cellRange="memo!$B$2:$D$7" spid="_x0000_s19494"/>
                </a:ext>
              </a:extLst>
            </xdr:cNvPicPr>
          </xdr:nvPicPr>
          <xdr:blipFill>
            <a:blip xmlns:r="http://schemas.openxmlformats.org/officeDocument/2006/relationships" r:embed="rId5"/>
            <a:srcRect/>
            <a:stretch>
              <a:fillRect/>
            </a:stretch>
          </xdr:blipFill>
          <xdr:spPr bwMode="auto">
            <a:xfrm>
              <a:off x="8517647" y="2269163"/>
              <a:ext cx="2758461" cy="200121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147246</xdr:colOff>
      <xdr:row>1</xdr:row>
      <xdr:rowOff>92029</xdr:rowOff>
    </xdr:from>
    <xdr:to>
      <xdr:col>21</xdr:col>
      <xdr:colOff>36811</xdr:colOff>
      <xdr:row>2</xdr:row>
      <xdr:rowOff>285290</xdr:rowOff>
    </xdr:to>
    <xdr:sp macro="" textlink="">
      <xdr:nvSpPr>
        <xdr:cNvPr id="10" name="TextBox 9">
          <a:extLst>
            <a:ext uri="{FF2B5EF4-FFF2-40B4-BE49-F238E27FC236}">
              <a16:creationId xmlns:a16="http://schemas.microsoft.com/office/drawing/2014/main" id="{227B0810-A3C5-4B0C-A62A-5A5BB8F84E48}"/>
            </a:ext>
          </a:extLst>
        </xdr:cNvPr>
        <xdr:cNvSpPr txBox="1"/>
      </xdr:nvSpPr>
      <xdr:spPr>
        <a:xfrm>
          <a:off x="6573446" y="276179"/>
          <a:ext cx="2861365" cy="4218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F0000"/>
              </a:solidFill>
              <a:latin typeface="Aptos Narrow" panose="020B0004020202020204" pitchFamily="34" charset="0"/>
            </a:rPr>
            <a:t>Report</a:t>
          </a:r>
          <a:r>
            <a:rPr lang="en-US" sz="2000" b="1" baseline="0">
              <a:solidFill>
                <a:srgbClr val="FF0000"/>
              </a:solidFill>
              <a:latin typeface="Aptos Narrow" panose="020B0004020202020204" pitchFamily="34" charset="0"/>
            </a:rPr>
            <a:t> View</a:t>
          </a:r>
          <a:endParaRPr lang="en-US" sz="2000" b="1">
            <a:solidFill>
              <a:srgbClr val="FF0000"/>
            </a:solidFill>
            <a:latin typeface="Aptos Narrow"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181883</xdr:colOff>
      <xdr:row>7</xdr:row>
      <xdr:rowOff>59872</xdr:rowOff>
    </xdr:from>
    <xdr:to>
      <xdr:col>19</xdr:col>
      <xdr:colOff>462643</xdr:colOff>
      <xdr:row>18</xdr:row>
      <xdr:rowOff>97972</xdr:rowOff>
    </xdr:to>
    <xdr:graphicFrame macro="">
      <xdr:nvGraphicFramePr>
        <xdr:cNvPr id="6" name="Chart 5">
          <a:extLst>
            <a:ext uri="{FF2B5EF4-FFF2-40B4-BE49-F238E27FC236}">
              <a16:creationId xmlns:a16="http://schemas.microsoft.com/office/drawing/2014/main" id="{CF7F9D7A-66D6-4B5F-A2D8-645804FA1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15</xdr:col>
      <xdr:colOff>410296</xdr:colOff>
      <xdr:row>9</xdr:row>
      <xdr:rowOff>152839</xdr:rowOff>
    </xdr:from>
    <xdr:ext cx="318292" cy="874920"/>
    <xdr:sp macro="" textlink="">
      <xdr:nvSpPr>
        <xdr:cNvPr id="3" name="テキスト ボックス 6">
          <a:extLst>
            <a:ext uri="{FF2B5EF4-FFF2-40B4-BE49-F238E27FC236}">
              <a16:creationId xmlns:a16="http://schemas.microsoft.com/office/drawing/2014/main" id="{63A2E384-EF83-4E33-ABB2-AD11C530F061}"/>
            </a:ext>
          </a:extLst>
        </xdr:cNvPr>
        <xdr:cNvSpPr txBox="1"/>
      </xdr:nvSpPr>
      <xdr:spPr>
        <a:xfrm>
          <a:off x="7964606" y="2961072"/>
          <a:ext cx="318292" cy="874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solidFill>
                <a:schemeClr val="tx1">
                  <a:lumMod val="50000"/>
                  <a:lumOff val="50000"/>
                </a:schemeClr>
              </a:solidFill>
              <a:effectLst>
                <a:glow rad="63500">
                  <a:schemeClr val="bg1">
                    <a:alpha val="70000"/>
                  </a:schemeClr>
                </a:glow>
              </a:effectLst>
            </a:rPr>
            <a:t>A</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C</a:t>
          </a:r>
          <a:endParaRPr kumimoji="1" lang="ja-JP" altLang="en-US" sz="1000">
            <a:solidFill>
              <a:schemeClr val="tx1">
                <a:lumMod val="50000"/>
                <a:lumOff val="50000"/>
              </a:schemeClr>
            </a:solidFill>
            <a:effectLst>
              <a:glow rad="63500">
                <a:schemeClr val="bg1">
                  <a:alpha val="70000"/>
                </a:schemeClr>
              </a:glow>
            </a:effectLst>
          </a:endParaRPr>
        </a:p>
      </xdr:txBody>
    </xdr:sp>
    <xdr:clientData/>
  </xdr:oneCellAnchor>
  <xdr:twoCellAnchor>
    <xdr:from>
      <xdr:col>17</xdr:col>
      <xdr:colOff>0</xdr:colOff>
      <xdr:row>17</xdr:row>
      <xdr:rowOff>31018</xdr:rowOff>
    </xdr:from>
    <xdr:to>
      <xdr:col>24</xdr:col>
      <xdr:colOff>18405</xdr:colOff>
      <xdr:row>25</xdr:row>
      <xdr:rowOff>6569</xdr:rowOff>
    </xdr:to>
    <xdr:graphicFrame macro="">
      <xdr:nvGraphicFramePr>
        <xdr:cNvPr id="7" name="Chart 6">
          <a:extLst>
            <a:ext uri="{FF2B5EF4-FFF2-40B4-BE49-F238E27FC236}">
              <a16:creationId xmlns:a16="http://schemas.microsoft.com/office/drawing/2014/main" id="{CA6D9953-00B2-49A8-A3DE-5C4C2AABE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200227</xdr:colOff>
      <xdr:row>29</xdr:row>
      <xdr:rowOff>35688</xdr:rowOff>
    </xdr:from>
    <xdr:to>
      <xdr:col>19</xdr:col>
      <xdr:colOff>393135</xdr:colOff>
      <xdr:row>37</xdr:row>
      <xdr:rowOff>216165</xdr:rowOff>
    </xdr:to>
    <xdr:graphicFrame macro="">
      <xdr:nvGraphicFramePr>
        <xdr:cNvPr id="9" name="Chart 8">
          <a:extLst>
            <a:ext uri="{FF2B5EF4-FFF2-40B4-BE49-F238E27FC236}">
              <a16:creationId xmlns:a16="http://schemas.microsoft.com/office/drawing/2014/main" id="{D736C377-E4AD-4733-A3FA-BCA1B45E5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141214</xdr:colOff>
      <xdr:row>29</xdr:row>
      <xdr:rowOff>16857</xdr:rowOff>
    </xdr:from>
    <xdr:to>
      <xdr:col>25</xdr:col>
      <xdr:colOff>15875</xdr:colOff>
      <xdr:row>38</xdr:row>
      <xdr:rowOff>1731</xdr:rowOff>
    </xdr:to>
    <xdr:graphicFrame macro="">
      <xdr:nvGraphicFramePr>
        <xdr:cNvPr id="10" name="Chart 9">
          <a:extLst>
            <a:ext uri="{FF2B5EF4-FFF2-40B4-BE49-F238E27FC236}">
              <a16:creationId xmlns:a16="http://schemas.microsoft.com/office/drawing/2014/main" id="{B19DF2AF-EBEB-4C2B-83AF-C781A9F94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16</xdr:col>
      <xdr:colOff>11367</xdr:colOff>
      <xdr:row>31</xdr:row>
      <xdr:rowOff>3174</xdr:rowOff>
    </xdr:from>
    <xdr:ext cx="230191" cy="640240"/>
    <xdr:sp macro="" textlink="">
      <xdr:nvSpPr>
        <xdr:cNvPr id="5" name="テキスト ボックス 6">
          <a:extLst>
            <a:ext uri="{FF2B5EF4-FFF2-40B4-BE49-F238E27FC236}">
              <a16:creationId xmlns:a16="http://schemas.microsoft.com/office/drawing/2014/main" id="{B6381EAD-234D-40E1-A39C-555711CCCD79}"/>
            </a:ext>
          </a:extLst>
        </xdr:cNvPr>
        <xdr:cNvSpPr txBox="1"/>
      </xdr:nvSpPr>
      <xdr:spPr>
        <a:xfrm>
          <a:off x="8154878" y="7754052"/>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xdr:oneCellAnchor>
    <xdr:from>
      <xdr:col>21</xdr:col>
      <xdr:colOff>27750</xdr:colOff>
      <xdr:row>31</xdr:row>
      <xdr:rowOff>24987</xdr:rowOff>
    </xdr:from>
    <xdr:ext cx="230191" cy="640240"/>
    <xdr:sp macro="" textlink="">
      <xdr:nvSpPr>
        <xdr:cNvPr id="8" name="テキスト ボックス 6">
          <a:extLst>
            <a:ext uri="{FF2B5EF4-FFF2-40B4-BE49-F238E27FC236}">
              <a16:creationId xmlns:a16="http://schemas.microsoft.com/office/drawing/2014/main" id="{0AD6FF97-4F4A-424B-9FD8-81A5A158B244}"/>
            </a:ext>
          </a:extLst>
        </xdr:cNvPr>
        <xdr:cNvSpPr txBox="1"/>
      </xdr:nvSpPr>
      <xdr:spPr>
        <a:xfrm>
          <a:off x="10897884" y="7775865"/>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mc:AlternateContent xmlns:mc="http://schemas.openxmlformats.org/markup-compatibility/2006">
    <mc:Choice xmlns:a14="http://schemas.microsoft.com/office/drawing/2010/main" Requires="a14">
      <xdr:twoCellAnchor editAs="oneCell">
        <xdr:from>
          <xdr:col>19</xdr:col>
          <xdr:colOff>72146</xdr:colOff>
          <xdr:row>8</xdr:row>
          <xdr:rowOff>30787</xdr:rowOff>
        </xdr:from>
        <xdr:to>
          <xdr:col>24</xdr:col>
          <xdr:colOff>1608</xdr:colOff>
          <xdr:row>15</xdr:row>
          <xdr:rowOff>220369</xdr:rowOff>
        </xdr:to>
        <xdr:pic>
          <xdr:nvPicPr>
            <xdr:cNvPr id="2" name="Picture 1">
              <a:extLst>
                <a:ext uri="{FF2B5EF4-FFF2-40B4-BE49-F238E27FC236}">
                  <a16:creationId xmlns:a16="http://schemas.microsoft.com/office/drawing/2014/main" id="{AF605368-F00F-4B7D-99B5-EF75B45EF9C0}"/>
                </a:ext>
              </a:extLst>
            </xdr:cNvPr>
            <xdr:cNvPicPr>
              <a:picLocks noChangeAspect="1" noChangeArrowheads="1"/>
              <a:extLst>
                <a:ext uri="{84589F7E-364E-4C9E-8A38-B11213B215E9}">
                  <a14:cameraTool cellRange="memo!$B$2:$D$7" spid="_x0000_s2593"/>
                </a:ext>
              </a:extLst>
            </xdr:cNvPicPr>
          </xdr:nvPicPr>
          <xdr:blipFill>
            <a:blip xmlns:r="http://schemas.openxmlformats.org/officeDocument/2006/relationships" r:embed="rId5"/>
            <a:srcRect/>
            <a:stretch>
              <a:fillRect/>
            </a:stretch>
          </xdr:blipFill>
          <xdr:spPr bwMode="auto">
            <a:xfrm>
              <a:off x="9794215" y="2609106"/>
              <a:ext cx="2626935" cy="180215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147246</xdr:colOff>
      <xdr:row>1</xdr:row>
      <xdr:rowOff>92029</xdr:rowOff>
    </xdr:from>
    <xdr:to>
      <xdr:col>21</xdr:col>
      <xdr:colOff>36811</xdr:colOff>
      <xdr:row>2</xdr:row>
      <xdr:rowOff>285290</xdr:rowOff>
    </xdr:to>
    <xdr:sp macro="" textlink="">
      <xdr:nvSpPr>
        <xdr:cNvPr id="11" name="TextBox 10">
          <a:extLst>
            <a:ext uri="{FF2B5EF4-FFF2-40B4-BE49-F238E27FC236}">
              <a16:creationId xmlns:a16="http://schemas.microsoft.com/office/drawing/2014/main" id="{4BBB12D7-D5B3-7916-E73C-F84CC76250B1}"/>
            </a:ext>
          </a:extLst>
        </xdr:cNvPr>
        <xdr:cNvSpPr txBox="1"/>
      </xdr:nvSpPr>
      <xdr:spPr>
        <a:xfrm>
          <a:off x="7086232" y="276087"/>
          <a:ext cx="2871304"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F0000"/>
              </a:solidFill>
              <a:latin typeface="Aptos Narrow" panose="020B0004020202020204" pitchFamily="34" charset="0"/>
            </a:rPr>
            <a:t>Report</a:t>
          </a:r>
          <a:r>
            <a:rPr lang="en-US" sz="2000" b="1" baseline="0">
              <a:solidFill>
                <a:srgbClr val="FF0000"/>
              </a:solidFill>
              <a:latin typeface="Aptos Narrow" panose="020B0004020202020204" pitchFamily="34" charset="0"/>
            </a:rPr>
            <a:t> View</a:t>
          </a:r>
          <a:endParaRPr lang="en-US" sz="2000" b="1">
            <a:solidFill>
              <a:srgbClr val="FF0000"/>
            </a:solidFill>
            <a:latin typeface="Aptos Narrow" panose="020B0004020202020204" pitchFamily="34" charset="0"/>
          </a:endParaRPr>
        </a:p>
      </xdr:txBody>
    </xdr:sp>
    <xdr:clientData/>
  </xdr:twoCellAnchor>
  <xdr:twoCellAnchor>
    <xdr:from>
      <xdr:col>24</xdr:col>
      <xdr:colOff>166687</xdr:colOff>
      <xdr:row>38</xdr:row>
      <xdr:rowOff>55562</xdr:rowOff>
    </xdr:from>
    <xdr:to>
      <xdr:col>27</xdr:col>
      <xdr:colOff>365125</xdr:colOff>
      <xdr:row>41</xdr:row>
      <xdr:rowOff>174625</xdr:rowOff>
    </xdr:to>
    <xdr:sp macro="" textlink="">
      <xdr:nvSpPr>
        <xdr:cNvPr id="4" name="Speech Bubble: Rectangle with Corners Rounded 3">
          <a:extLst>
            <a:ext uri="{FF2B5EF4-FFF2-40B4-BE49-F238E27FC236}">
              <a16:creationId xmlns:a16="http://schemas.microsoft.com/office/drawing/2014/main" id="{F479A44D-759C-72A0-3856-76A95AE3D2E3}"/>
            </a:ext>
          </a:extLst>
        </xdr:cNvPr>
        <xdr:cNvSpPr/>
      </xdr:nvSpPr>
      <xdr:spPr>
        <a:xfrm>
          <a:off x="11152187" y="8334375"/>
          <a:ext cx="1690688" cy="674688"/>
        </a:xfrm>
        <a:prstGeom prst="wedgeRoundRectCallout">
          <a:avLst>
            <a:gd name="adj1" fmla="val -79972"/>
            <a:gd name="adj2" fmla="val 6054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BridgestoneType" panose="020B0503030504030204" pitchFamily="34" charset="0"/>
            </a:rPr>
            <a:t>Details in DP instruction</a:t>
          </a:r>
          <a:r>
            <a:rPr lang="en-US" sz="1400" baseline="0">
              <a:latin typeface="BridgestoneType" panose="020B0503030504030204" pitchFamily="34" charset="0"/>
            </a:rPr>
            <a:t> sheet</a:t>
          </a:r>
          <a:endParaRPr lang="en-US" sz="1400">
            <a:latin typeface="BridgestoneType" panose="020B050303050403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521805</xdr:colOff>
      <xdr:row>39</xdr:row>
      <xdr:rowOff>39247</xdr:rowOff>
    </xdr:from>
    <xdr:to>
      <xdr:col>13</xdr:col>
      <xdr:colOff>311565</xdr:colOff>
      <xdr:row>53</xdr:row>
      <xdr:rowOff>49696</xdr:rowOff>
    </xdr:to>
    <xdr:graphicFrame macro="">
      <xdr:nvGraphicFramePr>
        <xdr:cNvPr id="4" name="Chart 3">
          <a:extLst>
            <a:ext uri="{FF2B5EF4-FFF2-40B4-BE49-F238E27FC236}">
              <a16:creationId xmlns:a16="http://schemas.microsoft.com/office/drawing/2014/main" id="{8DCF8FFD-E973-48B8-9155-B6F638775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438592</xdr:colOff>
      <xdr:row>39</xdr:row>
      <xdr:rowOff>41179</xdr:rowOff>
    </xdr:from>
    <xdr:to>
      <xdr:col>18</xdr:col>
      <xdr:colOff>438978</xdr:colOff>
      <xdr:row>53</xdr:row>
      <xdr:rowOff>57978</xdr:rowOff>
    </xdr:to>
    <xdr:graphicFrame macro="">
      <xdr:nvGraphicFramePr>
        <xdr:cNvPr id="5" name="Chart 4">
          <a:extLst>
            <a:ext uri="{FF2B5EF4-FFF2-40B4-BE49-F238E27FC236}">
              <a16:creationId xmlns:a16="http://schemas.microsoft.com/office/drawing/2014/main" id="{6412E900-F730-4544-A63C-0AAFD4629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62</xdr:row>
      <xdr:rowOff>955</xdr:rowOff>
    </xdr:from>
    <xdr:to>
      <xdr:col>14</xdr:col>
      <xdr:colOff>458610</xdr:colOff>
      <xdr:row>76</xdr:row>
      <xdr:rowOff>24848</xdr:rowOff>
    </xdr:to>
    <xdr:graphicFrame macro="">
      <xdr:nvGraphicFramePr>
        <xdr:cNvPr id="11" name="Chart 10">
          <a:extLst>
            <a:ext uri="{FF2B5EF4-FFF2-40B4-BE49-F238E27FC236}">
              <a16:creationId xmlns:a16="http://schemas.microsoft.com/office/drawing/2014/main" id="{52E5A531-C7A5-4BF3-AA46-3EA4F595D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3174</xdr:colOff>
      <xdr:row>39</xdr:row>
      <xdr:rowOff>0</xdr:rowOff>
    </xdr:from>
    <xdr:to>
      <xdr:col>26</xdr:col>
      <xdr:colOff>16565</xdr:colOff>
      <xdr:row>53</xdr:row>
      <xdr:rowOff>66261</xdr:rowOff>
    </xdr:to>
    <xdr:graphicFrame macro="">
      <xdr:nvGraphicFramePr>
        <xdr:cNvPr id="13" name="Chart 12">
          <a:extLst>
            <a:ext uri="{FF2B5EF4-FFF2-40B4-BE49-F238E27FC236}">
              <a16:creationId xmlns:a16="http://schemas.microsoft.com/office/drawing/2014/main" id="{453533F9-9DBC-4573-BE31-B78C3C3CA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320675</xdr:colOff>
      <xdr:row>1</xdr:row>
      <xdr:rowOff>92075</xdr:rowOff>
    </xdr:from>
    <xdr:to>
      <xdr:col>8</xdr:col>
      <xdr:colOff>314285</xdr:colOff>
      <xdr:row>5</xdr:row>
      <xdr:rowOff>304951</xdr:rowOff>
    </xdr:to>
    <xdr:pic>
      <xdr:nvPicPr>
        <xdr:cNvPr id="2" name="Picture 1">
          <a:extLst>
            <a:ext uri="{FF2B5EF4-FFF2-40B4-BE49-F238E27FC236}">
              <a16:creationId xmlns:a16="http://schemas.microsoft.com/office/drawing/2014/main" id="{8209A7EC-2B49-438E-80FC-C95B049FBCCA}"/>
            </a:ext>
          </a:extLst>
        </xdr:cNvPr>
        <xdr:cNvPicPr>
          <a:picLocks noChangeAspect="1"/>
        </xdr:cNvPicPr>
      </xdr:nvPicPr>
      <xdr:blipFill>
        <a:blip xmlns:r="http://schemas.openxmlformats.org/officeDocument/2006/relationships" r:embed="rId1"/>
        <a:stretch>
          <a:fillRect/>
        </a:stretch>
      </xdr:blipFill>
      <xdr:spPr>
        <a:xfrm>
          <a:off x="5121275" y="273050"/>
          <a:ext cx="2625685" cy="18226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E76A2-5EEE-4495-8884-6B008FBF5578}">
  <sheetPr>
    <tabColor rgb="FFFF0000"/>
    <pageSetUpPr fitToPage="1"/>
  </sheetPr>
  <dimension ref="B1:Y58"/>
  <sheetViews>
    <sheetView view="pageBreakPreview" topLeftCell="A4" zoomScale="54" zoomScaleNormal="100" zoomScaleSheetLayoutView="54" workbookViewId="0">
      <selection activeCell="N32" sqref="N32"/>
    </sheetView>
  </sheetViews>
  <sheetFormatPr defaultColWidth="8.54296875" defaultRowHeight="14.5"/>
  <cols>
    <col min="1" max="2" width="3.453125" style="84" customWidth="1"/>
    <col min="3" max="24" width="7.1796875" style="84" customWidth="1"/>
    <col min="25" max="25" width="1.453125" style="84" customWidth="1"/>
    <col min="26" max="16384" width="8.54296875" style="84"/>
  </cols>
  <sheetData>
    <row r="1" spans="2:25">
      <c r="X1" s="85" t="s">
        <v>0</v>
      </c>
    </row>
    <row r="2" spans="2:25" ht="18" customHeight="1">
      <c r="B2" s="86"/>
      <c r="C2" s="86"/>
      <c r="D2" s="86"/>
      <c r="E2" s="86"/>
      <c r="F2" s="86"/>
      <c r="G2" s="86"/>
      <c r="H2" s="86"/>
      <c r="I2" s="86"/>
      <c r="J2" s="86"/>
      <c r="K2" s="86"/>
      <c r="L2" s="86"/>
      <c r="M2" s="86"/>
      <c r="N2" s="86"/>
      <c r="O2" s="86"/>
      <c r="P2" s="86"/>
      <c r="Q2" s="86"/>
      <c r="S2" s="400"/>
      <c r="T2" s="400"/>
      <c r="U2" s="400"/>
      <c r="V2" s="400"/>
      <c r="W2" s="443">
        <v>7310</v>
      </c>
      <c r="X2" s="443"/>
    </row>
    <row r="3" spans="2:25" ht="61" customHeight="1">
      <c r="B3" s="87" t="s">
        <v>1</v>
      </c>
      <c r="C3" s="86"/>
      <c r="D3" s="86"/>
      <c r="E3" s="86"/>
      <c r="F3" s="86"/>
      <c r="G3" s="86"/>
      <c r="H3" s="86"/>
      <c r="I3" s="86"/>
      <c r="J3" s="86"/>
      <c r="K3" s="86"/>
      <c r="L3" s="86"/>
      <c r="M3" s="86"/>
      <c r="N3" s="86"/>
      <c r="O3" s="86"/>
      <c r="P3" s="86"/>
      <c r="Q3" s="86"/>
      <c r="S3" s="400"/>
      <c r="T3" s="400"/>
      <c r="U3" s="400"/>
      <c r="V3" s="400"/>
      <c r="W3" s="443"/>
      <c r="X3" s="443"/>
    </row>
    <row r="4" spans="2:25" s="88" customFormat="1" ht="34" customHeight="1">
      <c r="B4" s="444" t="s">
        <v>2</v>
      </c>
      <c r="C4" s="444"/>
      <c r="D4" s="444" t="s">
        <v>3</v>
      </c>
      <c r="E4" s="444"/>
      <c r="F4" s="444"/>
      <c r="G4" s="444" t="s">
        <v>4</v>
      </c>
      <c r="H4" s="444"/>
      <c r="I4" s="444"/>
      <c r="J4" s="445" t="s">
        <v>5</v>
      </c>
      <c r="K4" s="445"/>
      <c r="L4" s="445"/>
      <c r="M4" s="445"/>
      <c r="N4" s="445"/>
      <c r="O4" s="445"/>
    </row>
    <row r="5" spans="2:25" ht="18" customHeight="1" thickBot="1">
      <c r="B5" s="86"/>
      <c r="C5" s="86"/>
      <c r="D5" s="86"/>
      <c r="E5" s="86"/>
      <c r="F5" s="86"/>
      <c r="G5" s="86"/>
      <c r="H5" s="86"/>
      <c r="I5" s="86"/>
      <c r="J5" s="86"/>
      <c r="K5" s="86"/>
      <c r="L5" s="86"/>
      <c r="M5" s="86"/>
      <c r="N5" s="86"/>
      <c r="O5" s="86"/>
      <c r="P5" s="86"/>
      <c r="Q5" s="86"/>
      <c r="R5" s="86"/>
      <c r="S5" s="86"/>
      <c r="T5" s="86"/>
      <c r="U5" s="86"/>
      <c r="V5" s="86"/>
      <c r="W5" s="86"/>
      <c r="X5" s="86"/>
      <c r="Y5" s="86"/>
    </row>
    <row r="6" spans="2:25">
      <c r="B6" s="89" t="s">
        <v>6</v>
      </c>
      <c r="C6" s="90"/>
      <c r="D6" s="90"/>
      <c r="E6" s="90"/>
      <c r="F6" s="90"/>
      <c r="G6" s="90"/>
      <c r="H6" s="90"/>
      <c r="I6" s="90"/>
      <c r="J6" s="90"/>
      <c r="K6" s="90"/>
      <c r="L6" s="90"/>
      <c r="M6" s="90"/>
      <c r="N6" s="90"/>
      <c r="O6" s="90"/>
      <c r="P6" s="90"/>
      <c r="Q6" s="90"/>
      <c r="R6" s="90"/>
      <c r="S6" s="90"/>
      <c r="T6" s="90"/>
      <c r="U6" s="90"/>
      <c r="V6" s="90"/>
      <c r="W6" s="90"/>
      <c r="X6" s="90"/>
      <c r="Y6" s="91"/>
    </row>
    <row r="7" spans="2:25">
      <c r="B7" s="92"/>
      <c r="Y7" s="93"/>
    </row>
    <row r="8" spans="2:25">
      <c r="B8" s="92"/>
      <c r="C8" s="446" t="s">
        <v>7</v>
      </c>
      <c r="D8" s="447"/>
      <c r="E8" s="447"/>
      <c r="F8" s="447"/>
      <c r="G8" s="447"/>
      <c r="H8" s="447"/>
      <c r="I8" s="448"/>
      <c r="J8" s="452">
        <v>2025</v>
      </c>
      <c r="K8" s="452"/>
      <c r="L8" s="452">
        <v>2024</v>
      </c>
      <c r="M8" s="452"/>
      <c r="O8" s="415" t="s">
        <v>8</v>
      </c>
      <c r="P8" s="416"/>
      <c r="Q8" s="416"/>
      <c r="R8" s="416"/>
      <c r="S8" s="417"/>
      <c r="T8" s="95"/>
      <c r="U8" s="95"/>
      <c r="V8" s="95"/>
      <c r="W8" s="95"/>
      <c r="X8" s="95"/>
      <c r="Y8" s="93"/>
    </row>
    <row r="9" spans="2:25">
      <c r="B9" s="92"/>
      <c r="C9" s="449"/>
      <c r="D9" s="450"/>
      <c r="E9" s="450"/>
      <c r="F9" s="450"/>
      <c r="G9" s="450"/>
      <c r="H9" s="450"/>
      <c r="I9" s="451"/>
      <c r="J9" s="94" t="s">
        <v>9</v>
      </c>
      <c r="K9" s="94"/>
      <c r="L9" s="94" t="s">
        <v>9</v>
      </c>
      <c r="M9" s="94"/>
      <c r="O9" s="396"/>
      <c r="P9" s="397"/>
      <c r="Q9" s="397"/>
      <c r="R9" s="397"/>
      <c r="S9" s="398"/>
      <c r="T9" s="95"/>
      <c r="U9" s="95"/>
      <c r="V9" s="95"/>
      <c r="W9" s="95"/>
      <c r="X9" s="95"/>
      <c r="Y9" s="93"/>
    </row>
    <row r="10" spans="2:25">
      <c r="B10" s="92"/>
      <c r="C10" s="453"/>
      <c r="D10" s="454"/>
      <c r="E10" s="454"/>
      <c r="F10" s="96"/>
      <c r="G10" s="97"/>
      <c r="H10" s="98"/>
      <c r="I10" s="132" t="s">
        <v>10</v>
      </c>
      <c r="J10" s="99" t="e">
        <f>Cal!#REF!</f>
        <v>#REF!</v>
      </c>
      <c r="K10" s="100" t="e">
        <f>IF(J10&lt;2,"C",IF(J10&lt;3,"B-",IF(J10&lt;4,"B",IF(J10&lt;5,"B+",IF(J10=5,"A","")))))</f>
        <v>#REF!</v>
      </c>
      <c r="L10" s="101" t="e">
        <f>Cal!#REF!</f>
        <v>#REF!</v>
      </c>
      <c r="M10" s="102" t="e">
        <f>IF(L10=5,"A",IF(L10&gt;=4,"B+",IF(L10&gt;=3,"B",IF(L10&gt;=2,"B-",IF(L10&gt;=1, "C","-")))))</f>
        <v>#REF!</v>
      </c>
      <c r="O10" s="399"/>
      <c r="P10" s="400"/>
      <c r="Q10" s="400"/>
      <c r="R10" s="400"/>
      <c r="S10" s="401"/>
      <c r="T10" s="95"/>
      <c r="U10" s="95"/>
      <c r="V10" s="95"/>
      <c r="W10" s="95"/>
      <c r="X10" s="95"/>
      <c r="Y10" s="93"/>
    </row>
    <row r="11" spans="2:25">
      <c r="B11" s="92"/>
      <c r="C11" s="103"/>
      <c r="D11" s="455" t="s">
        <v>11</v>
      </c>
      <c r="E11" s="407" t="s">
        <v>12</v>
      </c>
      <c r="F11" s="408"/>
      <c r="G11" s="408"/>
      <c r="H11" s="409" t="s">
        <v>13</v>
      </c>
      <c r="I11" s="410"/>
      <c r="J11" s="101" t="e">
        <f>Cal!#REF!</f>
        <v>#REF!</v>
      </c>
      <c r="K11" s="102" t="e">
        <f>IF(J11=5,"A",IF(J11&gt;=4,"B+",IF(J11&gt;=3,"B",IF(J11&gt;=2,"B-",IF(J11&gt;=1, "C","-")))))</f>
        <v>#REF!</v>
      </c>
      <c r="L11" s="101" t="e">
        <f>Cal!#REF!</f>
        <v>#REF!</v>
      </c>
      <c r="M11" s="102" t="e">
        <f>IF(L11=5,"A",IF(L11&gt;=4,"B+",IF(L11&gt;=3,"B",IF(L11&gt;=2,"B-",IF(L11&gt;=1, "C","-")))))</f>
        <v>#REF!</v>
      </c>
      <c r="O11" s="399"/>
      <c r="P11" s="400"/>
      <c r="Q11" s="400"/>
      <c r="R11" s="400"/>
      <c r="S11" s="401"/>
      <c r="T11" s="95"/>
      <c r="U11" s="95"/>
      <c r="V11" s="95"/>
      <c r="W11" s="95"/>
      <c r="X11" s="95"/>
      <c r="Y11" s="93"/>
    </row>
    <row r="12" spans="2:25" ht="18" customHeight="1">
      <c r="B12" s="92"/>
      <c r="C12" s="103"/>
      <c r="D12" s="455"/>
      <c r="E12" s="407"/>
      <c r="F12" s="408"/>
      <c r="G12" s="408"/>
      <c r="H12" s="411" t="s">
        <v>14</v>
      </c>
      <c r="I12" s="143" t="s">
        <v>15</v>
      </c>
      <c r="J12" s="414" t="e">
        <f>Cal!#REF!</f>
        <v>#REF!</v>
      </c>
      <c r="K12" s="414"/>
      <c r="L12" s="414" t="e">
        <f>Cal!#REF!</f>
        <v>#REF!</v>
      </c>
      <c r="M12" s="414"/>
      <c r="O12" s="399"/>
      <c r="P12" s="400"/>
      <c r="Q12" s="400"/>
      <c r="R12" s="400"/>
      <c r="S12" s="401"/>
      <c r="T12" s="95"/>
      <c r="U12" s="95"/>
      <c r="V12" s="95"/>
      <c r="W12" s="95"/>
      <c r="X12" s="95"/>
      <c r="Y12" s="93"/>
    </row>
    <row r="13" spans="2:25">
      <c r="B13" s="92"/>
      <c r="C13" s="103"/>
      <c r="D13" s="455"/>
      <c r="E13" s="407"/>
      <c r="F13" s="408"/>
      <c r="G13" s="408"/>
      <c r="H13" s="412"/>
      <c r="I13" s="143" t="s">
        <v>16</v>
      </c>
      <c r="J13" s="414" t="e">
        <f>Cal!#REF!</f>
        <v>#REF!</v>
      </c>
      <c r="K13" s="414"/>
      <c r="L13" s="414" t="e">
        <f>Cal!#REF!</f>
        <v>#REF!</v>
      </c>
      <c r="M13" s="414"/>
      <c r="O13" s="399"/>
      <c r="P13" s="400"/>
      <c r="Q13" s="400"/>
      <c r="R13" s="400"/>
      <c r="S13" s="401"/>
      <c r="T13" s="95"/>
      <c r="U13" s="95"/>
      <c r="V13" s="95"/>
      <c r="W13" s="95"/>
      <c r="X13" s="95"/>
      <c r="Y13" s="93"/>
    </row>
    <row r="14" spans="2:25">
      <c r="B14" s="92"/>
      <c r="C14" s="104"/>
      <c r="D14" s="455"/>
      <c r="E14" s="407"/>
      <c r="F14" s="408"/>
      <c r="G14" s="408"/>
      <c r="H14" s="412"/>
      <c r="I14" s="143" t="s">
        <v>17</v>
      </c>
      <c r="J14" s="414" t="e">
        <f>Cal!#REF!</f>
        <v>#REF!</v>
      </c>
      <c r="K14" s="414"/>
      <c r="L14" s="414" t="e">
        <f>Cal!#REF!</f>
        <v>#REF!</v>
      </c>
      <c r="M14" s="414"/>
      <c r="O14" s="399"/>
      <c r="P14" s="400"/>
      <c r="Q14" s="400"/>
      <c r="R14" s="400"/>
      <c r="S14" s="401"/>
      <c r="T14" s="95"/>
      <c r="U14" s="95"/>
      <c r="V14" s="95"/>
      <c r="W14" s="95"/>
      <c r="X14" s="95"/>
      <c r="Y14" s="93"/>
    </row>
    <row r="15" spans="2:25">
      <c r="B15" s="92"/>
      <c r="C15" s="104"/>
      <c r="D15" s="455"/>
      <c r="E15" s="407"/>
      <c r="F15" s="408"/>
      <c r="G15" s="408"/>
      <c r="H15" s="413"/>
      <c r="I15" s="143" t="s">
        <v>18</v>
      </c>
      <c r="J15" s="414" t="e">
        <f>Cal!#REF!</f>
        <v>#REF!</v>
      </c>
      <c r="K15" s="414"/>
      <c r="L15" s="414" t="e">
        <f>Cal!#REF!</f>
        <v>#REF!</v>
      </c>
      <c r="M15" s="414"/>
      <c r="O15" s="399"/>
      <c r="P15" s="400"/>
      <c r="Q15" s="400"/>
      <c r="R15" s="400"/>
      <c r="S15" s="401"/>
      <c r="T15" s="95"/>
      <c r="U15" s="95"/>
      <c r="V15" s="95"/>
      <c r="W15" s="95"/>
      <c r="X15" s="95"/>
      <c r="Y15" s="93"/>
    </row>
    <row r="16" spans="2:25">
      <c r="B16" s="92"/>
      <c r="C16" s="104"/>
      <c r="D16" s="455"/>
      <c r="E16" s="407" t="s">
        <v>19</v>
      </c>
      <c r="F16" s="408"/>
      <c r="G16" s="408"/>
      <c r="H16" s="409" t="s">
        <v>13</v>
      </c>
      <c r="I16" s="410"/>
      <c r="J16" s="101" t="e">
        <f>Cal!#REF!</f>
        <v>#REF!</v>
      </c>
      <c r="K16" s="102" t="e">
        <f>IF(J16=5,"A",IF(J16&gt;=4,"B+",IF(J16&gt;=3,"B",IF(J16&gt;=2,"B-",IF(J16&gt;=1, "C","-")))))</f>
        <v>#REF!</v>
      </c>
      <c r="L16" s="101" t="e">
        <f>Cal!#REF!</f>
        <v>#REF!</v>
      </c>
      <c r="M16" s="102" t="e">
        <f>IF(L16=5,"A",IF(L16&gt;=4,"B+",IF(L16&gt;=3,"B",IF(L16&gt;=2,"B-",IF(L16&gt;=1, "C","-")))))</f>
        <v>#REF!</v>
      </c>
      <c r="O16" s="399"/>
      <c r="P16" s="400"/>
      <c r="Q16" s="400"/>
      <c r="R16" s="400"/>
      <c r="S16" s="401"/>
      <c r="T16" s="95"/>
      <c r="U16" s="95"/>
      <c r="V16" s="95"/>
      <c r="W16" s="95"/>
      <c r="X16" s="95"/>
      <c r="Y16" s="93"/>
    </row>
    <row r="17" spans="2:25" ht="18" customHeight="1">
      <c r="B17" s="92"/>
      <c r="C17" s="104"/>
      <c r="D17" s="455"/>
      <c r="E17" s="407"/>
      <c r="F17" s="408"/>
      <c r="G17" s="408"/>
      <c r="H17" s="411" t="s">
        <v>14</v>
      </c>
      <c r="I17" s="143" t="s">
        <v>15</v>
      </c>
      <c r="J17" s="414" t="e">
        <f>Cal!#REF!</f>
        <v>#REF!</v>
      </c>
      <c r="K17" s="414"/>
      <c r="L17" s="414" t="e">
        <f>Cal!#REF!</f>
        <v>#REF!</v>
      </c>
      <c r="M17" s="414"/>
      <c r="O17" s="402"/>
      <c r="P17" s="403"/>
      <c r="Q17" s="403"/>
      <c r="R17" s="403"/>
      <c r="S17" s="404"/>
      <c r="T17" s="95"/>
      <c r="U17" s="95"/>
      <c r="V17" s="95"/>
      <c r="W17" s="95"/>
      <c r="X17" s="95"/>
      <c r="Y17" s="93"/>
    </row>
    <row r="18" spans="2:25">
      <c r="B18" s="92"/>
      <c r="C18" s="104"/>
      <c r="D18" s="455"/>
      <c r="E18" s="407"/>
      <c r="F18" s="408"/>
      <c r="G18" s="408"/>
      <c r="H18" s="412"/>
      <c r="I18" s="143" t="s">
        <v>16</v>
      </c>
      <c r="J18" s="414" t="e">
        <f>Cal!#REF!</f>
        <v>#REF!</v>
      </c>
      <c r="K18" s="414"/>
      <c r="L18" s="414" t="e">
        <f>Cal!#REF!</f>
        <v>#REF!</v>
      </c>
      <c r="M18" s="414"/>
      <c r="O18" s="415" t="s">
        <v>14</v>
      </c>
      <c r="P18" s="416"/>
      <c r="Q18" s="416"/>
      <c r="R18" s="416"/>
      <c r="S18" s="416"/>
      <c r="T18" s="416"/>
      <c r="U18" s="416"/>
      <c r="V18" s="416"/>
      <c r="W18" s="416"/>
      <c r="X18" s="417"/>
      <c r="Y18" s="93"/>
    </row>
    <row r="19" spans="2:25">
      <c r="B19" s="92"/>
      <c r="C19" s="104"/>
      <c r="D19" s="455"/>
      <c r="E19" s="407"/>
      <c r="F19" s="408"/>
      <c r="G19" s="408"/>
      <c r="H19" s="412"/>
      <c r="I19" s="143" t="s">
        <v>17</v>
      </c>
      <c r="J19" s="414" t="e">
        <f>Cal!#REF!</f>
        <v>#REF!</v>
      </c>
      <c r="K19" s="414"/>
      <c r="L19" s="414" t="e">
        <f>Cal!#REF!</f>
        <v>#REF!</v>
      </c>
      <c r="M19" s="414"/>
      <c r="O19" s="105" t="s">
        <v>20</v>
      </c>
      <c r="P19" s="106"/>
      <c r="Q19" s="107">
        <v>2025</v>
      </c>
      <c r="R19" s="397"/>
      <c r="S19" s="397"/>
      <c r="T19" s="397"/>
      <c r="U19" s="397"/>
      <c r="V19" s="397"/>
      <c r="W19" s="397"/>
      <c r="X19" s="398"/>
      <c r="Y19" s="93"/>
    </row>
    <row r="20" spans="2:25">
      <c r="B20" s="92"/>
      <c r="C20" s="104"/>
      <c r="D20" s="455"/>
      <c r="E20" s="407"/>
      <c r="F20" s="408"/>
      <c r="G20" s="408"/>
      <c r="H20" s="413"/>
      <c r="I20" s="143" t="s">
        <v>18</v>
      </c>
      <c r="J20" s="414" t="e">
        <f>Cal!#REF!</f>
        <v>#REF!</v>
      </c>
      <c r="K20" s="414"/>
      <c r="L20" s="414" t="e">
        <f>Cal!#REF!</f>
        <v>#REF!</v>
      </c>
      <c r="M20" s="414"/>
      <c r="O20" s="108"/>
      <c r="P20" s="109"/>
      <c r="Q20" s="110">
        <v>2024</v>
      </c>
      <c r="R20" s="400"/>
      <c r="S20" s="400"/>
      <c r="T20" s="400"/>
      <c r="U20" s="400"/>
      <c r="V20" s="400"/>
      <c r="W20" s="400"/>
      <c r="X20" s="401"/>
      <c r="Y20" s="93"/>
    </row>
    <row r="21" spans="2:25">
      <c r="B21" s="92"/>
      <c r="C21" s="104"/>
      <c r="D21" s="455"/>
      <c r="E21" s="407" t="s">
        <v>21</v>
      </c>
      <c r="F21" s="408"/>
      <c r="G21" s="408"/>
      <c r="H21" s="409" t="s">
        <v>13</v>
      </c>
      <c r="I21" s="410"/>
      <c r="J21" s="101" t="e">
        <f>Cal!#REF!</f>
        <v>#REF!</v>
      </c>
      <c r="K21" s="102" t="e">
        <f>IF(J21=5,"A",IF(J21&gt;=4,"B+",IF(J21&gt;=3,"B",IF(J21&gt;=2,"B-",IF(J21&gt;=1, "C","-")))))</f>
        <v>#REF!</v>
      </c>
      <c r="L21" s="101" t="e">
        <f>Cal!#REF!</f>
        <v>#REF!</v>
      </c>
      <c r="M21" s="102" t="e">
        <f>IF(L21=5,"A",IF(L21&gt;=4,"B+",IF(L21&gt;=3,"B",IF(L21&gt;=2,"B-",IF(L21&gt;=1, "C","-")))))</f>
        <v>#REF!</v>
      </c>
      <c r="O21" s="105" t="s">
        <v>22</v>
      </c>
      <c r="Q21" s="107">
        <v>2025</v>
      </c>
      <c r="R21" s="400"/>
      <c r="S21" s="400"/>
      <c r="T21" s="400"/>
      <c r="U21" s="400"/>
      <c r="V21" s="400"/>
      <c r="W21" s="400"/>
      <c r="X21" s="401"/>
      <c r="Y21" s="93"/>
    </row>
    <row r="22" spans="2:25" ht="18" customHeight="1">
      <c r="B22" s="92"/>
      <c r="C22" s="104"/>
      <c r="D22" s="455"/>
      <c r="E22" s="407"/>
      <c r="F22" s="408"/>
      <c r="G22" s="408"/>
      <c r="H22" s="411" t="s">
        <v>14</v>
      </c>
      <c r="I22" s="143" t="s">
        <v>15</v>
      </c>
      <c r="J22" s="414" t="e">
        <f>Cal!#REF!</f>
        <v>#REF!</v>
      </c>
      <c r="K22" s="414"/>
      <c r="L22" s="414" t="e">
        <f>Cal!#REF!</f>
        <v>#REF!</v>
      </c>
      <c r="M22" s="414"/>
      <c r="O22" s="108"/>
      <c r="P22" s="111"/>
      <c r="Q22" s="110">
        <v>2024</v>
      </c>
      <c r="R22" s="400"/>
      <c r="S22" s="400"/>
      <c r="T22" s="400"/>
      <c r="U22" s="400"/>
      <c r="V22" s="400"/>
      <c r="W22" s="400"/>
      <c r="X22" s="401"/>
      <c r="Y22" s="93"/>
    </row>
    <row r="23" spans="2:25">
      <c r="B23" s="92"/>
      <c r="C23" s="104"/>
      <c r="D23" s="455"/>
      <c r="E23" s="407"/>
      <c r="F23" s="408"/>
      <c r="G23" s="408"/>
      <c r="H23" s="412"/>
      <c r="I23" s="143" t="s">
        <v>16</v>
      </c>
      <c r="J23" s="414" t="e">
        <f>Cal!#REF!</f>
        <v>#REF!</v>
      </c>
      <c r="K23" s="414"/>
      <c r="L23" s="414" t="e">
        <f>Cal!#REF!</f>
        <v>#REF!</v>
      </c>
      <c r="M23" s="414"/>
      <c r="O23" s="105" t="s">
        <v>23</v>
      </c>
      <c r="Q23" s="107">
        <v>2025</v>
      </c>
      <c r="R23" s="400"/>
      <c r="S23" s="400"/>
      <c r="T23" s="400"/>
      <c r="U23" s="400"/>
      <c r="V23" s="400"/>
      <c r="W23" s="400"/>
      <c r="X23" s="401"/>
      <c r="Y23" s="93"/>
    </row>
    <row r="24" spans="2:25">
      <c r="B24" s="92"/>
      <c r="C24" s="104"/>
      <c r="D24" s="455"/>
      <c r="E24" s="407"/>
      <c r="F24" s="408"/>
      <c r="G24" s="408"/>
      <c r="H24" s="412"/>
      <c r="I24" s="143" t="s">
        <v>17</v>
      </c>
      <c r="J24" s="414" t="e">
        <f>Cal!#REF!</f>
        <v>#REF!</v>
      </c>
      <c r="K24" s="414"/>
      <c r="L24" s="414" t="e">
        <f>Cal!#REF!</f>
        <v>#REF!</v>
      </c>
      <c r="M24" s="414"/>
      <c r="O24" s="108"/>
      <c r="P24" s="111"/>
      <c r="Q24" s="110">
        <v>2024</v>
      </c>
      <c r="R24" s="405"/>
      <c r="S24" s="405"/>
      <c r="T24" s="405"/>
      <c r="U24" s="405"/>
      <c r="V24" s="405"/>
      <c r="W24" s="405"/>
      <c r="X24" s="406"/>
      <c r="Y24" s="93"/>
    </row>
    <row r="25" spans="2:25">
      <c r="B25" s="92"/>
      <c r="C25" s="112"/>
      <c r="D25" s="455"/>
      <c r="E25" s="407"/>
      <c r="F25" s="408"/>
      <c r="G25" s="408"/>
      <c r="H25" s="413"/>
      <c r="I25" s="144" t="s">
        <v>18</v>
      </c>
      <c r="J25" s="414" t="e">
        <f>Cal!#REF!</f>
        <v>#REF!</v>
      </c>
      <c r="K25" s="414"/>
      <c r="L25" s="414" t="e">
        <f>Cal!#REF!</f>
        <v>#REF!</v>
      </c>
      <c r="M25" s="414"/>
      <c r="O25" s="113"/>
      <c r="P25" s="114"/>
      <c r="Q25" s="114"/>
      <c r="R25" s="114"/>
      <c r="S25" s="114"/>
      <c r="T25" s="114"/>
      <c r="U25" s="114"/>
      <c r="V25" s="114"/>
      <c r="W25" s="114"/>
      <c r="X25" s="115"/>
      <c r="Y25" s="93"/>
    </row>
    <row r="26" spans="2:25" ht="15" thickBot="1">
      <c r="B26" s="92"/>
      <c r="Y26" s="93"/>
    </row>
    <row r="27" spans="2:25">
      <c r="B27" s="89" t="s">
        <v>24</v>
      </c>
      <c r="C27" s="90"/>
      <c r="D27" s="90"/>
      <c r="E27" s="90"/>
      <c r="F27" s="90"/>
      <c r="G27" s="90"/>
      <c r="H27" s="90"/>
      <c r="I27" s="90"/>
      <c r="J27" s="90"/>
      <c r="K27" s="90"/>
      <c r="L27" s="90"/>
      <c r="M27" s="90"/>
      <c r="N27" s="90"/>
      <c r="O27" s="90"/>
      <c r="P27" s="90"/>
      <c r="Q27" s="90"/>
      <c r="R27" s="90"/>
      <c r="S27" s="90"/>
      <c r="T27" s="90"/>
      <c r="U27" s="90"/>
      <c r="V27" s="90"/>
      <c r="W27" s="90"/>
      <c r="X27" s="90"/>
      <c r="Y27" s="91"/>
    </row>
    <row r="28" spans="2:25">
      <c r="B28" s="92"/>
      <c r="Y28" s="93"/>
    </row>
    <row r="29" spans="2:25">
      <c r="B29" s="92"/>
      <c r="C29" s="418" t="s">
        <v>25</v>
      </c>
      <c r="D29" s="419"/>
      <c r="E29" s="420"/>
      <c r="F29" s="415">
        <v>2025</v>
      </c>
      <c r="G29" s="416"/>
      <c r="H29" s="416"/>
      <c r="I29" s="416"/>
      <c r="J29" s="427">
        <v>2024</v>
      </c>
      <c r="K29" s="428"/>
      <c r="L29" s="428"/>
      <c r="M29" s="429"/>
      <c r="N29" s="116"/>
      <c r="O29" s="415" t="s">
        <v>26</v>
      </c>
      <c r="P29" s="416"/>
      <c r="Q29" s="416"/>
      <c r="R29" s="416"/>
      <c r="S29" s="417"/>
      <c r="T29" s="415" t="s">
        <v>27</v>
      </c>
      <c r="U29" s="416"/>
      <c r="V29" s="416"/>
      <c r="W29" s="416"/>
      <c r="X29" s="417"/>
      <c r="Y29" s="93"/>
    </row>
    <row r="30" spans="2:25">
      <c r="B30" s="92"/>
      <c r="C30" s="421"/>
      <c r="D30" s="422"/>
      <c r="E30" s="423"/>
      <c r="F30" s="415" t="s">
        <v>13</v>
      </c>
      <c r="G30" s="417"/>
      <c r="H30" s="415" t="s">
        <v>28</v>
      </c>
      <c r="I30" s="429"/>
      <c r="J30" s="415" t="s">
        <v>13</v>
      </c>
      <c r="K30" s="417"/>
      <c r="L30" s="415" t="s">
        <v>28</v>
      </c>
      <c r="M30" s="429"/>
      <c r="O30" s="430"/>
      <c r="P30" s="431"/>
      <c r="Q30" s="431"/>
      <c r="R30" s="431"/>
      <c r="S30" s="432"/>
      <c r="T30" s="396"/>
      <c r="U30" s="397"/>
      <c r="V30" s="397"/>
      <c r="W30" s="397"/>
      <c r="X30" s="398"/>
      <c r="Y30" s="93"/>
    </row>
    <row r="31" spans="2:25">
      <c r="B31" s="92"/>
      <c r="C31" s="424"/>
      <c r="D31" s="425"/>
      <c r="E31" s="426"/>
      <c r="F31" s="117" t="s">
        <v>9</v>
      </c>
      <c r="G31" s="117"/>
      <c r="H31" s="117" t="s">
        <v>9</v>
      </c>
      <c r="I31" s="118"/>
      <c r="J31" s="117" t="s">
        <v>9</v>
      </c>
      <c r="K31" s="117"/>
      <c r="L31" s="117" t="s">
        <v>9</v>
      </c>
      <c r="M31" s="118"/>
      <c r="O31" s="433"/>
      <c r="P31" s="434"/>
      <c r="Q31" s="434"/>
      <c r="R31" s="434"/>
      <c r="S31" s="435"/>
      <c r="T31" s="399"/>
      <c r="U31" s="400"/>
      <c r="V31" s="400"/>
      <c r="W31" s="400"/>
      <c r="X31" s="401"/>
      <c r="Y31" s="93"/>
    </row>
    <row r="32" spans="2:25">
      <c r="B32" s="92"/>
      <c r="C32" s="442" t="s">
        <v>29</v>
      </c>
      <c r="D32" s="442"/>
      <c r="E32" s="442"/>
      <c r="F32" s="119" t="e">
        <f>Cal!#REF!</f>
        <v>#REF!</v>
      </c>
      <c r="G32" s="120" t="e">
        <f>IF(F32&lt;2,"C",IF(F32&lt;3,"B-",IF(F32&lt;4,"B",IF(F32&lt;5,"B+",IF(F32=5,"A","")))))</f>
        <v>#REF!</v>
      </c>
      <c r="H32" s="119" t="e">
        <f>Cal!#REF!</f>
        <v>#REF!</v>
      </c>
      <c r="I32" s="120" t="e">
        <f>IF(H32&lt;2,"C",IF(H32&lt;3,"B-",IF(H32&lt;4,"B",IF(H32&lt;5,"B+",IF(H32=5,"A","")))))</f>
        <v>#REF!</v>
      </c>
      <c r="J32" s="119" t="e">
        <f>Cal!#REF!</f>
        <v>#REF!</v>
      </c>
      <c r="K32" s="120" t="e">
        <f>IF(J32&lt;2,"C",IF(J32&lt;3,"B-",IF(J32&lt;4,"B",IF(J32&lt;5,"B+",IF(J32=5,"A","")))))</f>
        <v>#REF!</v>
      </c>
      <c r="L32" s="119" t="e">
        <f>Cal!#REF!</f>
        <v>#REF!</v>
      </c>
      <c r="M32" s="120" t="e">
        <f>IF(L32&lt;2,"C",IF(L32&lt;3,"B-",IF(L32&lt;4,"B",IF(L32&lt;5,"B+",IF(L32=5,"A","")))))</f>
        <v>#REF!</v>
      </c>
      <c r="O32" s="433"/>
      <c r="P32" s="434"/>
      <c r="Q32" s="434"/>
      <c r="R32" s="434"/>
      <c r="S32" s="435"/>
      <c r="T32" s="399"/>
      <c r="U32" s="400"/>
      <c r="V32" s="400"/>
      <c r="W32" s="400"/>
      <c r="X32" s="401"/>
      <c r="Y32" s="93"/>
    </row>
    <row r="33" spans="2:25">
      <c r="B33" s="92"/>
      <c r="C33" s="442" t="s">
        <v>30</v>
      </c>
      <c r="D33" s="442"/>
      <c r="E33" s="442"/>
      <c r="F33" s="119" t="e">
        <f>Cal!#REF!</f>
        <v>#REF!</v>
      </c>
      <c r="G33" s="120" t="e">
        <f t="shared" ref="G33:I38" si="0">IF(F33&lt;2,"C",IF(F33&lt;3,"B-",IF(F33&lt;4,"B",IF(F33&lt;5,"B+",IF(F33=5,"A","")))))</f>
        <v>#REF!</v>
      </c>
      <c r="H33" s="119" t="e">
        <f>Cal!#REF!</f>
        <v>#REF!</v>
      </c>
      <c r="I33" s="120" t="e">
        <f t="shared" si="0"/>
        <v>#REF!</v>
      </c>
      <c r="J33" s="119" t="e">
        <f>Cal!#REF!</f>
        <v>#REF!</v>
      </c>
      <c r="K33" s="120" t="e">
        <f t="shared" ref="K33" si="1">IF(J33&lt;2,"C",IF(J33&lt;3,"B-",IF(J33&lt;4,"B",IF(J33&lt;5,"B+",IF(J33=5,"A","")))))</f>
        <v>#REF!</v>
      </c>
      <c r="L33" s="119" t="e">
        <f>Cal!#REF!</f>
        <v>#REF!</v>
      </c>
      <c r="M33" s="120" t="e">
        <f t="shared" ref="M33" si="2">IF(L33&lt;2,"C",IF(L33&lt;3,"B-",IF(L33&lt;4,"B",IF(L33&lt;5,"B+",IF(L33=5,"A","")))))</f>
        <v>#REF!</v>
      </c>
      <c r="O33" s="433"/>
      <c r="P33" s="434"/>
      <c r="Q33" s="434"/>
      <c r="R33" s="434"/>
      <c r="S33" s="435"/>
      <c r="T33" s="399"/>
      <c r="U33" s="400"/>
      <c r="V33" s="400"/>
      <c r="W33" s="400"/>
      <c r="X33" s="401"/>
      <c r="Y33" s="93"/>
    </row>
    <row r="34" spans="2:25">
      <c r="B34" s="92"/>
      <c r="C34" s="442" t="s">
        <v>31</v>
      </c>
      <c r="D34" s="442"/>
      <c r="E34" s="442"/>
      <c r="F34" s="119" t="e">
        <f>Cal!#REF!</f>
        <v>#REF!</v>
      </c>
      <c r="G34" s="120" t="e">
        <f t="shared" si="0"/>
        <v>#REF!</v>
      </c>
      <c r="H34" s="119" t="e">
        <f>Cal!#REF!</f>
        <v>#REF!</v>
      </c>
      <c r="I34" s="120" t="e">
        <f t="shared" si="0"/>
        <v>#REF!</v>
      </c>
      <c r="J34" s="119" t="e">
        <f>Cal!#REF!</f>
        <v>#REF!</v>
      </c>
      <c r="K34" s="120" t="e">
        <f t="shared" ref="K34" si="3">IF(J34&lt;2,"C",IF(J34&lt;3,"B-",IF(J34&lt;4,"B",IF(J34&lt;5,"B+",IF(J34=5,"A","")))))</f>
        <v>#REF!</v>
      </c>
      <c r="L34" s="119" t="e">
        <f>Cal!#REF!</f>
        <v>#REF!</v>
      </c>
      <c r="M34" s="120" t="e">
        <f t="shared" ref="M34" si="4">IF(L34&lt;2,"C",IF(L34&lt;3,"B-",IF(L34&lt;4,"B",IF(L34&lt;5,"B+",IF(L34=5,"A","")))))</f>
        <v>#REF!</v>
      </c>
      <c r="O34" s="433"/>
      <c r="P34" s="434"/>
      <c r="Q34" s="434"/>
      <c r="R34" s="434"/>
      <c r="S34" s="435"/>
      <c r="T34" s="399"/>
      <c r="U34" s="400"/>
      <c r="V34" s="400"/>
      <c r="W34" s="400"/>
      <c r="X34" s="401"/>
      <c r="Y34" s="93"/>
    </row>
    <row r="35" spans="2:25">
      <c r="B35" s="92"/>
      <c r="C35" s="442" t="s">
        <v>32</v>
      </c>
      <c r="D35" s="442"/>
      <c r="E35" s="442"/>
      <c r="F35" s="119" t="e">
        <f>Cal!#REF!</f>
        <v>#REF!</v>
      </c>
      <c r="G35" s="120" t="e">
        <f t="shared" si="0"/>
        <v>#REF!</v>
      </c>
      <c r="H35" s="119" t="e">
        <f>Cal!#REF!</f>
        <v>#REF!</v>
      </c>
      <c r="I35" s="120" t="e">
        <f t="shared" si="0"/>
        <v>#REF!</v>
      </c>
      <c r="J35" s="119" t="e">
        <f>Cal!#REF!</f>
        <v>#REF!</v>
      </c>
      <c r="K35" s="120" t="e">
        <f t="shared" ref="K35" si="5">IF(J35&lt;2,"C",IF(J35&lt;3,"B-",IF(J35&lt;4,"B",IF(J35&lt;5,"B+",IF(J35=5,"A","")))))</f>
        <v>#REF!</v>
      </c>
      <c r="L35" s="119" t="e">
        <f>Cal!#REF!</f>
        <v>#REF!</v>
      </c>
      <c r="M35" s="120" t="e">
        <f t="shared" ref="M35" si="6">IF(L35&lt;2,"C",IF(L35&lt;3,"B-",IF(L35&lt;4,"B",IF(L35&lt;5,"B+",IF(L35=5,"A","")))))</f>
        <v>#REF!</v>
      </c>
      <c r="O35" s="433"/>
      <c r="P35" s="434"/>
      <c r="Q35" s="434"/>
      <c r="R35" s="434"/>
      <c r="S35" s="435"/>
      <c r="T35" s="399"/>
      <c r="U35" s="400"/>
      <c r="V35" s="400"/>
      <c r="W35" s="400"/>
      <c r="X35" s="401"/>
      <c r="Y35" s="93"/>
    </row>
    <row r="36" spans="2:25">
      <c r="B36" s="92"/>
      <c r="C36" s="442" t="s">
        <v>33</v>
      </c>
      <c r="D36" s="442"/>
      <c r="E36" s="442"/>
      <c r="F36" s="119" t="e">
        <f>Cal!#REF!</f>
        <v>#REF!</v>
      </c>
      <c r="G36" s="120" t="e">
        <f t="shared" si="0"/>
        <v>#REF!</v>
      </c>
      <c r="H36" s="119" t="e">
        <f>Cal!#REF!</f>
        <v>#REF!</v>
      </c>
      <c r="I36" s="120" t="e">
        <f t="shared" si="0"/>
        <v>#REF!</v>
      </c>
      <c r="J36" s="119" t="e">
        <f>Cal!#REF!</f>
        <v>#REF!</v>
      </c>
      <c r="K36" s="120" t="e">
        <f t="shared" ref="K36" si="7">IF(J36&lt;2,"C",IF(J36&lt;3,"B-",IF(J36&lt;4,"B",IF(J36&lt;5,"B+",IF(J36=5,"A","")))))</f>
        <v>#REF!</v>
      </c>
      <c r="L36" s="119" t="e">
        <f>Cal!#REF!</f>
        <v>#REF!</v>
      </c>
      <c r="M36" s="120" t="e">
        <f t="shared" ref="M36" si="8">IF(L36&lt;2,"C",IF(L36&lt;3,"B-",IF(L36&lt;4,"B",IF(L36&lt;5,"B+",IF(L36=5,"A","")))))</f>
        <v>#REF!</v>
      </c>
      <c r="O36" s="433"/>
      <c r="P36" s="434"/>
      <c r="Q36" s="434"/>
      <c r="R36" s="434"/>
      <c r="S36" s="435"/>
      <c r="T36" s="399"/>
      <c r="U36" s="400"/>
      <c r="V36" s="400"/>
      <c r="W36" s="400"/>
      <c r="X36" s="401"/>
      <c r="Y36" s="93"/>
    </row>
    <row r="37" spans="2:25">
      <c r="B37" s="92"/>
      <c r="F37" s="121"/>
      <c r="H37" s="121"/>
      <c r="J37" s="121"/>
      <c r="L37" s="121"/>
      <c r="O37" s="433"/>
      <c r="P37" s="434"/>
      <c r="Q37" s="434"/>
      <c r="R37" s="434"/>
      <c r="S37" s="435"/>
      <c r="T37" s="399"/>
      <c r="U37" s="400"/>
      <c r="V37" s="400"/>
      <c r="W37" s="400"/>
      <c r="X37" s="401"/>
      <c r="Y37" s="93"/>
    </row>
    <row r="38" spans="2:25">
      <c r="B38" s="92"/>
      <c r="C38" s="439" t="s">
        <v>10</v>
      </c>
      <c r="D38" s="440"/>
      <c r="E38" s="441"/>
      <c r="F38" s="119" t="e">
        <f>AVERAGE(F32:F36)</f>
        <v>#REF!</v>
      </c>
      <c r="G38" s="120" t="e">
        <f t="shared" si="0"/>
        <v>#REF!</v>
      </c>
      <c r="H38" s="119" t="e">
        <f>AVERAGE(H32:H36)</f>
        <v>#REF!</v>
      </c>
      <c r="I38" s="120" t="e">
        <f t="shared" si="0"/>
        <v>#REF!</v>
      </c>
      <c r="J38" s="119" t="e">
        <f>AVERAGE(J32:J36)</f>
        <v>#REF!</v>
      </c>
      <c r="K38" s="120" t="e">
        <f t="shared" ref="K38" si="9">IF(J38&lt;2,"C",IF(J38&lt;3,"B-",IF(J38&lt;4,"B",IF(J38&lt;5,"B+",IF(J38=5,"A","")))))</f>
        <v>#REF!</v>
      </c>
      <c r="L38" s="119" t="e">
        <f>AVERAGE(L32:L36)</f>
        <v>#REF!</v>
      </c>
      <c r="M38" s="120" t="e">
        <f t="shared" ref="M38" si="10">IF(L38&lt;2,"C",IF(L38&lt;3,"B-",IF(L38&lt;4,"B",IF(L38&lt;5,"B+",IF(L38=5,"A","")))))</f>
        <v>#REF!</v>
      </c>
      <c r="O38" s="436"/>
      <c r="P38" s="437"/>
      <c r="Q38" s="437"/>
      <c r="R38" s="437"/>
      <c r="S38" s="438"/>
      <c r="T38" s="402"/>
      <c r="U38" s="403"/>
      <c r="V38" s="403"/>
      <c r="W38" s="403"/>
      <c r="X38" s="404"/>
      <c r="Y38" s="93"/>
    </row>
    <row r="39" spans="2:25" ht="15" thickBot="1">
      <c r="B39" s="122"/>
      <c r="C39" s="123"/>
      <c r="D39" s="123"/>
      <c r="E39" s="123"/>
      <c r="F39" s="123"/>
      <c r="G39" s="123"/>
      <c r="H39" s="123"/>
      <c r="I39" s="123"/>
      <c r="J39" s="123"/>
      <c r="K39" s="123"/>
      <c r="L39" s="123"/>
      <c r="M39" s="123"/>
      <c r="N39" s="123"/>
      <c r="O39" s="123"/>
      <c r="P39" s="123"/>
      <c r="Q39" s="123"/>
      <c r="R39" s="123"/>
      <c r="S39" s="123"/>
      <c r="T39" s="123"/>
      <c r="U39" s="123"/>
      <c r="V39" s="123"/>
      <c r="W39" s="123"/>
      <c r="X39" s="123"/>
      <c r="Y39" s="124"/>
    </row>
    <row r="40" spans="2:25">
      <c r="B40" s="89" t="s">
        <v>34</v>
      </c>
      <c r="C40" s="125"/>
      <c r="D40" s="90"/>
      <c r="E40" s="90"/>
      <c r="F40" s="90"/>
      <c r="G40" s="90"/>
      <c r="H40" s="90"/>
      <c r="I40" s="90"/>
      <c r="J40" s="90"/>
      <c r="K40" s="90"/>
      <c r="L40" s="90"/>
      <c r="M40" s="90"/>
      <c r="N40" s="90"/>
      <c r="O40" s="90"/>
      <c r="P40" s="90"/>
      <c r="Q40" s="90"/>
      <c r="R40" s="90"/>
      <c r="S40" s="90"/>
      <c r="T40" s="90"/>
      <c r="U40" s="90"/>
      <c r="V40" s="90"/>
      <c r="W40" s="90"/>
      <c r="X40" s="90"/>
      <c r="Y40" s="91"/>
    </row>
    <row r="41" spans="2:25">
      <c r="B41" s="126"/>
      <c r="C41" s="127"/>
      <c r="D41" s="127"/>
      <c r="E41" s="127"/>
      <c r="F41" s="127"/>
      <c r="G41" s="127"/>
      <c r="H41" s="127"/>
      <c r="I41" s="127"/>
      <c r="J41" s="127"/>
      <c r="K41" s="127"/>
      <c r="L41" s="127"/>
      <c r="M41" s="127"/>
      <c r="N41" s="127"/>
      <c r="O41" s="127"/>
      <c r="P41" s="127"/>
      <c r="Q41" s="127"/>
      <c r="R41" s="127"/>
      <c r="S41" s="127"/>
      <c r="T41" s="127"/>
      <c r="U41" s="127"/>
      <c r="V41" s="127"/>
      <c r="W41" s="127"/>
      <c r="X41" s="127"/>
      <c r="Y41" s="128"/>
    </row>
    <row r="42" spans="2:25">
      <c r="B42" s="126"/>
      <c r="C42" s="395" t="s">
        <v>35</v>
      </c>
      <c r="D42" s="395"/>
      <c r="E42" s="395"/>
      <c r="F42" s="395"/>
      <c r="G42" s="395"/>
      <c r="H42" s="395"/>
      <c r="I42" s="395"/>
      <c r="J42" s="395"/>
      <c r="K42" s="395"/>
      <c r="L42" s="395"/>
      <c r="M42" s="395"/>
      <c r="N42" s="395"/>
      <c r="O42" s="395"/>
      <c r="P42" s="395"/>
      <c r="Q42" s="395"/>
      <c r="R42" s="395"/>
      <c r="S42" s="395"/>
      <c r="T42" s="395"/>
      <c r="U42" s="395"/>
      <c r="V42" s="395"/>
      <c r="W42" s="395"/>
      <c r="X42" s="395"/>
      <c r="Y42" s="128"/>
    </row>
    <row r="43" spans="2:25">
      <c r="B43" s="126"/>
      <c r="C43" s="395"/>
      <c r="D43" s="395"/>
      <c r="E43" s="395"/>
      <c r="F43" s="395"/>
      <c r="G43" s="395"/>
      <c r="H43" s="395"/>
      <c r="I43" s="395"/>
      <c r="J43" s="395"/>
      <c r="K43" s="395"/>
      <c r="L43" s="395"/>
      <c r="M43" s="395"/>
      <c r="N43" s="395"/>
      <c r="O43" s="395"/>
      <c r="P43" s="395"/>
      <c r="Q43" s="395"/>
      <c r="R43" s="395"/>
      <c r="S43" s="395"/>
      <c r="T43" s="395"/>
      <c r="U43" s="395"/>
      <c r="V43" s="395"/>
      <c r="W43" s="395"/>
      <c r="X43" s="395"/>
      <c r="Y43" s="128"/>
    </row>
    <row r="44" spans="2:25">
      <c r="B44" s="126"/>
      <c r="C44" s="395"/>
      <c r="D44" s="395"/>
      <c r="E44" s="395"/>
      <c r="F44" s="395"/>
      <c r="G44" s="395"/>
      <c r="H44" s="395"/>
      <c r="I44" s="395"/>
      <c r="J44" s="395"/>
      <c r="K44" s="395"/>
      <c r="L44" s="395"/>
      <c r="M44" s="395"/>
      <c r="N44" s="395"/>
      <c r="O44" s="395"/>
      <c r="P44" s="395"/>
      <c r="Q44" s="395"/>
      <c r="R44" s="395"/>
      <c r="S44" s="395"/>
      <c r="T44" s="395"/>
      <c r="U44" s="395"/>
      <c r="V44" s="395"/>
      <c r="W44" s="395"/>
      <c r="X44" s="395"/>
      <c r="Y44" s="128"/>
    </row>
    <row r="45" spans="2:25">
      <c r="B45" s="126"/>
      <c r="C45" s="395"/>
      <c r="D45" s="395"/>
      <c r="E45" s="395"/>
      <c r="F45" s="395"/>
      <c r="G45" s="395"/>
      <c r="H45" s="395"/>
      <c r="I45" s="395"/>
      <c r="J45" s="395"/>
      <c r="K45" s="395"/>
      <c r="L45" s="395"/>
      <c r="M45" s="395"/>
      <c r="N45" s="395"/>
      <c r="O45" s="395"/>
      <c r="P45" s="395"/>
      <c r="Q45" s="395"/>
      <c r="R45" s="395"/>
      <c r="S45" s="395"/>
      <c r="T45" s="395"/>
      <c r="U45" s="395"/>
      <c r="V45" s="395"/>
      <c r="W45" s="395"/>
      <c r="X45" s="395"/>
      <c r="Y45" s="128"/>
    </row>
    <row r="46" spans="2:25">
      <c r="B46" s="126"/>
      <c r="C46" s="395"/>
      <c r="D46" s="395"/>
      <c r="E46" s="395"/>
      <c r="F46" s="395"/>
      <c r="G46" s="395"/>
      <c r="H46" s="395"/>
      <c r="I46" s="395"/>
      <c r="J46" s="395"/>
      <c r="K46" s="395"/>
      <c r="L46" s="395"/>
      <c r="M46" s="395"/>
      <c r="N46" s="395"/>
      <c r="O46" s="395"/>
      <c r="P46" s="395"/>
      <c r="Q46" s="395"/>
      <c r="R46" s="395"/>
      <c r="S46" s="395"/>
      <c r="T46" s="395"/>
      <c r="U46" s="395"/>
      <c r="V46" s="395"/>
      <c r="W46" s="395"/>
      <c r="X46" s="395"/>
      <c r="Y46" s="128"/>
    </row>
    <row r="47" spans="2:25">
      <c r="B47" s="126"/>
      <c r="C47" s="395"/>
      <c r="D47" s="395"/>
      <c r="E47" s="395"/>
      <c r="F47" s="395"/>
      <c r="G47" s="395"/>
      <c r="H47" s="395"/>
      <c r="I47" s="395"/>
      <c r="J47" s="395"/>
      <c r="K47" s="395"/>
      <c r="L47" s="395"/>
      <c r="M47" s="395"/>
      <c r="N47" s="395"/>
      <c r="O47" s="395"/>
      <c r="P47" s="395"/>
      <c r="Q47" s="395"/>
      <c r="R47" s="395"/>
      <c r="S47" s="395"/>
      <c r="T47" s="395"/>
      <c r="U47" s="395"/>
      <c r="V47" s="395"/>
      <c r="W47" s="395"/>
      <c r="X47" s="395"/>
      <c r="Y47" s="128"/>
    </row>
    <row r="48" spans="2:25">
      <c r="B48" s="126"/>
      <c r="C48" s="395"/>
      <c r="D48" s="395"/>
      <c r="E48" s="395"/>
      <c r="F48" s="395"/>
      <c r="G48" s="395"/>
      <c r="H48" s="395"/>
      <c r="I48" s="395"/>
      <c r="J48" s="395"/>
      <c r="K48" s="395"/>
      <c r="L48" s="395"/>
      <c r="M48" s="395"/>
      <c r="N48" s="395"/>
      <c r="O48" s="395"/>
      <c r="P48" s="395"/>
      <c r="Q48" s="395"/>
      <c r="R48" s="395"/>
      <c r="S48" s="395"/>
      <c r="T48" s="395"/>
      <c r="U48" s="395"/>
      <c r="V48" s="395"/>
      <c r="W48" s="395"/>
      <c r="X48" s="395"/>
      <c r="Y48" s="128"/>
    </row>
    <row r="49" spans="2:25">
      <c r="B49" s="126"/>
      <c r="C49" s="395"/>
      <c r="D49" s="395"/>
      <c r="E49" s="395"/>
      <c r="F49" s="395"/>
      <c r="G49" s="395"/>
      <c r="H49" s="395"/>
      <c r="I49" s="395"/>
      <c r="J49" s="395"/>
      <c r="K49" s="395"/>
      <c r="L49" s="395"/>
      <c r="M49" s="395"/>
      <c r="N49" s="395"/>
      <c r="O49" s="395"/>
      <c r="P49" s="395"/>
      <c r="Q49" s="395"/>
      <c r="R49" s="395"/>
      <c r="S49" s="395"/>
      <c r="T49" s="395"/>
      <c r="U49" s="395"/>
      <c r="V49" s="395"/>
      <c r="W49" s="395"/>
      <c r="X49" s="395"/>
      <c r="Y49" s="128"/>
    </row>
    <row r="50" spans="2:25">
      <c r="B50" s="126"/>
      <c r="C50" s="395"/>
      <c r="D50" s="395"/>
      <c r="E50" s="395"/>
      <c r="F50" s="395"/>
      <c r="G50" s="395"/>
      <c r="H50" s="395"/>
      <c r="I50" s="395"/>
      <c r="J50" s="395"/>
      <c r="K50" s="395"/>
      <c r="L50" s="395"/>
      <c r="M50" s="395"/>
      <c r="N50" s="395"/>
      <c r="O50" s="395"/>
      <c r="P50" s="395"/>
      <c r="Q50" s="395"/>
      <c r="R50" s="395"/>
      <c r="S50" s="395"/>
      <c r="T50" s="395"/>
      <c r="U50" s="395"/>
      <c r="V50" s="395"/>
      <c r="W50" s="395"/>
      <c r="X50" s="395"/>
      <c r="Y50" s="128"/>
    </row>
    <row r="51" spans="2:25">
      <c r="B51" s="126"/>
      <c r="C51" s="395"/>
      <c r="D51" s="395"/>
      <c r="E51" s="395"/>
      <c r="F51" s="395"/>
      <c r="G51" s="395"/>
      <c r="H51" s="395"/>
      <c r="I51" s="395"/>
      <c r="J51" s="395"/>
      <c r="K51" s="395"/>
      <c r="L51" s="395"/>
      <c r="M51" s="395"/>
      <c r="N51" s="395"/>
      <c r="O51" s="395"/>
      <c r="P51" s="395"/>
      <c r="Q51" s="395"/>
      <c r="R51" s="395"/>
      <c r="S51" s="395"/>
      <c r="T51" s="395"/>
      <c r="U51" s="395"/>
      <c r="V51" s="395"/>
      <c r="W51" s="395"/>
      <c r="X51" s="395"/>
      <c r="Y51" s="128"/>
    </row>
    <row r="52" spans="2:25">
      <c r="B52" s="126"/>
      <c r="C52" s="395"/>
      <c r="D52" s="395"/>
      <c r="E52" s="395"/>
      <c r="F52" s="395"/>
      <c r="G52" s="395"/>
      <c r="H52" s="395"/>
      <c r="I52" s="395"/>
      <c r="J52" s="395"/>
      <c r="K52" s="395"/>
      <c r="L52" s="395"/>
      <c r="M52" s="395"/>
      <c r="N52" s="395"/>
      <c r="O52" s="395"/>
      <c r="P52" s="395"/>
      <c r="Q52" s="395"/>
      <c r="R52" s="395"/>
      <c r="S52" s="395"/>
      <c r="T52" s="395"/>
      <c r="U52" s="395"/>
      <c r="V52" s="395"/>
      <c r="W52" s="395"/>
      <c r="X52" s="395"/>
      <c r="Y52" s="128"/>
    </row>
    <row r="53" spans="2:25">
      <c r="B53" s="126"/>
      <c r="C53" s="395"/>
      <c r="D53" s="395"/>
      <c r="E53" s="395"/>
      <c r="F53" s="395"/>
      <c r="G53" s="395"/>
      <c r="H53" s="395"/>
      <c r="I53" s="395"/>
      <c r="J53" s="395"/>
      <c r="K53" s="395"/>
      <c r="L53" s="395"/>
      <c r="M53" s="395"/>
      <c r="N53" s="395"/>
      <c r="O53" s="395"/>
      <c r="P53" s="395"/>
      <c r="Q53" s="395"/>
      <c r="R53" s="395"/>
      <c r="S53" s="395"/>
      <c r="T53" s="395"/>
      <c r="U53" s="395"/>
      <c r="V53" s="395"/>
      <c r="W53" s="395"/>
      <c r="X53" s="395"/>
      <c r="Y53" s="128"/>
    </row>
    <row r="54" spans="2:25">
      <c r="B54" s="126"/>
      <c r="C54" s="395"/>
      <c r="D54" s="395"/>
      <c r="E54" s="395"/>
      <c r="F54" s="395"/>
      <c r="G54" s="395"/>
      <c r="H54" s="395"/>
      <c r="I54" s="395"/>
      <c r="J54" s="395"/>
      <c r="K54" s="395"/>
      <c r="L54" s="395"/>
      <c r="M54" s="395"/>
      <c r="N54" s="395"/>
      <c r="O54" s="395"/>
      <c r="P54" s="395"/>
      <c r="Q54" s="395"/>
      <c r="R54" s="395"/>
      <c r="S54" s="395"/>
      <c r="T54" s="395"/>
      <c r="U54" s="395"/>
      <c r="V54" s="395"/>
      <c r="W54" s="395"/>
      <c r="X54" s="395"/>
      <c r="Y54" s="128"/>
    </row>
    <row r="55" spans="2:25">
      <c r="B55" s="126"/>
      <c r="C55" s="395"/>
      <c r="D55" s="395"/>
      <c r="E55" s="395"/>
      <c r="F55" s="395"/>
      <c r="G55" s="395"/>
      <c r="H55" s="395"/>
      <c r="I55" s="395"/>
      <c r="J55" s="395"/>
      <c r="K55" s="395"/>
      <c r="L55" s="395"/>
      <c r="M55" s="395"/>
      <c r="N55" s="395"/>
      <c r="O55" s="395"/>
      <c r="P55" s="395"/>
      <c r="Q55" s="395"/>
      <c r="R55" s="395"/>
      <c r="S55" s="395"/>
      <c r="T55" s="395"/>
      <c r="U55" s="395"/>
      <c r="V55" s="395"/>
      <c r="W55" s="395"/>
      <c r="X55" s="395"/>
      <c r="Y55" s="128"/>
    </row>
    <row r="56" spans="2:25">
      <c r="B56" s="126"/>
      <c r="C56" s="395"/>
      <c r="D56" s="395"/>
      <c r="E56" s="395"/>
      <c r="F56" s="395"/>
      <c r="G56" s="395"/>
      <c r="H56" s="395"/>
      <c r="I56" s="395"/>
      <c r="J56" s="395"/>
      <c r="K56" s="395"/>
      <c r="L56" s="395"/>
      <c r="M56" s="395"/>
      <c r="N56" s="395"/>
      <c r="O56" s="395"/>
      <c r="P56" s="395"/>
      <c r="Q56" s="395"/>
      <c r="R56" s="395"/>
      <c r="S56" s="395"/>
      <c r="T56" s="395"/>
      <c r="U56" s="395"/>
      <c r="V56" s="395"/>
      <c r="W56" s="395"/>
      <c r="X56" s="395"/>
      <c r="Y56" s="128"/>
    </row>
    <row r="57" spans="2:25">
      <c r="B57" s="126"/>
      <c r="C57" s="395"/>
      <c r="D57" s="395"/>
      <c r="E57" s="395"/>
      <c r="F57" s="395"/>
      <c r="G57" s="395"/>
      <c r="H57" s="395"/>
      <c r="I57" s="395"/>
      <c r="J57" s="395"/>
      <c r="K57" s="395"/>
      <c r="L57" s="395"/>
      <c r="M57" s="395"/>
      <c r="N57" s="395"/>
      <c r="O57" s="395"/>
      <c r="P57" s="395"/>
      <c r="Q57" s="395"/>
      <c r="R57" s="395"/>
      <c r="S57" s="395"/>
      <c r="T57" s="395"/>
      <c r="U57" s="395"/>
      <c r="V57" s="395"/>
      <c r="W57" s="395"/>
      <c r="X57" s="395"/>
      <c r="Y57" s="128"/>
    </row>
    <row r="58" spans="2:25" ht="15" thickBot="1">
      <c r="B58" s="129"/>
      <c r="C58" s="130"/>
      <c r="D58" s="130"/>
      <c r="E58" s="130"/>
      <c r="F58" s="130"/>
      <c r="G58" s="130"/>
      <c r="H58" s="130"/>
      <c r="I58" s="130"/>
      <c r="J58" s="130"/>
      <c r="K58" s="130"/>
      <c r="L58" s="130"/>
      <c r="M58" s="130"/>
      <c r="N58" s="130"/>
      <c r="O58" s="130"/>
      <c r="P58" s="130"/>
      <c r="Q58" s="130"/>
      <c r="R58" s="130"/>
      <c r="S58" s="130"/>
      <c r="T58" s="130"/>
      <c r="U58" s="130"/>
      <c r="V58" s="130"/>
      <c r="W58" s="130"/>
      <c r="X58" s="130"/>
      <c r="Y58" s="131"/>
    </row>
  </sheetData>
  <mergeCells count="70">
    <mergeCell ref="J12:K12"/>
    <mergeCell ref="L12:M12"/>
    <mergeCell ref="J13:K13"/>
    <mergeCell ref="C10:E10"/>
    <mergeCell ref="D11:D25"/>
    <mergeCell ref="E11:G15"/>
    <mergeCell ref="H11:I11"/>
    <mergeCell ref="H12:H15"/>
    <mergeCell ref="L13:M13"/>
    <mergeCell ref="J14:K14"/>
    <mergeCell ref="L14:M14"/>
    <mergeCell ref="J15:K15"/>
    <mergeCell ref="L15:M15"/>
    <mergeCell ref="L25:M25"/>
    <mergeCell ref="E16:G20"/>
    <mergeCell ref="H16:I16"/>
    <mergeCell ref="B4:C4"/>
    <mergeCell ref="D4:F4"/>
    <mergeCell ref="G4:I4"/>
    <mergeCell ref="J4:O4"/>
    <mergeCell ref="C8:I9"/>
    <mergeCell ref="J8:K8"/>
    <mergeCell ref="L8:M8"/>
    <mergeCell ref="O8:S8"/>
    <mergeCell ref="S2:T2"/>
    <mergeCell ref="U2:V2"/>
    <mergeCell ref="W2:X2"/>
    <mergeCell ref="S3:T3"/>
    <mergeCell ref="U3:V3"/>
    <mergeCell ref="W3:X3"/>
    <mergeCell ref="C38:E38"/>
    <mergeCell ref="H17:H20"/>
    <mergeCell ref="J17:K17"/>
    <mergeCell ref="L17:M17"/>
    <mergeCell ref="J18:K18"/>
    <mergeCell ref="L18:M18"/>
    <mergeCell ref="J19:K19"/>
    <mergeCell ref="L19:M19"/>
    <mergeCell ref="J20:K20"/>
    <mergeCell ref="L20:M20"/>
    <mergeCell ref="C32:E32"/>
    <mergeCell ref="C33:E33"/>
    <mergeCell ref="C34:E34"/>
    <mergeCell ref="C35:E35"/>
    <mergeCell ref="C36:E36"/>
    <mergeCell ref="F29:I29"/>
    <mergeCell ref="J29:M29"/>
    <mergeCell ref="O29:S29"/>
    <mergeCell ref="T29:X29"/>
    <mergeCell ref="F30:G30"/>
    <mergeCell ref="H30:I30"/>
    <mergeCell ref="J30:K30"/>
    <mergeCell ref="L30:M30"/>
    <mergeCell ref="O30:S38"/>
    <mergeCell ref="C42:X57"/>
    <mergeCell ref="T30:X38"/>
    <mergeCell ref="O9:S17"/>
    <mergeCell ref="R19:X24"/>
    <mergeCell ref="E21:G25"/>
    <mergeCell ref="H21:I21"/>
    <mergeCell ref="H22:H25"/>
    <mergeCell ref="J22:K22"/>
    <mergeCell ref="L22:M22"/>
    <mergeCell ref="J23:K23"/>
    <mergeCell ref="L23:M23"/>
    <mergeCell ref="J24:K24"/>
    <mergeCell ref="L24:M24"/>
    <mergeCell ref="J25:K25"/>
    <mergeCell ref="O18:X18"/>
    <mergeCell ref="C29:E31"/>
  </mergeCells>
  <phoneticPr fontId="6"/>
  <pageMargins left="0.25" right="0.25" top="0.75" bottom="0.75" header="0.3" footer="0.3"/>
  <pageSetup paperSize="9" scale="59" fitToHeight="0"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0BA3-8567-4718-922F-659EC1AFA872}">
  <sheetPr>
    <tabColor rgb="FF00B050"/>
    <pageSetUpPr fitToPage="1"/>
  </sheetPr>
  <dimension ref="B1:T55"/>
  <sheetViews>
    <sheetView view="pageBreakPreview" zoomScale="54" zoomScaleNormal="62" zoomScaleSheetLayoutView="54" workbookViewId="0">
      <pane xSplit="10" ySplit="8" topLeftCell="K9" activePane="bottomRight" state="frozen"/>
      <selection pane="topRight" activeCell="N32" sqref="N32"/>
      <selection pane="bottomLeft" activeCell="N32" sqref="N32"/>
      <selection pane="bottomRight" activeCell="N32" sqref="N32"/>
    </sheetView>
  </sheetViews>
  <sheetFormatPr defaultColWidth="8.81640625" defaultRowHeight="14.5"/>
  <cols>
    <col min="1" max="1" width="1.7265625" customWidth="1"/>
    <col min="2" max="2" width="2.26953125" customWidth="1"/>
    <col min="3" max="3" width="20.54296875" customWidth="1"/>
    <col min="4" max="4" width="28.81640625" customWidth="1"/>
    <col min="5" max="5" width="19.1796875" customWidth="1"/>
    <col min="6" max="7" width="20" customWidth="1"/>
    <col min="8" max="10" width="9.1796875" customWidth="1"/>
    <col min="11" max="13" width="81.81640625" customWidth="1"/>
    <col min="14" max="16" width="10.54296875" customWidth="1"/>
    <col min="20" max="20" width="18.81640625" customWidth="1"/>
  </cols>
  <sheetData>
    <row r="1" spans="2:20" ht="26">
      <c r="B1" s="35"/>
      <c r="F1" s="36"/>
      <c r="G1" s="36"/>
      <c r="H1" s="36"/>
      <c r="I1" s="37"/>
      <c r="J1" s="37"/>
      <c r="K1" s="37"/>
      <c r="L1" s="37"/>
      <c r="M1" s="38" t="s">
        <v>36</v>
      </c>
      <c r="N1" s="463">
        <v>45128</v>
      </c>
      <c r="O1" s="464"/>
      <c r="P1" s="464"/>
    </row>
    <row r="2" spans="2:20" ht="39.5">
      <c r="B2" s="35"/>
      <c r="C2" s="40" t="s">
        <v>37</v>
      </c>
      <c r="D2" s="35"/>
      <c r="E2" s="35"/>
      <c r="F2" s="37"/>
      <c r="G2" s="37"/>
      <c r="H2" s="37"/>
      <c r="I2" s="37"/>
      <c r="J2" s="37"/>
      <c r="K2" s="37"/>
      <c r="L2" s="37"/>
      <c r="M2" s="37"/>
      <c r="N2" s="37"/>
      <c r="O2" s="37"/>
      <c r="P2" s="37"/>
    </row>
    <row r="3" spans="2:20" ht="16.5">
      <c r="B3" s="35"/>
      <c r="C3" s="35"/>
      <c r="D3" s="35"/>
    </row>
    <row r="4" spans="2:20" ht="57" customHeight="1">
      <c r="B4" s="35"/>
      <c r="C4" s="41" t="s">
        <v>38</v>
      </c>
      <c r="D4" s="467" t="str">
        <f>'Safety Cover'!D4</f>
        <v>BMT</v>
      </c>
      <c r="E4" s="468"/>
      <c r="N4" s="465" t="s">
        <v>39</v>
      </c>
      <c r="O4" s="466"/>
      <c r="P4" s="466"/>
    </row>
    <row r="5" spans="2:20" ht="16.5">
      <c r="B5" s="35"/>
      <c r="C5" s="35"/>
      <c r="D5" s="35"/>
      <c r="E5" s="38"/>
      <c r="F5" s="39"/>
      <c r="G5" s="39"/>
      <c r="H5" s="39"/>
      <c r="I5" s="39"/>
      <c r="J5" s="39"/>
      <c r="K5" s="39"/>
      <c r="L5" s="39"/>
      <c r="M5" s="39"/>
      <c r="N5" s="39"/>
      <c r="O5" s="39"/>
      <c r="P5" s="39"/>
    </row>
    <row r="6" spans="2:20" ht="16.5">
      <c r="B6" s="35"/>
      <c r="C6" s="456" t="s">
        <v>40</v>
      </c>
      <c r="D6" s="457" t="s">
        <v>41</v>
      </c>
      <c r="E6" s="457" t="s">
        <v>42</v>
      </c>
      <c r="F6" s="457" t="s">
        <v>43</v>
      </c>
      <c r="G6" s="457" t="s">
        <v>44</v>
      </c>
      <c r="H6" s="469" t="s">
        <v>45</v>
      </c>
      <c r="I6" s="470"/>
      <c r="J6" s="458" t="s">
        <v>46</v>
      </c>
      <c r="K6" s="457" t="s">
        <v>47</v>
      </c>
      <c r="L6" s="456" t="s">
        <v>48</v>
      </c>
      <c r="M6" s="457" t="s">
        <v>49</v>
      </c>
      <c r="N6" s="457" t="s">
        <v>50</v>
      </c>
      <c r="O6" s="457"/>
      <c r="P6" s="457"/>
    </row>
    <row r="7" spans="2:20" ht="18" customHeight="1">
      <c r="B7" s="35"/>
      <c r="C7" s="457"/>
      <c r="D7" s="457"/>
      <c r="E7" s="457"/>
      <c r="F7" s="457"/>
      <c r="G7" s="457"/>
      <c r="H7" s="457">
        <v>2024</v>
      </c>
      <c r="I7" s="457">
        <v>2025</v>
      </c>
      <c r="J7" s="459"/>
      <c r="K7" s="457"/>
      <c r="L7" s="457"/>
      <c r="M7" s="457"/>
      <c r="N7" s="457" t="s">
        <v>51</v>
      </c>
      <c r="O7" s="456" t="s">
        <v>52</v>
      </c>
      <c r="P7" s="457" t="s">
        <v>53</v>
      </c>
    </row>
    <row r="8" spans="2:20" ht="16.5">
      <c r="B8" s="35"/>
      <c r="C8" s="457"/>
      <c r="D8" s="457"/>
      <c r="E8" s="457"/>
      <c r="F8" s="457"/>
      <c r="G8" s="457"/>
      <c r="H8" s="457"/>
      <c r="I8" s="457"/>
      <c r="J8" s="460"/>
      <c r="K8" s="457"/>
      <c r="L8" s="457"/>
      <c r="M8" s="457"/>
      <c r="N8" s="457"/>
      <c r="O8" s="457"/>
      <c r="P8" s="457"/>
    </row>
    <row r="9" spans="2:20" ht="51.75" customHeight="1">
      <c r="B9" s="35"/>
      <c r="C9" s="456" t="s">
        <v>54</v>
      </c>
      <c r="D9" s="461" t="s">
        <v>55</v>
      </c>
      <c r="E9" s="456" t="s">
        <v>56</v>
      </c>
      <c r="F9" s="59" t="s">
        <v>57</v>
      </c>
      <c r="G9" s="24" t="s">
        <v>23</v>
      </c>
      <c r="H9" s="42" t="str">
        <f>INDEX(Data!$P$4:$AA$33,MATCH('Safety Instruction'!$F9,Data!$Q$4:$Q$33,0),MATCH('Safety Instruction'!$D$4,Data!$P$4:$AA$4,0))</f>
        <v>A</v>
      </c>
      <c r="I9" s="145" t="str">
        <f>'Safety cal.'!Z15</f>
        <v>A</v>
      </c>
      <c r="J9" s="74" t="s">
        <v>58</v>
      </c>
      <c r="K9" s="135" t="s">
        <v>59</v>
      </c>
      <c r="L9" s="135" t="s">
        <v>60</v>
      </c>
      <c r="M9" s="135" t="s">
        <v>61</v>
      </c>
      <c r="N9" s="74"/>
      <c r="O9" s="74" t="s">
        <v>62</v>
      </c>
      <c r="P9" s="74"/>
      <c r="S9" s="57" t="s">
        <v>63</v>
      </c>
      <c r="T9" s="59" t="s">
        <v>57</v>
      </c>
    </row>
    <row r="10" spans="2:20" ht="51.75" customHeight="1">
      <c r="B10" s="35"/>
      <c r="C10" s="456"/>
      <c r="D10" s="462"/>
      <c r="E10" s="456"/>
      <c r="F10" s="59" t="s">
        <v>64</v>
      </c>
      <c r="G10" s="24" t="s">
        <v>20</v>
      </c>
      <c r="H10" s="42" t="str">
        <f>INDEX(Data!$P$4:$AA$33,MATCH('Safety Instruction'!$F10,Data!$Q$4:$Q$33,0),MATCH('Safety Instruction'!$D$4,Data!$P$4:$AA$4,0))</f>
        <v>C</v>
      </c>
      <c r="I10" s="146" t="str">
        <f>'Safety cal.'!Z16</f>
        <v>A</v>
      </c>
      <c r="J10" s="74" t="s">
        <v>65</v>
      </c>
      <c r="K10" s="135" t="s">
        <v>66</v>
      </c>
      <c r="L10" s="135" t="s">
        <v>67</v>
      </c>
      <c r="M10" s="135" t="s">
        <v>68</v>
      </c>
      <c r="N10" s="74"/>
      <c r="O10" s="74" t="s">
        <v>62</v>
      </c>
      <c r="P10" s="74"/>
      <c r="S10" s="57" t="s">
        <v>69</v>
      </c>
      <c r="T10" s="59" t="s">
        <v>64</v>
      </c>
    </row>
    <row r="11" spans="2:20" ht="51.75" customHeight="1">
      <c r="C11" s="456"/>
      <c r="D11" s="462"/>
      <c r="E11" s="456"/>
      <c r="F11" s="59" t="s">
        <v>70</v>
      </c>
      <c r="G11" s="24" t="s">
        <v>23</v>
      </c>
      <c r="H11" s="42" t="str">
        <f>INDEX(Data!$P$4:$AA$33,MATCH('Safety Instruction'!$F11,Data!$Q$4:$Q$33,0),MATCH('Safety Instruction'!$D$4,Data!$P$4:$AA$4,0))</f>
        <v>A</v>
      </c>
      <c r="I11" s="42" t="str">
        <f>'Safety cal.'!Z17</f>
        <v>A</v>
      </c>
      <c r="J11" s="134" t="s">
        <v>58</v>
      </c>
      <c r="K11" s="135" t="s">
        <v>71</v>
      </c>
      <c r="L11" s="74" t="s">
        <v>72</v>
      </c>
      <c r="M11" s="135" t="s">
        <v>73</v>
      </c>
      <c r="N11" s="74" t="s">
        <v>62</v>
      </c>
      <c r="O11" s="74"/>
      <c r="P11" s="74"/>
      <c r="S11" s="57" t="s">
        <v>74</v>
      </c>
      <c r="T11" s="59" t="s">
        <v>70</v>
      </c>
    </row>
    <row r="12" spans="2:20" ht="51.75" customHeight="1">
      <c r="C12" s="456"/>
      <c r="D12" s="462"/>
      <c r="E12" s="456"/>
      <c r="F12" s="59" t="s">
        <v>75</v>
      </c>
      <c r="G12" s="24" t="s">
        <v>20</v>
      </c>
      <c r="H12" s="42" t="str">
        <f>INDEX(Data!$P$4:$AA$33,MATCH('Safety Instruction'!$F12,Data!$Q$4:$Q$33,0),MATCH('Safety Instruction'!$D$4,Data!$P$4:$AA$4,0))</f>
        <v>A</v>
      </c>
      <c r="I12" s="42" t="str">
        <f>'Safety cal.'!Z18</f>
        <v>A</v>
      </c>
      <c r="J12" s="74" t="s">
        <v>58</v>
      </c>
      <c r="K12" s="135" t="s">
        <v>71</v>
      </c>
      <c r="L12" s="74" t="s">
        <v>72</v>
      </c>
      <c r="M12" s="135" t="s">
        <v>76</v>
      </c>
      <c r="N12" s="74" t="s">
        <v>62</v>
      </c>
      <c r="O12" s="74"/>
      <c r="P12" s="74"/>
      <c r="S12" s="57" t="s">
        <v>77</v>
      </c>
      <c r="T12" s="59" t="s">
        <v>75</v>
      </c>
    </row>
    <row r="13" spans="2:20" ht="51.75" customHeight="1">
      <c r="C13" s="456" t="s">
        <v>78</v>
      </c>
      <c r="D13" s="456" t="s">
        <v>79</v>
      </c>
      <c r="E13" s="456" t="s">
        <v>78</v>
      </c>
      <c r="F13" s="59" t="s">
        <v>80</v>
      </c>
      <c r="G13" s="24" t="s">
        <v>20</v>
      </c>
      <c r="H13" s="42" t="str">
        <f>INDEX(Data!$P$4:$AA$33,MATCH('Safety Instruction'!$F13,Data!$Q$4:$Q$33,0),MATCH('Safety Instruction'!$D$4,Data!$P$4:$AA$4,0))</f>
        <v>B+</v>
      </c>
      <c r="I13" s="146" t="str">
        <f>'Safety cal.'!Z19</f>
        <v>A</v>
      </c>
      <c r="J13" s="74" t="s">
        <v>58</v>
      </c>
      <c r="K13" s="135" t="s">
        <v>71</v>
      </c>
      <c r="L13" s="74" t="s">
        <v>72</v>
      </c>
      <c r="M13" s="135" t="s">
        <v>81</v>
      </c>
      <c r="N13" s="74" t="s">
        <v>62</v>
      </c>
      <c r="O13" s="74"/>
      <c r="P13" s="74"/>
      <c r="S13" s="57" t="s">
        <v>82</v>
      </c>
      <c r="T13" s="59" t="s">
        <v>80</v>
      </c>
    </row>
    <row r="14" spans="2:20" ht="51.75" customHeight="1">
      <c r="C14" s="456"/>
      <c r="D14" s="456"/>
      <c r="E14" s="456"/>
      <c r="F14" s="59" t="s">
        <v>83</v>
      </c>
      <c r="G14" s="24" t="s">
        <v>20</v>
      </c>
      <c r="H14" s="42" t="str">
        <f>INDEX(Data!$P$4:$AA$33,MATCH('Safety Instruction'!$F14,Data!$Q$4:$Q$33,0),MATCH('Safety Instruction'!$D$4,Data!$P$4:$AA$4,0))</f>
        <v>C</v>
      </c>
      <c r="I14" s="146" t="str">
        <f>'Safety cal.'!Z20</f>
        <v>A</v>
      </c>
      <c r="J14" s="74" t="s">
        <v>65</v>
      </c>
      <c r="K14" s="135" t="s">
        <v>84</v>
      </c>
      <c r="L14" s="135" t="s">
        <v>85</v>
      </c>
      <c r="M14" s="135" t="s">
        <v>86</v>
      </c>
      <c r="N14" s="74"/>
      <c r="O14" s="74" t="s">
        <v>62</v>
      </c>
      <c r="P14" s="74"/>
      <c r="S14" s="57" t="s">
        <v>87</v>
      </c>
      <c r="T14" s="59" t="s">
        <v>83</v>
      </c>
    </row>
    <row r="15" spans="2:20" ht="51.75" customHeight="1">
      <c r="C15" s="456"/>
      <c r="D15" s="456"/>
      <c r="E15" s="456"/>
      <c r="F15" s="59" t="s">
        <v>88</v>
      </c>
      <c r="G15" s="24" t="s">
        <v>20</v>
      </c>
      <c r="H15" s="42" t="str">
        <f>INDEX(Data!$P$4:$AA$33,MATCH('Safety Instruction'!$F15,Data!$Q$4:$Q$33,0),MATCH('Safety Instruction'!$D$4,Data!$P$4:$AA$4,0))</f>
        <v>C</v>
      </c>
      <c r="I15" s="146" t="str">
        <f>'Safety cal.'!Z21</f>
        <v>A</v>
      </c>
      <c r="J15" s="74" t="s">
        <v>65</v>
      </c>
      <c r="K15" s="135" t="s">
        <v>89</v>
      </c>
      <c r="L15" s="135" t="s">
        <v>90</v>
      </c>
      <c r="M15" s="135" t="s">
        <v>91</v>
      </c>
      <c r="N15" s="74"/>
      <c r="O15" s="74" t="s">
        <v>62</v>
      </c>
      <c r="P15" s="74"/>
      <c r="S15" s="57" t="s">
        <v>92</v>
      </c>
      <c r="T15" s="59" t="s">
        <v>88</v>
      </c>
    </row>
    <row r="16" spans="2:20" ht="51.75" customHeight="1">
      <c r="C16" s="456"/>
      <c r="D16" s="456"/>
      <c r="E16" s="456"/>
      <c r="F16" s="59" t="s">
        <v>93</v>
      </c>
      <c r="G16" s="24" t="s">
        <v>22</v>
      </c>
      <c r="H16" s="42" t="str">
        <f>INDEX(Data!$P$4:$AA$33,MATCH('Safety Instruction'!$F16,Data!$Q$4:$Q$33,0),MATCH('Safety Instruction'!$D$4,Data!$P$4:$AA$4,0))</f>
        <v>B-</v>
      </c>
      <c r="I16" s="148" t="str">
        <f>'Safety cal.'!Z22</f>
        <v>A</v>
      </c>
      <c r="J16" s="74" t="s">
        <v>16</v>
      </c>
      <c r="K16" s="135" t="s">
        <v>94</v>
      </c>
      <c r="L16" s="135" t="s">
        <v>95</v>
      </c>
      <c r="M16" s="135" t="s">
        <v>96</v>
      </c>
      <c r="N16" s="74"/>
      <c r="O16" s="74" t="s">
        <v>62</v>
      </c>
      <c r="P16" s="74"/>
      <c r="S16" s="57" t="s">
        <v>97</v>
      </c>
      <c r="T16" s="59" t="s">
        <v>93</v>
      </c>
    </row>
    <row r="17" spans="3:20" ht="51.75" customHeight="1">
      <c r="C17" s="456"/>
      <c r="D17" s="456"/>
      <c r="E17" s="456"/>
      <c r="F17" s="59" t="s">
        <v>98</v>
      </c>
      <c r="G17" s="24" t="s">
        <v>22</v>
      </c>
      <c r="H17" s="42" t="str">
        <f>INDEX(Data!$P$4:$AA$33,MATCH('Safety Instruction'!$F17,Data!$Q$4:$Q$33,0),MATCH('Safety Instruction'!$D$4,Data!$P$4:$AA$4,0))</f>
        <v>A</v>
      </c>
      <c r="I17" s="42" t="str">
        <f>'Safety cal.'!Z23</f>
        <v>A</v>
      </c>
      <c r="J17" s="74" t="s">
        <v>58</v>
      </c>
      <c r="K17" s="135" t="s">
        <v>71</v>
      </c>
      <c r="L17" s="74" t="s">
        <v>72</v>
      </c>
      <c r="M17" s="135" t="s">
        <v>99</v>
      </c>
      <c r="N17" s="74" t="s">
        <v>62</v>
      </c>
      <c r="O17" s="74"/>
      <c r="P17" s="74"/>
      <c r="S17" s="57" t="s">
        <v>100</v>
      </c>
    </row>
    <row r="18" spans="3:20" ht="51.75" customHeight="1">
      <c r="C18" s="456" t="s">
        <v>101</v>
      </c>
      <c r="D18" s="456" t="s">
        <v>102</v>
      </c>
      <c r="E18" s="457" t="s">
        <v>103</v>
      </c>
      <c r="F18" s="59" t="s">
        <v>104</v>
      </c>
      <c r="G18" s="24" t="s">
        <v>23</v>
      </c>
      <c r="H18" s="42" t="str">
        <f>INDEX(Data!$P$4:$AA$33,MATCH('Safety Instruction'!$F18,Data!$Q$4:$Q$33,0),MATCH('Safety Instruction'!$D$4,Data!$P$4:$AA$4,0))</f>
        <v>B+</v>
      </c>
      <c r="I18" s="42" t="str">
        <f>'Safety cal.'!Z24</f>
        <v>A</v>
      </c>
      <c r="J18" s="74" t="s">
        <v>58</v>
      </c>
      <c r="K18" s="137" t="s">
        <v>105</v>
      </c>
      <c r="L18" s="135" t="s">
        <v>106</v>
      </c>
      <c r="M18" s="135" t="s">
        <v>107</v>
      </c>
      <c r="N18" s="74"/>
      <c r="O18" s="74" t="s">
        <v>62</v>
      </c>
      <c r="P18" s="74"/>
      <c r="S18" s="57" t="s">
        <v>108</v>
      </c>
      <c r="T18" s="59" t="s">
        <v>98</v>
      </c>
    </row>
    <row r="19" spans="3:20" ht="51.75" customHeight="1">
      <c r="C19" s="456"/>
      <c r="D19" s="456"/>
      <c r="E19" s="457"/>
      <c r="F19" s="59" t="s">
        <v>109</v>
      </c>
      <c r="G19" s="24" t="s">
        <v>23</v>
      </c>
      <c r="H19" s="42" t="str">
        <f>INDEX(Data!$P$4:$AA$33,MATCH('Safety Instruction'!$F19,Data!$Q$4:$Q$33,0),MATCH('Safety Instruction'!$D$4,Data!$P$4:$AA$4,0))</f>
        <v>B+</v>
      </c>
      <c r="I19" s="145" t="str">
        <f>'Safety cal.'!Z25</f>
        <v>A</v>
      </c>
      <c r="J19" s="74" t="s">
        <v>65</v>
      </c>
      <c r="K19" s="137" t="s">
        <v>110</v>
      </c>
      <c r="L19" s="135" t="s">
        <v>111</v>
      </c>
      <c r="M19" s="135" t="s">
        <v>112</v>
      </c>
      <c r="N19" s="74"/>
      <c r="O19" s="74" t="s">
        <v>62</v>
      </c>
      <c r="P19" s="74"/>
      <c r="S19" s="57" t="s">
        <v>113</v>
      </c>
      <c r="T19" s="59" t="s">
        <v>104</v>
      </c>
    </row>
    <row r="20" spans="3:20" ht="51.75" customHeight="1">
      <c r="C20" s="456"/>
      <c r="D20" s="456"/>
      <c r="E20" s="457"/>
      <c r="F20" s="59" t="s">
        <v>114</v>
      </c>
      <c r="G20" s="24" t="s">
        <v>23</v>
      </c>
      <c r="H20" s="42" t="str">
        <f>INDEX(Data!$P$4:$AA$33,MATCH('Safety Instruction'!$F20,Data!$Q$4:$Q$33,0),MATCH('Safety Instruction'!$D$4,Data!$P$4:$AA$4,0))</f>
        <v>A</v>
      </c>
      <c r="I20" s="42" t="str">
        <f>'Safety cal.'!Z26</f>
        <v>A</v>
      </c>
      <c r="J20" s="142" t="s">
        <v>58</v>
      </c>
      <c r="K20" s="135" t="s">
        <v>71</v>
      </c>
      <c r="L20" s="74" t="s">
        <v>72</v>
      </c>
      <c r="M20" s="135" t="s">
        <v>115</v>
      </c>
      <c r="N20" s="74" t="s">
        <v>62</v>
      </c>
      <c r="O20" s="74"/>
      <c r="P20" s="74"/>
      <c r="S20" s="57" t="s">
        <v>116</v>
      </c>
      <c r="T20" s="59" t="s">
        <v>109</v>
      </c>
    </row>
    <row r="21" spans="3:20" ht="51.75" customHeight="1">
      <c r="C21" s="456" t="s">
        <v>117</v>
      </c>
      <c r="D21" s="456" t="s">
        <v>118</v>
      </c>
      <c r="E21" s="458" t="s">
        <v>119</v>
      </c>
      <c r="F21" s="59" t="s">
        <v>120</v>
      </c>
      <c r="G21" s="24" t="s">
        <v>22</v>
      </c>
      <c r="H21" s="42" t="str">
        <f>INDEX(Data!$P$4:$AA$33,MATCH('Safety Instruction'!$F21,Data!$Q$4:$Q$33,0),MATCH('Safety Instruction'!$D$4,Data!$P$4:$AA$4,0))</f>
        <v>-</v>
      </c>
      <c r="I21" s="147" t="str">
        <f>'Safety cal.'!Z27</f>
        <v>A</v>
      </c>
      <c r="J21" s="74" t="s">
        <v>16</v>
      </c>
      <c r="K21" s="135" t="s">
        <v>121</v>
      </c>
      <c r="L21" s="135" t="s">
        <v>122</v>
      </c>
      <c r="M21" s="135" t="s">
        <v>123</v>
      </c>
      <c r="N21" s="74"/>
      <c r="O21" s="74" t="s">
        <v>62</v>
      </c>
      <c r="P21" s="74"/>
      <c r="S21" s="57" t="s">
        <v>124</v>
      </c>
      <c r="T21" s="59" t="s">
        <v>114</v>
      </c>
    </row>
    <row r="22" spans="3:20" ht="51.75" customHeight="1">
      <c r="C22" s="456"/>
      <c r="D22" s="456"/>
      <c r="E22" s="459"/>
      <c r="F22" s="59" t="s">
        <v>125</v>
      </c>
      <c r="G22" s="24" t="s">
        <v>20</v>
      </c>
      <c r="H22" s="42" t="str">
        <f>INDEX(Data!$P$4:$AA$33,MATCH('Safety Instruction'!$F22,Data!$Q$4:$Q$33,0),MATCH('Safety Instruction'!$D$4,Data!$P$4:$AA$4,0))</f>
        <v>B+</v>
      </c>
      <c r="I22" s="42" t="str">
        <f>'Safety cal.'!Z28</f>
        <v>A</v>
      </c>
      <c r="J22" s="74" t="s">
        <v>65</v>
      </c>
      <c r="K22" s="135" t="s">
        <v>126</v>
      </c>
      <c r="L22" s="135" t="s">
        <v>127</v>
      </c>
      <c r="M22" s="135" t="s">
        <v>128</v>
      </c>
      <c r="N22" s="74"/>
      <c r="O22" s="74" t="s">
        <v>62</v>
      </c>
      <c r="P22" s="74"/>
      <c r="S22" s="57" t="s">
        <v>129</v>
      </c>
      <c r="T22" s="59" t="s">
        <v>130</v>
      </c>
    </row>
    <row r="23" spans="3:20" ht="51.75" customHeight="1">
      <c r="C23" s="456"/>
      <c r="D23" s="456"/>
      <c r="E23" s="459"/>
      <c r="F23" s="59" t="s">
        <v>131</v>
      </c>
      <c r="G23" s="24" t="s">
        <v>22</v>
      </c>
      <c r="H23" s="42" t="str">
        <f>INDEX(Data!$P$4:$AA$33,MATCH('Safety Instruction'!$F23,Data!$Q$4:$Q$33,0),MATCH('Safety Instruction'!$D$4,Data!$P$4:$AA$4,0))</f>
        <v>A</v>
      </c>
      <c r="I23" s="42" t="str">
        <f>'Safety cal.'!Z29</f>
        <v>A</v>
      </c>
      <c r="J23" s="74" t="s">
        <v>58</v>
      </c>
      <c r="K23" s="135" t="s">
        <v>71</v>
      </c>
      <c r="L23" s="74" t="s">
        <v>72</v>
      </c>
      <c r="M23" s="135" t="s">
        <v>132</v>
      </c>
      <c r="N23" s="74" t="s">
        <v>62</v>
      </c>
      <c r="O23" s="74"/>
      <c r="P23" s="74"/>
      <c r="S23" s="57" t="s">
        <v>133</v>
      </c>
      <c r="T23" s="59" t="s">
        <v>125</v>
      </c>
    </row>
    <row r="24" spans="3:20" ht="51.75" customHeight="1">
      <c r="C24" s="456"/>
      <c r="D24" s="456"/>
      <c r="E24" s="459"/>
      <c r="F24" s="59" t="s">
        <v>134</v>
      </c>
      <c r="G24" s="24" t="s">
        <v>20</v>
      </c>
      <c r="H24" s="42" t="str">
        <f>INDEX(Data!$P$4:$AA$33,MATCH('Safety Instruction'!$F24,Data!$Q$4:$Q$33,0),MATCH('Safety Instruction'!$D$4,Data!$P$4:$AA$4,0))</f>
        <v>B</v>
      </c>
      <c r="I24" s="146" t="str">
        <f>'Safety cal.'!Z30</f>
        <v>A</v>
      </c>
      <c r="J24" s="74" t="s">
        <v>58</v>
      </c>
      <c r="K24" s="135" t="s">
        <v>135</v>
      </c>
      <c r="L24" s="135" t="s">
        <v>136</v>
      </c>
      <c r="M24" s="135" t="s">
        <v>137</v>
      </c>
      <c r="N24" s="74" t="s">
        <v>62</v>
      </c>
      <c r="O24" s="74"/>
      <c r="P24" s="74"/>
      <c r="S24" s="57" t="s">
        <v>138</v>
      </c>
      <c r="T24" s="59" t="s">
        <v>131</v>
      </c>
    </row>
    <row r="25" spans="3:20" ht="51.75" customHeight="1">
      <c r="C25" s="456"/>
      <c r="D25" s="456"/>
      <c r="E25" s="459"/>
      <c r="F25" s="59" t="s">
        <v>139</v>
      </c>
      <c r="G25" s="24" t="s">
        <v>20</v>
      </c>
      <c r="H25" s="42" t="str">
        <f>INDEX(Data!$P$4:$AA$33,MATCH('Safety Instruction'!$F25,Data!$Q$4:$Q$33,0),MATCH('Safety Instruction'!$D$4,Data!$P$4:$AA$4,0))</f>
        <v>B</v>
      </c>
      <c r="I25" s="42" t="str">
        <f>'Safety cal.'!Z31</f>
        <v>A</v>
      </c>
      <c r="J25" s="74" t="s">
        <v>16</v>
      </c>
      <c r="K25" s="135" t="s">
        <v>140</v>
      </c>
      <c r="L25" s="135" t="s">
        <v>141</v>
      </c>
      <c r="M25" s="135" t="s">
        <v>142</v>
      </c>
      <c r="N25" s="74"/>
      <c r="O25" s="74" t="s">
        <v>62</v>
      </c>
      <c r="P25" s="74"/>
      <c r="S25" s="57" t="s">
        <v>143</v>
      </c>
      <c r="T25" s="59" t="s">
        <v>134</v>
      </c>
    </row>
    <row r="26" spans="3:20" ht="51.75" customHeight="1">
      <c r="C26" s="456"/>
      <c r="D26" s="456"/>
      <c r="E26" s="459"/>
      <c r="F26" s="59" t="s">
        <v>144</v>
      </c>
      <c r="G26" s="24" t="s">
        <v>22</v>
      </c>
      <c r="H26" s="42" t="str">
        <f>INDEX(Data!$P$4:$AA$33,MATCH('Safety Instruction'!$F26,Data!$Q$4:$Q$33,0),MATCH('Safety Instruction'!$D$4,Data!$P$4:$AA$4,0))</f>
        <v>B+</v>
      </c>
      <c r="I26" s="148" t="str">
        <f>'Safety cal.'!Z32</f>
        <v>A</v>
      </c>
      <c r="J26" s="74" t="s">
        <v>65</v>
      </c>
      <c r="K26" s="135" t="s">
        <v>145</v>
      </c>
      <c r="L26" s="135" t="s">
        <v>146</v>
      </c>
      <c r="M26" s="135" t="s">
        <v>147</v>
      </c>
      <c r="N26" s="74"/>
      <c r="O26" s="74" t="s">
        <v>62</v>
      </c>
      <c r="P26" s="74"/>
      <c r="S26" s="57" t="s">
        <v>148</v>
      </c>
      <c r="T26" s="59" t="s">
        <v>139</v>
      </c>
    </row>
    <row r="27" spans="3:20" ht="51.75" customHeight="1">
      <c r="C27" s="456"/>
      <c r="D27" s="456"/>
      <c r="E27" s="460"/>
      <c r="F27" s="59" t="s">
        <v>149</v>
      </c>
      <c r="G27" s="24" t="s">
        <v>20</v>
      </c>
      <c r="H27" s="42" t="str">
        <f>INDEX(Data!$P$4:$AA$33,MATCH('Safety Instruction'!$F27,Data!$Q$4:$Q$33,0),MATCH('Safety Instruction'!$D$4,Data!$P$4:$AA$4,0))</f>
        <v>-</v>
      </c>
      <c r="I27" s="42" t="str">
        <f>'Safety cal.'!Z33</f>
        <v>A</v>
      </c>
      <c r="J27" s="74" t="s">
        <v>58</v>
      </c>
      <c r="K27" s="135" t="s">
        <v>71</v>
      </c>
      <c r="L27" s="74" t="s">
        <v>72</v>
      </c>
      <c r="M27" s="135" t="s">
        <v>150</v>
      </c>
      <c r="N27" s="74" t="s">
        <v>62</v>
      </c>
      <c r="O27" s="74"/>
      <c r="P27" s="74"/>
      <c r="S27" s="57" t="s">
        <v>151</v>
      </c>
      <c r="T27" s="59" t="s">
        <v>144</v>
      </c>
    </row>
    <row r="28" spans="3:20" ht="51.75" customHeight="1">
      <c r="C28" s="456"/>
      <c r="D28" s="456"/>
      <c r="E28" s="459"/>
      <c r="F28" s="59" t="s">
        <v>152</v>
      </c>
      <c r="G28" s="24" t="s">
        <v>23</v>
      </c>
      <c r="H28" s="42" t="str">
        <f>INDEX(Data!$P$4:$AA$33,MATCH('Safety Instruction'!$F28,Data!$Q$4:$Q$33,0),MATCH('Safety Instruction'!$D$4,Data!$P$4:$AA$4,0))</f>
        <v>B+</v>
      </c>
      <c r="I28" s="42" t="str">
        <f>'Safety cal.'!Z34</f>
        <v>A</v>
      </c>
      <c r="J28" s="74" t="s">
        <v>58</v>
      </c>
      <c r="K28" s="137" t="s">
        <v>153</v>
      </c>
      <c r="L28" s="135" t="s">
        <v>154</v>
      </c>
      <c r="M28" s="135" t="s">
        <v>155</v>
      </c>
      <c r="N28" s="74" t="s">
        <v>62</v>
      </c>
      <c r="O28" s="74"/>
      <c r="P28" s="74"/>
      <c r="S28" s="57" t="s">
        <v>156</v>
      </c>
      <c r="T28" s="59" t="s">
        <v>149</v>
      </c>
    </row>
    <row r="29" spans="3:20" ht="75.75" customHeight="1">
      <c r="C29" s="456"/>
      <c r="D29" s="456"/>
      <c r="E29" s="459"/>
      <c r="F29" s="59" t="s">
        <v>157</v>
      </c>
      <c r="G29" s="24" t="s">
        <v>23</v>
      </c>
      <c r="H29" s="42" t="str">
        <f>INDEX(Data!$P$4:$AA$33,MATCH('Safety Instruction'!$F29,Data!$Q$4:$Q$33,0),MATCH('Safety Instruction'!$D$4,Data!$P$4:$AA$4,0))</f>
        <v>B+</v>
      </c>
      <c r="I29" s="42" t="str">
        <f>'Safety cal.'!Z35</f>
        <v>A</v>
      </c>
      <c r="J29" s="74" t="s">
        <v>58</v>
      </c>
      <c r="K29" s="135" t="s">
        <v>158</v>
      </c>
      <c r="L29" s="135" t="s">
        <v>159</v>
      </c>
      <c r="M29" s="135" t="s">
        <v>160</v>
      </c>
      <c r="N29" s="74" t="s">
        <v>62</v>
      </c>
      <c r="O29" s="74"/>
      <c r="P29" s="74"/>
      <c r="S29" s="57" t="s">
        <v>161</v>
      </c>
      <c r="T29" s="59" t="s">
        <v>152</v>
      </c>
    </row>
    <row r="30" spans="3:20" ht="67.5" customHeight="1">
      <c r="C30" s="456"/>
      <c r="D30" s="456"/>
      <c r="E30" s="459"/>
      <c r="F30" s="59" t="s">
        <v>162</v>
      </c>
      <c r="G30" s="24" t="s">
        <v>23</v>
      </c>
      <c r="H30" s="42" t="str">
        <f>INDEX(Data!$P$4:$AA$33,MATCH('Safety Instruction'!$F30,Data!$Q$4:$Q$33,0),MATCH('Safety Instruction'!$D$4,Data!$P$4:$AA$4,0))</f>
        <v>B</v>
      </c>
      <c r="I30" s="42" t="str">
        <f>'Safety cal.'!Z36</f>
        <v>A</v>
      </c>
      <c r="J30" s="74" t="s">
        <v>65</v>
      </c>
      <c r="K30" s="135" t="s">
        <v>163</v>
      </c>
      <c r="L30" s="135" t="s">
        <v>164</v>
      </c>
      <c r="M30" s="135" t="s">
        <v>165</v>
      </c>
      <c r="N30" s="74"/>
      <c r="O30" s="74" t="s">
        <v>62</v>
      </c>
      <c r="P30" s="74"/>
      <c r="S30" s="57" t="s">
        <v>166</v>
      </c>
      <c r="T30" s="59" t="s">
        <v>157</v>
      </c>
    </row>
    <row r="31" spans="3:20" ht="67.5" customHeight="1">
      <c r="C31" s="456"/>
      <c r="D31" s="456"/>
      <c r="E31" s="460"/>
      <c r="F31" s="59" t="s">
        <v>167</v>
      </c>
      <c r="G31" s="24" t="s">
        <v>23</v>
      </c>
      <c r="H31" s="42" t="str">
        <f>INDEX(Data!$P$4:$AA$33,MATCH('Safety Instruction'!$F31,Data!$Q$4:$Q$33,0),MATCH('Safety Instruction'!$D$4,Data!$P$4:$AA$4,0))</f>
        <v>B</v>
      </c>
      <c r="I31" s="145" t="str">
        <f>'Safety cal.'!Z37</f>
        <v>A</v>
      </c>
      <c r="J31" s="74" t="s">
        <v>16</v>
      </c>
      <c r="K31" s="135" t="s">
        <v>168</v>
      </c>
      <c r="L31" s="135" t="s">
        <v>169</v>
      </c>
      <c r="M31" s="135" t="s">
        <v>170</v>
      </c>
      <c r="N31" s="74"/>
      <c r="O31" s="74" t="s">
        <v>62</v>
      </c>
      <c r="P31" s="74"/>
      <c r="S31" s="57" t="s">
        <v>171</v>
      </c>
      <c r="T31" s="59" t="s">
        <v>162</v>
      </c>
    </row>
    <row r="32" spans="3:20" ht="67.5" customHeight="1">
      <c r="C32" s="456" t="s">
        <v>172</v>
      </c>
      <c r="D32" s="456" t="s">
        <v>173</v>
      </c>
      <c r="E32" s="457" t="s">
        <v>174</v>
      </c>
      <c r="F32" s="59" t="s">
        <v>175</v>
      </c>
      <c r="G32" s="24" t="s">
        <v>23</v>
      </c>
      <c r="H32" s="42" t="str">
        <f>INDEX(Data!$P$4:$AA$33,MATCH('Safety Instruction'!$F32,Data!$Q$4:$Q$33,0),MATCH('Safety Instruction'!$D$4,Data!$P$4:$AA$4,0))</f>
        <v>A</v>
      </c>
      <c r="I32" s="42" t="str">
        <f>'Safety cal.'!Z38</f>
        <v>A</v>
      </c>
      <c r="J32" s="74" t="s">
        <v>58</v>
      </c>
      <c r="K32" s="135" t="s">
        <v>71</v>
      </c>
      <c r="L32" s="74" t="s">
        <v>72</v>
      </c>
      <c r="M32" s="135" t="s">
        <v>176</v>
      </c>
      <c r="N32" s="74" t="s">
        <v>62</v>
      </c>
      <c r="O32" s="74"/>
      <c r="P32" s="74"/>
      <c r="S32" s="57" t="s">
        <v>177</v>
      </c>
      <c r="T32" s="59" t="s">
        <v>167</v>
      </c>
    </row>
    <row r="33" spans="3:20" ht="70" customHeight="1">
      <c r="C33" s="456"/>
      <c r="D33" s="456"/>
      <c r="E33" s="457"/>
      <c r="F33" s="59" t="s">
        <v>178</v>
      </c>
      <c r="G33" s="24" t="s">
        <v>23</v>
      </c>
      <c r="H33" s="42" t="str">
        <f>INDEX(Data!$P$4:$AA$33,MATCH('Safety Instruction'!$F33,Data!$Q$4:$Q$33,0),MATCH('Safety Instruction'!$D$4,Data!$P$4:$AA$4,0))</f>
        <v>C</v>
      </c>
      <c r="I33" s="147" t="str">
        <f>'Safety cal.'!Z39</f>
        <v>A</v>
      </c>
      <c r="J33" s="74" t="s">
        <v>179</v>
      </c>
      <c r="K33" s="135" t="s">
        <v>180</v>
      </c>
      <c r="L33" s="135" t="s">
        <v>181</v>
      </c>
      <c r="M33" s="135" t="s">
        <v>182</v>
      </c>
      <c r="N33" s="74"/>
      <c r="O33" s="74"/>
      <c r="P33" s="74"/>
      <c r="S33" s="57" t="s">
        <v>183</v>
      </c>
      <c r="T33" s="59" t="s">
        <v>175</v>
      </c>
    </row>
    <row r="34" spans="3:20" ht="70" customHeight="1">
      <c r="C34" s="456"/>
      <c r="D34" s="456"/>
      <c r="E34" s="457"/>
      <c r="F34" s="58" t="s">
        <v>184</v>
      </c>
      <c r="G34" s="24" t="s">
        <v>23</v>
      </c>
      <c r="H34" s="42" t="str">
        <f>INDEX(Data!$P$4:$AA$33,MATCH('Safety Instruction'!$F34,Data!$Q$4:$Q$33,0),MATCH('Safety Instruction'!$D$4,Data!$P$4:$AA$4,0))</f>
        <v>B+</v>
      </c>
      <c r="I34" s="148" t="str">
        <f>'Safety cal.'!Z40</f>
        <v>A</v>
      </c>
      <c r="J34" s="74" t="s">
        <v>65</v>
      </c>
      <c r="K34" s="135" t="s">
        <v>185</v>
      </c>
      <c r="L34" s="135" t="s">
        <v>186</v>
      </c>
      <c r="M34" s="135" t="s">
        <v>187</v>
      </c>
      <c r="N34" s="74"/>
      <c r="O34" s="74" t="s">
        <v>62</v>
      </c>
      <c r="P34" s="74"/>
      <c r="S34" s="57" t="s">
        <v>188</v>
      </c>
    </row>
    <row r="35" spans="3:20" ht="16.5">
      <c r="C35" s="35"/>
      <c r="D35" s="35"/>
      <c r="E35" s="35"/>
      <c r="F35" s="37"/>
      <c r="G35" s="37"/>
      <c r="H35" s="37"/>
      <c r="I35" s="37"/>
      <c r="J35" s="37"/>
      <c r="K35" s="37"/>
      <c r="L35" s="37"/>
      <c r="M35" s="37"/>
      <c r="N35" s="37"/>
      <c r="O35" s="37"/>
      <c r="P35" s="37"/>
      <c r="S35" s="57" t="s">
        <v>189</v>
      </c>
      <c r="T35" s="59" t="s">
        <v>178</v>
      </c>
    </row>
    <row r="36" spans="3:20" ht="16.5">
      <c r="C36" s="35"/>
      <c r="D36" s="35"/>
      <c r="E36" s="35"/>
      <c r="F36" s="37"/>
      <c r="G36" s="37"/>
      <c r="H36" s="37"/>
      <c r="I36" s="37"/>
      <c r="J36" s="37"/>
      <c r="K36" s="37"/>
      <c r="L36" s="37"/>
      <c r="M36" s="37"/>
      <c r="N36" s="37"/>
      <c r="O36" s="37"/>
      <c r="P36" s="37"/>
      <c r="S36" s="57" t="s">
        <v>190</v>
      </c>
      <c r="T36" s="58"/>
    </row>
    <row r="37" spans="3:20" ht="16.5">
      <c r="C37" s="35"/>
      <c r="D37" s="35"/>
      <c r="E37" s="35"/>
      <c r="F37" s="37"/>
      <c r="G37" s="37"/>
      <c r="H37" s="37"/>
      <c r="I37" s="37"/>
      <c r="J37" s="37"/>
      <c r="K37" s="37"/>
      <c r="L37" s="37"/>
      <c r="M37" s="37"/>
      <c r="N37" s="37"/>
      <c r="O37" s="37"/>
      <c r="P37" s="37"/>
      <c r="S37" s="57" t="s">
        <v>191</v>
      </c>
      <c r="T37" s="58" t="s">
        <v>184</v>
      </c>
    </row>
    <row r="38" spans="3:20" ht="16.5">
      <c r="C38" s="35"/>
      <c r="D38" s="35"/>
      <c r="E38" s="35"/>
      <c r="F38" s="37"/>
      <c r="G38" s="37"/>
      <c r="H38" s="37"/>
      <c r="I38" s="37"/>
      <c r="J38" s="37"/>
      <c r="K38" s="37"/>
      <c r="L38" s="37"/>
      <c r="M38" s="37"/>
      <c r="N38" s="37"/>
      <c r="O38" s="37"/>
      <c r="P38" s="37"/>
    </row>
    <row r="39" spans="3:20" ht="16.5">
      <c r="C39" s="35"/>
      <c r="D39" s="35"/>
      <c r="E39" s="35"/>
      <c r="F39" s="37"/>
      <c r="G39" s="37"/>
      <c r="H39" s="37"/>
      <c r="I39" s="37"/>
      <c r="J39" s="37"/>
      <c r="K39" s="37"/>
      <c r="L39" s="37"/>
      <c r="M39" s="37"/>
      <c r="N39" s="37"/>
      <c r="O39" s="37"/>
      <c r="P39" s="37"/>
    </row>
    <row r="40" spans="3:20" ht="16.5">
      <c r="C40" s="35"/>
      <c r="D40" s="35"/>
      <c r="E40" s="35"/>
      <c r="F40" s="37"/>
      <c r="G40" s="37"/>
      <c r="H40" s="37"/>
      <c r="I40" s="37"/>
      <c r="J40" s="37"/>
      <c r="K40" s="37"/>
      <c r="L40" s="37"/>
      <c r="M40" s="37"/>
      <c r="N40" s="37"/>
      <c r="O40" s="37"/>
      <c r="P40" s="37"/>
    </row>
    <row r="41" spans="3:20" ht="16.5">
      <c r="C41" s="39"/>
      <c r="D41" s="35"/>
      <c r="E41" s="35"/>
      <c r="F41" s="37"/>
      <c r="G41" s="37"/>
      <c r="H41" s="37"/>
      <c r="I41" s="37"/>
      <c r="J41" s="37"/>
      <c r="K41" s="37"/>
      <c r="L41" s="37"/>
      <c r="M41" s="37"/>
      <c r="N41" s="37"/>
      <c r="O41" s="37"/>
      <c r="P41" s="37"/>
    </row>
    <row r="42" spans="3:20" ht="16.5">
      <c r="C42" s="39"/>
      <c r="D42" s="35"/>
      <c r="E42" s="35"/>
      <c r="F42" s="37"/>
      <c r="G42" s="37"/>
      <c r="H42" s="37"/>
      <c r="I42" s="37"/>
      <c r="J42" s="37"/>
      <c r="K42" s="37"/>
      <c r="L42" s="37"/>
      <c r="M42" s="37"/>
      <c r="N42" s="37"/>
      <c r="O42" s="37"/>
      <c r="P42" s="37"/>
    </row>
    <row r="43" spans="3:20" ht="16.5">
      <c r="C43" s="35"/>
      <c r="D43" s="35"/>
      <c r="E43" s="35"/>
      <c r="F43" s="37"/>
      <c r="G43" s="37"/>
      <c r="H43" s="37"/>
      <c r="I43" s="37"/>
      <c r="J43" s="37"/>
      <c r="K43" s="37"/>
      <c r="L43" s="37"/>
      <c r="M43" s="37"/>
      <c r="N43" s="37"/>
      <c r="O43" s="37"/>
      <c r="P43" s="37"/>
    </row>
    <row r="44" spans="3:20" ht="16.5">
      <c r="F44" s="37"/>
      <c r="G44" s="37"/>
      <c r="H44" s="37"/>
      <c r="I44" s="37"/>
      <c r="J44" s="37"/>
      <c r="K44" s="37"/>
      <c r="L44" s="37"/>
      <c r="M44" s="37"/>
      <c r="N44" s="37"/>
      <c r="O44" s="37"/>
      <c r="P44" s="37"/>
    </row>
    <row r="45" spans="3:20" ht="16.5" hidden="1">
      <c r="F45" s="37"/>
      <c r="G45" s="43"/>
      <c r="H45" s="43"/>
      <c r="I45" s="43"/>
      <c r="J45" s="43"/>
      <c r="K45" s="43"/>
      <c r="L45" s="43"/>
      <c r="M45" s="43"/>
      <c r="N45" s="43"/>
      <c r="O45" s="43"/>
      <c r="P45" s="43"/>
    </row>
    <row r="46" spans="3:20" ht="16.5" hidden="1">
      <c r="F46" s="37"/>
      <c r="G46" s="43"/>
      <c r="H46" s="43"/>
      <c r="I46" s="43"/>
      <c r="J46" s="43"/>
      <c r="K46" s="43"/>
      <c r="L46" s="43"/>
      <c r="M46" s="43"/>
      <c r="N46" s="43"/>
      <c r="O46" s="43"/>
      <c r="P46" s="43"/>
    </row>
    <row r="47" spans="3:20" ht="16.5" hidden="1">
      <c r="E47" s="45"/>
      <c r="F47" s="37"/>
      <c r="G47" s="43"/>
      <c r="H47" s="43"/>
      <c r="I47" s="43"/>
      <c r="J47" s="43"/>
      <c r="K47" s="43"/>
      <c r="L47" s="43"/>
      <c r="M47" s="43"/>
      <c r="N47" s="43"/>
      <c r="O47" s="43"/>
      <c r="P47" s="43"/>
    </row>
    <row r="48" spans="3:20" ht="16.5" hidden="1">
      <c r="F48" s="37"/>
      <c r="G48" s="43"/>
      <c r="H48" s="43"/>
      <c r="I48" s="43"/>
      <c r="J48" s="43"/>
      <c r="K48" s="43"/>
      <c r="L48" s="43"/>
      <c r="M48" s="43"/>
      <c r="N48" s="43"/>
      <c r="O48" s="43"/>
      <c r="P48" s="43"/>
    </row>
    <row r="49" spans="6:16" ht="16.5" hidden="1">
      <c r="F49" s="37"/>
      <c r="G49" s="43"/>
      <c r="H49" s="43"/>
      <c r="I49" s="43"/>
      <c r="J49" s="43"/>
      <c r="K49" s="43"/>
      <c r="L49" s="43"/>
      <c r="M49" s="43"/>
      <c r="N49" s="43"/>
      <c r="O49" s="43"/>
      <c r="P49" s="43"/>
    </row>
    <row r="50" spans="6:16" ht="16.5" hidden="1">
      <c r="F50" s="37"/>
      <c r="G50" s="43"/>
      <c r="H50" s="43"/>
      <c r="I50" s="43"/>
      <c r="J50" s="43"/>
      <c r="K50" s="43"/>
      <c r="L50" s="43"/>
      <c r="M50" s="43"/>
      <c r="N50" s="43"/>
      <c r="O50" s="43"/>
      <c r="P50" s="43"/>
    </row>
    <row r="51" spans="6:16" ht="16.5" hidden="1">
      <c r="F51" s="37"/>
      <c r="G51" s="43"/>
      <c r="H51" s="43"/>
      <c r="I51" s="43"/>
      <c r="J51" s="43"/>
      <c r="K51" s="43"/>
      <c r="L51" s="43"/>
      <c r="M51" s="43"/>
      <c r="N51" s="43"/>
      <c r="O51" s="43"/>
      <c r="P51" s="43"/>
    </row>
    <row r="52" spans="6:16" ht="16.5" hidden="1">
      <c r="F52" s="37"/>
      <c r="G52" s="43"/>
      <c r="H52" s="43"/>
      <c r="I52" s="43"/>
      <c r="J52" s="43"/>
      <c r="K52" s="43"/>
      <c r="L52" s="43"/>
      <c r="M52" s="43"/>
      <c r="N52" s="43"/>
      <c r="O52" s="43"/>
      <c r="P52" s="43"/>
    </row>
    <row r="53" spans="6:16" ht="16.5" hidden="1">
      <c r="F53" s="37"/>
      <c r="G53" s="44"/>
      <c r="H53" s="44"/>
      <c r="I53" s="44"/>
      <c r="J53" s="44"/>
      <c r="K53" s="44"/>
      <c r="L53" s="44"/>
      <c r="M53" s="44"/>
      <c r="N53" s="44"/>
      <c r="O53" s="44"/>
      <c r="P53" s="44"/>
    </row>
    <row r="54" spans="6:16" ht="16.5" hidden="1">
      <c r="F54" s="37"/>
      <c r="G54" s="44"/>
      <c r="H54" s="44"/>
      <c r="I54" s="44"/>
      <c r="J54" s="44"/>
      <c r="K54" s="44"/>
      <c r="L54" s="44"/>
      <c r="M54" s="44"/>
      <c r="N54" s="44"/>
      <c r="O54" s="44"/>
      <c r="P54" s="44"/>
    </row>
    <row r="55" spans="6:16" ht="16.5">
      <c r="F55" s="37"/>
      <c r="G55" s="37"/>
      <c r="H55" s="37"/>
      <c r="I55" s="37"/>
      <c r="J55" s="37"/>
      <c r="K55" s="37"/>
      <c r="L55" s="37"/>
      <c r="M55" s="37"/>
      <c r="N55" s="37"/>
      <c r="O55" s="37"/>
      <c r="P55" s="37"/>
    </row>
  </sheetData>
  <autoFilter ref="B8:P34" xr:uid="{303C0BA3-8567-4718-922F-659EC1AFA872}"/>
  <mergeCells count="35">
    <mergeCell ref="N1:P1"/>
    <mergeCell ref="N4:P4"/>
    <mergeCell ref="I7:I8"/>
    <mergeCell ref="D4:E4"/>
    <mergeCell ref="K6:K8"/>
    <mergeCell ref="L6:L8"/>
    <mergeCell ref="M6:M8"/>
    <mergeCell ref="N6:P6"/>
    <mergeCell ref="N7:N8"/>
    <mergeCell ref="O7:O8"/>
    <mergeCell ref="P7:P8"/>
    <mergeCell ref="H7:H8"/>
    <mergeCell ref="H6:I6"/>
    <mergeCell ref="J6:J8"/>
    <mergeCell ref="C6:C8"/>
    <mergeCell ref="D6:D8"/>
    <mergeCell ref="E6:E8"/>
    <mergeCell ref="F6:F8"/>
    <mergeCell ref="G6:G8"/>
    <mergeCell ref="E18:E20"/>
    <mergeCell ref="C18:C20"/>
    <mergeCell ref="D21:D31"/>
    <mergeCell ref="C21:C31"/>
    <mergeCell ref="C9:C12"/>
    <mergeCell ref="D9:D12"/>
    <mergeCell ref="E9:E12"/>
    <mergeCell ref="C13:C17"/>
    <mergeCell ref="D13:D17"/>
    <mergeCell ref="E13:E17"/>
    <mergeCell ref="D18:D20"/>
    <mergeCell ref="C32:C34"/>
    <mergeCell ref="D32:D34"/>
    <mergeCell ref="E32:E34"/>
    <mergeCell ref="E21:E27"/>
    <mergeCell ref="E28:E31"/>
  </mergeCells>
  <phoneticPr fontId="6"/>
  <conditionalFormatting sqref="G9:G34">
    <cfRule type="containsText" dxfId="15" priority="2" operator="containsText" text="No">
      <formula>NOT(ISERROR(SEARCH("No",G9)))</formula>
    </cfRule>
  </conditionalFormatting>
  <pageMargins left="0.7" right="0.7" top="0.75" bottom="0.75" header="0.3" footer="0.3"/>
  <pageSetup paperSize="8" scale="44" orientation="landscape" r:id="rId1"/>
  <extLst>
    <ext xmlns:x14="http://schemas.microsoft.com/office/spreadsheetml/2009/9/main" uri="{78C0D931-6437-407d-A8EE-F0AAD7539E65}">
      <x14:conditionalFormattings>
        <x14:conditionalFormatting xmlns:xm="http://schemas.microsoft.com/office/excel/2006/main">
          <x14:cfRule type="containsText" priority="1" operator="containsText" id="{1E7CB50A-E7B6-41B0-85D3-72428C43B068}">
            <xm:f>NOT(ISERROR(SEARCH("-",G9)))</xm:f>
            <xm:f>"-"</xm:f>
            <x14:dxf>
              <fill>
                <patternFill>
                  <bgColor theme="0" tint="-0.24994659260841701"/>
                </patternFill>
              </fill>
            </x14:dxf>
          </x14:cfRule>
          <xm:sqref>G9:G34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30A4A-77B4-4B70-930C-3881E38839FD}">
  <sheetPr>
    <tabColor theme="2" tint="-9.9978637043366805E-2"/>
    <pageSetUpPr fitToPage="1"/>
  </sheetPr>
  <dimension ref="B1:Y66"/>
  <sheetViews>
    <sheetView tabSelected="1" view="pageBreakPreview" zoomScale="80" zoomScaleNormal="100" zoomScaleSheetLayoutView="80" workbookViewId="0">
      <selection activeCell="C42" sqref="C42:X65"/>
    </sheetView>
  </sheetViews>
  <sheetFormatPr defaultColWidth="8.54296875" defaultRowHeight="14.5"/>
  <cols>
    <col min="1" max="2" width="3.453125" style="277" customWidth="1"/>
    <col min="3" max="3" width="2.81640625" style="277" customWidth="1"/>
    <col min="4" max="13" width="7.1796875" style="277" customWidth="1"/>
    <col min="14" max="14" width="4.453125" style="277" customWidth="1"/>
    <col min="15" max="24" width="7.1796875" style="277" customWidth="1"/>
    <col min="25" max="25" width="4.26953125" style="277" customWidth="1"/>
    <col min="26" max="16384" width="8.54296875" style="277"/>
  </cols>
  <sheetData>
    <row r="1" spans="2:25">
      <c r="W1" s="84"/>
      <c r="X1" s="85" t="s">
        <v>801</v>
      </c>
    </row>
    <row r="2" spans="2:25" ht="18" customHeight="1">
      <c r="B2" s="279"/>
      <c r="C2" s="279"/>
      <c r="D2" s="279"/>
      <c r="E2" s="279"/>
      <c r="F2" s="279"/>
      <c r="G2" s="279"/>
      <c r="H2" s="279"/>
      <c r="I2" s="279"/>
      <c r="J2" s="279"/>
      <c r="K2" s="279"/>
      <c r="L2" s="279"/>
      <c r="M2" s="279"/>
      <c r="N2" s="279"/>
      <c r="O2" s="279"/>
      <c r="P2" s="279"/>
      <c r="Q2" s="279"/>
      <c r="S2" s="487"/>
      <c r="T2" s="487"/>
      <c r="U2" s="487"/>
      <c r="V2" s="487"/>
      <c r="W2" s="537">
        <v>45972</v>
      </c>
      <c r="X2" s="443"/>
    </row>
    <row r="3" spans="2:25" ht="61" customHeight="1">
      <c r="B3" s="471" t="s">
        <v>800</v>
      </c>
      <c r="C3" s="471"/>
      <c r="D3" s="471"/>
      <c r="E3" s="471"/>
      <c r="F3" s="471"/>
      <c r="G3" s="471"/>
      <c r="H3" s="471"/>
      <c r="I3" s="471"/>
      <c r="J3" s="471"/>
      <c r="K3" s="471"/>
      <c r="L3" s="471"/>
      <c r="M3" s="471"/>
      <c r="N3" s="471"/>
      <c r="O3" s="471"/>
      <c r="P3" s="279"/>
      <c r="Q3" s="279"/>
      <c r="S3" s="487"/>
      <c r="T3" s="487"/>
      <c r="U3" s="487"/>
      <c r="V3" s="487"/>
      <c r="W3" s="538"/>
      <c r="X3" s="538"/>
    </row>
    <row r="4" spans="2:25" s="282" customFormat="1" ht="34" customHeight="1">
      <c r="B4" s="525" t="s">
        <v>2</v>
      </c>
      <c r="C4" s="525"/>
      <c r="D4" s="526"/>
      <c r="E4" s="526"/>
      <c r="F4" s="526"/>
      <c r="G4" s="527" t="s">
        <v>4</v>
      </c>
      <c r="H4" s="527"/>
      <c r="I4" s="527"/>
      <c r="J4" s="445"/>
      <c r="K4" s="445"/>
      <c r="L4" s="445"/>
      <c r="M4" s="445"/>
      <c r="N4" s="445"/>
      <c r="O4" s="445"/>
    </row>
    <row r="5" spans="2:25" ht="18" customHeight="1" thickBot="1">
      <c r="B5" s="279"/>
      <c r="C5" s="279"/>
      <c r="D5" s="279"/>
      <c r="E5" s="279"/>
      <c r="F5" s="279"/>
      <c r="G5" s="279"/>
      <c r="H5" s="279"/>
      <c r="I5" s="279"/>
      <c r="J5" s="279"/>
      <c r="K5" s="279"/>
      <c r="L5" s="279"/>
      <c r="M5" s="279"/>
      <c r="N5" s="279"/>
      <c r="O5" s="279"/>
      <c r="P5" s="279"/>
      <c r="Q5" s="279"/>
      <c r="R5" s="279"/>
      <c r="S5" s="279"/>
      <c r="T5" s="279"/>
      <c r="U5" s="279"/>
      <c r="V5" s="279"/>
      <c r="W5" s="279"/>
      <c r="X5" s="279"/>
      <c r="Y5" s="279"/>
    </row>
    <row r="6" spans="2:25" ht="18.5">
      <c r="B6" s="331" t="s">
        <v>6</v>
      </c>
      <c r="C6" s="332"/>
      <c r="D6" s="332"/>
      <c r="E6" s="332"/>
      <c r="F6" s="332"/>
      <c r="G6" s="332"/>
      <c r="H6" s="332"/>
      <c r="I6" s="332"/>
      <c r="J6" s="332"/>
      <c r="K6" s="332"/>
      <c r="L6" s="332"/>
      <c r="M6" s="332"/>
      <c r="N6" s="332"/>
      <c r="O6" s="332"/>
      <c r="P6" s="315"/>
      <c r="Q6" s="315"/>
      <c r="R6" s="315"/>
      <c r="S6" s="315"/>
      <c r="T6" s="315"/>
      <c r="U6" s="315"/>
      <c r="V6" s="315"/>
      <c r="W6" s="315"/>
      <c r="X6" s="315"/>
      <c r="Y6" s="316"/>
    </row>
    <row r="7" spans="2:25">
      <c r="B7" s="321"/>
      <c r="C7" s="283"/>
      <c r="D7" s="283"/>
      <c r="E7" s="283"/>
      <c r="F7" s="283"/>
      <c r="G7" s="283"/>
      <c r="H7" s="283"/>
      <c r="I7" s="283"/>
      <c r="J7" s="283"/>
      <c r="K7" s="283"/>
      <c r="L7" s="283"/>
      <c r="M7" s="283"/>
      <c r="N7" s="283"/>
      <c r="O7" s="283"/>
      <c r="P7" s="283"/>
      <c r="Q7" s="283"/>
      <c r="R7" s="283"/>
      <c r="S7" s="283"/>
      <c r="T7" s="283"/>
      <c r="U7" s="283"/>
      <c r="V7" s="283"/>
      <c r="W7" s="283"/>
      <c r="X7" s="283"/>
      <c r="Y7" s="322"/>
    </row>
    <row r="8" spans="2:25">
      <c r="B8" s="321"/>
      <c r="C8" s="528" t="s">
        <v>7</v>
      </c>
      <c r="D8" s="529"/>
      <c r="E8" s="529"/>
      <c r="F8" s="529"/>
      <c r="G8" s="529"/>
      <c r="H8" s="529"/>
      <c r="I8" s="530"/>
      <c r="J8" s="534">
        <v>2025</v>
      </c>
      <c r="K8" s="534"/>
      <c r="L8" s="534">
        <v>2028</v>
      </c>
      <c r="M8" s="534"/>
      <c r="N8" s="283"/>
      <c r="O8" s="508" t="s">
        <v>8</v>
      </c>
      <c r="P8" s="509"/>
      <c r="Q8" s="509"/>
      <c r="R8" s="509"/>
      <c r="S8" s="513"/>
      <c r="T8" s="283"/>
      <c r="U8" s="283"/>
      <c r="V8" s="283"/>
      <c r="W8" s="283"/>
      <c r="X8" s="283"/>
      <c r="Y8" s="322"/>
    </row>
    <row r="9" spans="2:25">
      <c r="B9" s="321"/>
      <c r="C9" s="531"/>
      <c r="D9" s="532"/>
      <c r="E9" s="532"/>
      <c r="F9" s="532"/>
      <c r="G9" s="532"/>
      <c r="H9" s="532"/>
      <c r="I9" s="533"/>
      <c r="J9" s="312" t="s">
        <v>9</v>
      </c>
      <c r="K9" s="312" t="s">
        <v>194</v>
      </c>
      <c r="L9" s="312" t="s">
        <v>9</v>
      </c>
      <c r="M9" s="312" t="s">
        <v>194</v>
      </c>
      <c r="N9" s="283"/>
      <c r="O9" s="483"/>
      <c r="P9" s="484"/>
      <c r="Q9" s="484"/>
      <c r="R9" s="484"/>
      <c r="S9" s="485"/>
      <c r="T9" s="283"/>
      <c r="U9" s="283"/>
      <c r="V9" s="283"/>
      <c r="W9" s="283"/>
      <c r="X9" s="283"/>
      <c r="Y9" s="322"/>
    </row>
    <row r="10" spans="2:25">
      <c r="B10" s="321"/>
      <c r="C10" s="535"/>
      <c r="D10" s="536"/>
      <c r="E10" s="536"/>
      <c r="F10" s="336"/>
      <c r="G10" s="337"/>
      <c r="H10" s="338"/>
      <c r="I10" s="284" t="s">
        <v>10</v>
      </c>
      <c r="J10" s="308">
        <f>Cal!D44</f>
        <v>5</v>
      </c>
      <c r="K10" s="305" t="str">
        <f>IF(J10&lt;2,"C",IF(J10&lt;3,"B-",IF(J10&lt;4,"B",IF(J10&lt;5,"B+",IF(J10=5,"A","")))))</f>
        <v>A</v>
      </c>
      <c r="L10" s="285">
        <f>Cal!E44</f>
        <v>0</v>
      </c>
      <c r="M10" s="285"/>
      <c r="N10" s="283"/>
      <c r="O10" s="486"/>
      <c r="P10" s="487"/>
      <c r="Q10" s="487"/>
      <c r="R10" s="487"/>
      <c r="S10" s="488"/>
      <c r="T10" s="283"/>
      <c r="U10" s="283"/>
      <c r="V10" s="283"/>
      <c r="W10" s="283"/>
      <c r="X10" s="283"/>
      <c r="Y10" s="322"/>
    </row>
    <row r="11" spans="2:25" ht="18" customHeight="1">
      <c r="B11" s="321"/>
      <c r="C11" s="333"/>
      <c r="D11" s="522" t="s">
        <v>11</v>
      </c>
      <c r="E11" s="514" t="s">
        <v>12</v>
      </c>
      <c r="F11" s="515"/>
      <c r="G11" s="515"/>
      <c r="H11" s="516" t="s">
        <v>13</v>
      </c>
      <c r="I11" s="517"/>
      <c r="J11" s="308">
        <f>Cal!D43</f>
        <v>5</v>
      </c>
      <c r="K11" s="305" t="str">
        <f>IF(J11=5,"A",IF(J11&gt;=4,"B+",IF(J11&gt;=3,"B",IF(J11&gt;=2,"B-",IF(J11&gt;=1, "C","-")))))</f>
        <v>A</v>
      </c>
      <c r="L11" s="285">
        <f>Cal!E43</f>
        <v>0</v>
      </c>
      <c r="M11" s="286" t="str">
        <f>IF(L11=5,"A",IF(L11&gt;=4,"B+",IF(L11&gt;=3,"B",IF(L11&gt;=2,"B-",IF(L11&gt;=1, "C","-")))))</f>
        <v>-</v>
      </c>
      <c r="N11" s="283"/>
      <c r="O11" s="486"/>
      <c r="P11" s="487"/>
      <c r="Q11" s="487"/>
      <c r="R11" s="487"/>
      <c r="S11" s="488"/>
      <c r="T11" s="283"/>
      <c r="U11" s="283"/>
      <c r="V11" s="283"/>
      <c r="W11" s="283"/>
      <c r="X11" s="283"/>
      <c r="Y11" s="322"/>
    </row>
    <row r="12" spans="2:25" ht="18" customHeight="1">
      <c r="B12" s="321"/>
      <c r="C12" s="333"/>
      <c r="D12" s="522"/>
      <c r="E12" s="514"/>
      <c r="F12" s="515"/>
      <c r="G12" s="515"/>
      <c r="H12" s="518" t="s">
        <v>14</v>
      </c>
      <c r="I12" s="287" t="s">
        <v>15</v>
      </c>
      <c r="J12" s="521">
        <f>Cal!E56</f>
        <v>8</v>
      </c>
      <c r="K12" s="521"/>
      <c r="L12" s="498">
        <f>Cal!F56</f>
        <v>0</v>
      </c>
      <c r="M12" s="498"/>
      <c r="N12" s="283"/>
      <c r="O12" s="486"/>
      <c r="P12" s="487"/>
      <c r="Q12" s="487"/>
      <c r="R12" s="487"/>
      <c r="S12" s="488"/>
      <c r="T12" s="283"/>
      <c r="U12" s="283"/>
      <c r="V12" s="283"/>
      <c r="W12" s="283"/>
      <c r="X12" s="283"/>
      <c r="Y12" s="322"/>
    </row>
    <row r="13" spans="2:25">
      <c r="B13" s="321"/>
      <c r="C13" s="333"/>
      <c r="D13" s="522"/>
      <c r="E13" s="514"/>
      <c r="F13" s="515"/>
      <c r="G13" s="515"/>
      <c r="H13" s="519"/>
      <c r="I13" s="287" t="s">
        <v>16</v>
      </c>
      <c r="J13" s="521">
        <f>Cal!E57</f>
        <v>0</v>
      </c>
      <c r="K13" s="521"/>
      <c r="L13" s="498">
        <f>Cal!F57</f>
        <v>0</v>
      </c>
      <c r="M13" s="498"/>
      <c r="N13" s="283"/>
      <c r="O13" s="486"/>
      <c r="P13" s="487"/>
      <c r="Q13" s="487"/>
      <c r="R13" s="487"/>
      <c r="S13" s="488"/>
      <c r="T13" s="283"/>
      <c r="U13" s="283"/>
      <c r="V13" s="283"/>
      <c r="W13" s="283"/>
      <c r="X13" s="283"/>
      <c r="Y13" s="322"/>
    </row>
    <row r="14" spans="2:25">
      <c r="B14" s="321"/>
      <c r="C14" s="334"/>
      <c r="D14" s="522"/>
      <c r="E14" s="514"/>
      <c r="F14" s="515"/>
      <c r="G14" s="515"/>
      <c r="H14" s="519"/>
      <c r="I14" s="287" t="s">
        <v>17</v>
      </c>
      <c r="J14" s="521">
        <f>Cal!E58</f>
        <v>0</v>
      </c>
      <c r="K14" s="521"/>
      <c r="L14" s="498">
        <f>Cal!F58</f>
        <v>0</v>
      </c>
      <c r="M14" s="498"/>
      <c r="N14" s="283"/>
      <c r="O14" s="486"/>
      <c r="P14" s="487"/>
      <c r="Q14" s="487"/>
      <c r="R14" s="487"/>
      <c r="S14" s="488"/>
      <c r="T14" s="283"/>
      <c r="U14" s="283"/>
      <c r="V14" s="283"/>
      <c r="W14" s="283"/>
      <c r="X14" s="283"/>
      <c r="Y14" s="322"/>
    </row>
    <row r="15" spans="2:25">
      <c r="B15" s="321"/>
      <c r="C15" s="334"/>
      <c r="D15" s="522"/>
      <c r="E15" s="514"/>
      <c r="F15" s="515"/>
      <c r="G15" s="515"/>
      <c r="H15" s="520"/>
      <c r="I15" s="287" t="s">
        <v>18</v>
      </c>
      <c r="J15" s="521">
        <f>Cal!E59</f>
        <v>0</v>
      </c>
      <c r="K15" s="521"/>
      <c r="L15" s="498">
        <f>Cal!F59</f>
        <v>0</v>
      </c>
      <c r="M15" s="498"/>
      <c r="N15" s="283"/>
      <c r="O15" s="486"/>
      <c r="P15" s="487"/>
      <c r="Q15" s="487"/>
      <c r="R15" s="487"/>
      <c r="S15" s="488"/>
      <c r="T15" s="283"/>
      <c r="U15" s="283"/>
      <c r="V15" s="283"/>
      <c r="W15" s="283"/>
      <c r="X15" s="283"/>
      <c r="Y15" s="322"/>
    </row>
    <row r="16" spans="2:25" ht="18" customHeight="1">
      <c r="B16" s="321"/>
      <c r="C16" s="334"/>
      <c r="D16" s="522"/>
      <c r="E16" s="514" t="s">
        <v>19</v>
      </c>
      <c r="F16" s="515"/>
      <c r="G16" s="515"/>
      <c r="H16" s="516" t="s">
        <v>13</v>
      </c>
      <c r="I16" s="517"/>
      <c r="J16" s="308">
        <f>Cal!D41</f>
        <v>5</v>
      </c>
      <c r="K16" s="305" t="str">
        <f>IF(J16=5,"A",IF(J16&gt;=4,"B+",IF(J16&gt;=3,"B",IF(J16&gt;=2,"B-",IF(J16&gt;=1, "C","-")))))</f>
        <v>A</v>
      </c>
      <c r="L16" s="285">
        <f>Cal!E41</f>
        <v>0</v>
      </c>
      <c r="M16" s="286" t="str">
        <f>IF(L16=5,"A",IF(L16&gt;=4,"B+",IF(L16&gt;=3,"B",IF(L16&gt;=2,"B-",IF(L16&gt;=1, "C","-")))))</f>
        <v>-</v>
      </c>
      <c r="N16" s="283"/>
      <c r="O16" s="486"/>
      <c r="P16" s="487"/>
      <c r="Q16" s="487"/>
      <c r="R16" s="487"/>
      <c r="S16" s="488"/>
      <c r="T16" s="283"/>
      <c r="U16" s="283"/>
      <c r="V16" s="283"/>
      <c r="W16" s="283"/>
      <c r="X16" s="283"/>
      <c r="Y16" s="322"/>
    </row>
    <row r="17" spans="2:25" ht="18" customHeight="1">
      <c r="B17" s="321"/>
      <c r="C17" s="334"/>
      <c r="D17" s="522"/>
      <c r="E17" s="514"/>
      <c r="F17" s="515"/>
      <c r="G17" s="515"/>
      <c r="H17" s="518" t="s">
        <v>14</v>
      </c>
      <c r="I17" s="287" t="s">
        <v>15</v>
      </c>
      <c r="J17" s="521">
        <f>Cal!E62</f>
        <v>16</v>
      </c>
      <c r="K17" s="521"/>
      <c r="L17" s="498">
        <f>Cal!F62</f>
        <v>0</v>
      </c>
      <c r="M17" s="498"/>
      <c r="N17" s="283"/>
      <c r="O17" s="489"/>
      <c r="P17" s="490"/>
      <c r="Q17" s="490"/>
      <c r="R17" s="490"/>
      <c r="S17" s="491"/>
      <c r="T17" s="283"/>
      <c r="U17" s="283"/>
      <c r="V17" s="283"/>
      <c r="W17" s="283"/>
      <c r="X17" s="283"/>
      <c r="Y17" s="322"/>
    </row>
    <row r="18" spans="2:25">
      <c r="B18" s="321"/>
      <c r="C18" s="334"/>
      <c r="D18" s="522"/>
      <c r="E18" s="514"/>
      <c r="F18" s="515"/>
      <c r="G18" s="515"/>
      <c r="H18" s="519"/>
      <c r="I18" s="287" t="s">
        <v>16</v>
      </c>
      <c r="J18" s="521">
        <f>Cal!E63</f>
        <v>0</v>
      </c>
      <c r="K18" s="521"/>
      <c r="L18" s="498">
        <f>Cal!F63</f>
        <v>0</v>
      </c>
      <c r="M18" s="498"/>
      <c r="N18" s="283"/>
      <c r="O18" s="508" t="s">
        <v>14</v>
      </c>
      <c r="P18" s="509"/>
      <c r="Q18" s="509"/>
      <c r="R18" s="509"/>
      <c r="S18" s="509"/>
      <c r="T18" s="509"/>
      <c r="U18" s="509"/>
      <c r="V18" s="509"/>
      <c r="W18" s="509"/>
      <c r="X18" s="513"/>
      <c r="Y18" s="322"/>
    </row>
    <row r="19" spans="2:25">
      <c r="B19" s="321"/>
      <c r="C19" s="334"/>
      <c r="D19" s="522"/>
      <c r="E19" s="514"/>
      <c r="F19" s="515"/>
      <c r="G19" s="515"/>
      <c r="H19" s="519"/>
      <c r="I19" s="287" t="s">
        <v>17</v>
      </c>
      <c r="J19" s="521">
        <f>Cal!E64</f>
        <v>0</v>
      </c>
      <c r="K19" s="521"/>
      <c r="L19" s="498">
        <f>Cal!F64</f>
        <v>0</v>
      </c>
      <c r="M19" s="498"/>
      <c r="N19" s="283"/>
      <c r="O19" s="288" t="s">
        <v>20</v>
      </c>
      <c r="P19" s="289"/>
      <c r="Q19" s="277">
        <v>2028</v>
      </c>
      <c r="R19" s="484"/>
      <c r="S19" s="484"/>
      <c r="T19" s="484"/>
      <c r="U19" s="484"/>
      <c r="V19" s="484"/>
      <c r="W19" s="484"/>
      <c r="X19" s="485"/>
      <c r="Y19" s="322"/>
    </row>
    <row r="20" spans="2:25">
      <c r="B20" s="321"/>
      <c r="C20" s="334"/>
      <c r="D20" s="522"/>
      <c r="E20" s="514"/>
      <c r="F20" s="515"/>
      <c r="G20" s="515"/>
      <c r="H20" s="520"/>
      <c r="I20" s="290" t="s">
        <v>18</v>
      </c>
      <c r="J20" s="521">
        <f>Cal!E65</f>
        <v>0</v>
      </c>
      <c r="K20" s="521"/>
      <c r="L20" s="498">
        <f>Cal!F65</f>
        <v>0</v>
      </c>
      <c r="M20" s="498"/>
      <c r="N20" s="283"/>
      <c r="O20" s="291"/>
      <c r="P20" s="292"/>
      <c r="Q20" s="293">
        <v>2025</v>
      </c>
      <c r="R20" s="487"/>
      <c r="S20" s="487"/>
      <c r="T20" s="487"/>
      <c r="U20" s="487"/>
      <c r="V20" s="487"/>
      <c r="W20" s="487"/>
      <c r="X20" s="488"/>
      <c r="Y20" s="322"/>
    </row>
    <row r="21" spans="2:25" ht="18" customHeight="1">
      <c r="B21" s="321"/>
      <c r="C21" s="334"/>
      <c r="D21" s="522"/>
      <c r="E21" s="514" t="s">
        <v>21</v>
      </c>
      <c r="F21" s="515"/>
      <c r="G21" s="515"/>
      <c r="H21" s="516" t="s">
        <v>13</v>
      </c>
      <c r="I21" s="517"/>
      <c r="J21" s="308">
        <f>Cal!D42</f>
        <v>5</v>
      </c>
      <c r="K21" s="305" t="str">
        <f>IF(J21=5,"A",IF(J21&gt;=4,"B+",IF(J21&gt;=3,"B",IF(J21&gt;=2,"B-",IF(J21&gt;=1, "C","-")))))</f>
        <v>A</v>
      </c>
      <c r="L21" s="285">
        <f>Cal!E42</f>
        <v>0</v>
      </c>
      <c r="M21" s="286" t="str">
        <f>IF(L21=5,"A",IF(L21&gt;=4,"B+",IF(L21&gt;=3,"B",IF(L21&gt;=2,"B-",IF(L21&gt;=1, "C","-")))))</f>
        <v>-</v>
      </c>
      <c r="N21" s="283"/>
      <c r="O21" s="288" t="s">
        <v>22</v>
      </c>
      <c r="Q21" s="277">
        <v>2028</v>
      </c>
      <c r="R21" s="487"/>
      <c r="S21" s="487"/>
      <c r="T21" s="487"/>
      <c r="U21" s="487"/>
      <c r="V21" s="487"/>
      <c r="W21" s="487"/>
      <c r="X21" s="488"/>
      <c r="Y21" s="322"/>
    </row>
    <row r="22" spans="2:25" ht="18" customHeight="1">
      <c r="B22" s="321"/>
      <c r="C22" s="334"/>
      <c r="D22" s="522"/>
      <c r="E22" s="514"/>
      <c r="F22" s="515"/>
      <c r="G22" s="515"/>
      <c r="H22" s="518" t="s">
        <v>14</v>
      </c>
      <c r="I22" s="287" t="s">
        <v>15</v>
      </c>
      <c r="J22" s="521">
        <f>Cal!E68</f>
        <v>7</v>
      </c>
      <c r="K22" s="521"/>
      <c r="L22" s="498">
        <f>Cal!F68</f>
        <v>0</v>
      </c>
      <c r="M22" s="498"/>
      <c r="N22" s="283"/>
      <c r="O22" s="291"/>
      <c r="P22" s="293"/>
      <c r="Q22" s="293">
        <v>2025</v>
      </c>
      <c r="R22" s="487"/>
      <c r="S22" s="487"/>
      <c r="T22" s="487"/>
      <c r="U22" s="487"/>
      <c r="V22" s="487"/>
      <c r="W22" s="487"/>
      <c r="X22" s="488"/>
      <c r="Y22" s="322"/>
    </row>
    <row r="23" spans="2:25">
      <c r="B23" s="321"/>
      <c r="C23" s="334"/>
      <c r="D23" s="522"/>
      <c r="E23" s="514"/>
      <c r="F23" s="515"/>
      <c r="G23" s="515"/>
      <c r="H23" s="519"/>
      <c r="I23" s="287" t="s">
        <v>16</v>
      </c>
      <c r="J23" s="521">
        <f>Cal!E69</f>
        <v>0</v>
      </c>
      <c r="K23" s="521"/>
      <c r="L23" s="498">
        <f>Cal!F69</f>
        <v>0</v>
      </c>
      <c r="M23" s="498"/>
      <c r="N23" s="283"/>
      <c r="O23" s="288" t="s">
        <v>23</v>
      </c>
      <c r="Q23" s="277">
        <v>2028</v>
      </c>
      <c r="R23" s="487"/>
      <c r="S23" s="487"/>
      <c r="T23" s="487"/>
      <c r="U23" s="487"/>
      <c r="V23" s="487"/>
      <c r="W23" s="487"/>
      <c r="X23" s="488"/>
      <c r="Y23" s="322"/>
    </row>
    <row r="24" spans="2:25">
      <c r="B24" s="321"/>
      <c r="C24" s="334"/>
      <c r="D24" s="522"/>
      <c r="E24" s="514"/>
      <c r="F24" s="515"/>
      <c r="G24" s="515"/>
      <c r="H24" s="519"/>
      <c r="I24" s="287" t="s">
        <v>17</v>
      </c>
      <c r="J24" s="521">
        <f>Cal!E70</f>
        <v>0</v>
      </c>
      <c r="K24" s="521"/>
      <c r="L24" s="498">
        <f>Cal!F70</f>
        <v>0</v>
      </c>
      <c r="M24" s="498"/>
      <c r="N24" s="283"/>
      <c r="O24" s="291"/>
      <c r="P24" s="293"/>
      <c r="Q24" s="293">
        <v>2025</v>
      </c>
      <c r="R24" s="523"/>
      <c r="S24" s="523"/>
      <c r="T24" s="523"/>
      <c r="U24" s="523"/>
      <c r="V24" s="523"/>
      <c r="W24" s="523"/>
      <c r="X24" s="524"/>
      <c r="Y24" s="322"/>
    </row>
    <row r="25" spans="2:25">
      <c r="B25" s="321"/>
      <c r="C25" s="335"/>
      <c r="D25" s="522"/>
      <c r="E25" s="514"/>
      <c r="F25" s="515"/>
      <c r="G25" s="515"/>
      <c r="H25" s="520"/>
      <c r="I25" s="294" t="s">
        <v>18</v>
      </c>
      <c r="J25" s="521">
        <f>Cal!E71</f>
        <v>0</v>
      </c>
      <c r="K25" s="521"/>
      <c r="L25" s="498">
        <f>Cal!F71</f>
        <v>0</v>
      </c>
      <c r="M25" s="498"/>
      <c r="N25" s="283"/>
      <c r="O25" s="295"/>
      <c r="P25" s="296"/>
      <c r="Q25" s="296"/>
      <c r="R25" s="296"/>
      <c r="S25" s="296"/>
      <c r="T25" s="296"/>
      <c r="U25" s="296"/>
      <c r="V25" s="296"/>
      <c r="W25" s="296"/>
      <c r="X25" s="297"/>
      <c r="Y25" s="322"/>
    </row>
    <row r="26" spans="2:25" ht="15" thickBot="1">
      <c r="B26" s="321"/>
      <c r="C26" s="283"/>
      <c r="D26" s="283"/>
      <c r="E26" s="283"/>
      <c r="F26" s="283"/>
      <c r="G26" s="283"/>
      <c r="H26" s="283"/>
      <c r="I26" s="283"/>
      <c r="J26" s="283"/>
      <c r="K26" s="283"/>
      <c r="L26" s="283"/>
      <c r="M26" s="283"/>
      <c r="N26" s="283"/>
      <c r="O26" s="283"/>
      <c r="P26" s="283"/>
      <c r="Q26" s="283"/>
      <c r="R26" s="283"/>
      <c r="S26" s="283"/>
      <c r="T26" s="283"/>
      <c r="U26" s="283"/>
      <c r="V26" s="283"/>
      <c r="W26" s="283"/>
      <c r="X26" s="283"/>
      <c r="Y26" s="322"/>
    </row>
    <row r="27" spans="2:25" ht="18.5">
      <c r="B27" s="331" t="s">
        <v>24</v>
      </c>
      <c r="C27" s="332"/>
      <c r="D27" s="332"/>
      <c r="E27" s="332"/>
      <c r="F27" s="332"/>
      <c r="G27" s="332"/>
      <c r="H27" s="332"/>
      <c r="I27" s="332"/>
      <c r="J27" s="332"/>
      <c r="K27" s="332"/>
      <c r="L27" s="332"/>
      <c r="M27" s="332"/>
      <c r="N27" s="315"/>
      <c r="O27" s="315"/>
      <c r="P27" s="315"/>
      <c r="Q27" s="315"/>
      <c r="R27" s="315"/>
      <c r="S27" s="315"/>
      <c r="T27" s="315"/>
      <c r="U27" s="315"/>
      <c r="V27" s="315"/>
      <c r="W27" s="315"/>
      <c r="X27" s="315"/>
      <c r="Y27" s="316"/>
    </row>
    <row r="28" spans="2:25">
      <c r="B28" s="321"/>
      <c r="C28" s="283"/>
      <c r="D28" s="283"/>
      <c r="E28" s="283"/>
      <c r="F28" s="283"/>
      <c r="G28" s="283"/>
      <c r="H28" s="283"/>
      <c r="I28" s="283"/>
      <c r="J28" s="283"/>
      <c r="K28" s="283"/>
      <c r="L28" s="283"/>
      <c r="M28" s="283"/>
      <c r="N28" s="283"/>
      <c r="O28" s="283"/>
      <c r="P28" s="283"/>
      <c r="Q28" s="283"/>
      <c r="R28" s="283"/>
      <c r="S28" s="283"/>
      <c r="T28" s="283"/>
      <c r="U28" s="283"/>
      <c r="V28" s="283"/>
      <c r="W28" s="283"/>
      <c r="X28" s="283"/>
      <c r="Y28" s="322"/>
    </row>
    <row r="29" spans="2:25">
      <c r="B29" s="321"/>
      <c r="C29" s="499" t="s">
        <v>25</v>
      </c>
      <c r="D29" s="500"/>
      <c r="E29" s="501"/>
      <c r="F29" s="508">
        <v>2025</v>
      </c>
      <c r="G29" s="509"/>
      <c r="H29" s="509"/>
      <c r="I29" s="509"/>
      <c r="J29" s="510">
        <v>2028</v>
      </c>
      <c r="K29" s="511"/>
      <c r="L29" s="511"/>
      <c r="M29" s="512"/>
      <c r="N29" s="325"/>
      <c r="O29" s="508" t="s">
        <v>26</v>
      </c>
      <c r="P29" s="509"/>
      <c r="Q29" s="509"/>
      <c r="R29" s="509"/>
      <c r="S29" s="513"/>
      <c r="T29" s="508" t="s">
        <v>27</v>
      </c>
      <c r="U29" s="509"/>
      <c r="V29" s="509"/>
      <c r="W29" s="509"/>
      <c r="X29" s="513"/>
      <c r="Y29" s="322"/>
    </row>
    <row r="30" spans="2:25">
      <c r="B30" s="321"/>
      <c r="C30" s="502"/>
      <c r="D30" s="503"/>
      <c r="E30" s="504"/>
      <c r="F30" s="508" t="s">
        <v>13</v>
      </c>
      <c r="G30" s="513"/>
      <c r="H30" s="508" t="s">
        <v>28</v>
      </c>
      <c r="I30" s="513"/>
      <c r="J30" s="510" t="s">
        <v>13</v>
      </c>
      <c r="K30" s="512"/>
      <c r="L30" s="510" t="s">
        <v>28</v>
      </c>
      <c r="M30" s="512"/>
      <c r="N30" s="283"/>
      <c r="O30" s="474"/>
      <c r="P30" s="475"/>
      <c r="Q30" s="475"/>
      <c r="R30" s="475"/>
      <c r="S30" s="476"/>
      <c r="T30" s="483"/>
      <c r="U30" s="484"/>
      <c r="V30" s="484"/>
      <c r="W30" s="484"/>
      <c r="X30" s="485"/>
      <c r="Y30" s="322"/>
    </row>
    <row r="31" spans="2:25">
      <c r="B31" s="321"/>
      <c r="C31" s="505"/>
      <c r="D31" s="506"/>
      <c r="E31" s="507"/>
      <c r="F31" s="313" t="s">
        <v>9</v>
      </c>
      <c r="G31" s="312" t="s">
        <v>194</v>
      </c>
      <c r="H31" s="313" t="s">
        <v>9</v>
      </c>
      <c r="I31" s="312" t="s">
        <v>194</v>
      </c>
      <c r="J31" s="327" t="s">
        <v>9</v>
      </c>
      <c r="K31" s="328" t="s">
        <v>194</v>
      </c>
      <c r="L31" s="327" t="s">
        <v>9</v>
      </c>
      <c r="M31" s="328" t="s">
        <v>194</v>
      </c>
      <c r="N31" s="283"/>
      <c r="O31" s="477"/>
      <c r="P31" s="478"/>
      <c r="Q31" s="478"/>
      <c r="R31" s="478"/>
      <c r="S31" s="479"/>
      <c r="T31" s="486"/>
      <c r="U31" s="487"/>
      <c r="V31" s="487"/>
      <c r="W31" s="487"/>
      <c r="X31" s="488"/>
      <c r="Y31" s="322"/>
    </row>
    <row r="32" spans="2:25">
      <c r="B32" s="321"/>
      <c r="C32" s="492" t="s">
        <v>29</v>
      </c>
      <c r="D32" s="493"/>
      <c r="E32" s="494"/>
      <c r="F32" s="306">
        <f>Cal!E48</f>
        <v>5</v>
      </c>
      <c r="G32" s="307" t="str">
        <f>IF(F32&lt;2,"C",IF(F32&lt;3,"B-",IF(F32&lt;4,"B",IF(F32&lt;5,"B+",IF(F32=5,"A","")))))</f>
        <v>A</v>
      </c>
      <c r="H32" s="306">
        <f>Cal!D48</f>
        <v>5</v>
      </c>
      <c r="I32" s="307" t="str">
        <f t="shared" ref="I32:I34" si="0">IF(H32&lt;2,"C",IF(H32&lt;3,"B-",IF(H32&lt;4,"B",IF(H32&lt;5,"B+",IF(H32=5,"A","")))))</f>
        <v>A</v>
      </c>
      <c r="J32" s="329"/>
      <c r="K32" s="330"/>
      <c r="L32" s="329"/>
      <c r="M32" s="330"/>
      <c r="N32" s="283"/>
      <c r="O32" s="477"/>
      <c r="P32" s="478"/>
      <c r="Q32" s="478"/>
      <c r="R32" s="478"/>
      <c r="S32" s="479"/>
      <c r="T32" s="486"/>
      <c r="U32" s="487"/>
      <c r="V32" s="487"/>
      <c r="W32" s="487"/>
      <c r="X32" s="488"/>
      <c r="Y32" s="322"/>
    </row>
    <row r="33" spans="2:25">
      <c r="B33" s="321"/>
      <c r="C33" s="492" t="s">
        <v>30</v>
      </c>
      <c r="D33" s="493"/>
      <c r="E33" s="494"/>
      <c r="F33" s="306">
        <f>Cal!E49</f>
        <v>5</v>
      </c>
      <c r="G33" s="307" t="str">
        <f t="shared" ref="G33:G36" si="1">IF(F33&lt;2,"C",IF(F33&lt;3,"B-",IF(F33&lt;4,"B",IF(F33&lt;5,"B+",IF(F33=5,"A","")))))</f>
        <v>A</v>
      </c>
      <c r="H33" s="306">
        <f>Cal!D49</f>
        <v>5</v>
      </c>
      <c r="I33" s="307" t="str">
        <f t="shared" si="0"/>
        <v>A</v>
      </c>
      <c r="J33" s="329"/>
      <c r="K33" s="330"/>
      <c r="L33" s="329"/>
      <c r="M33" s="330"/>
      <c r="N33" s="283"/>
      <c r="O33" s="477"/>
      <c r="P33" s="478"/>
      <c r="Q33" s="478"/>
      <c r="R33" s="478"/>
      <c r="S33" s="479"/>
      <c r="T33" s="486"/>
      <c r="U33" s="487"/>
      <c r="V33" s="487"/>
      <c r="W33" s="487"/>
      <c r="X33" s="488"/>
      <c r="Y33" s="322"/>
    </row>
    <row r="34" spans="2:25">
      <c r="B34" s="321"/>
      <c r="C34" s="495" t="s">
        <v>31</v>
      </c>
      <c r="D34" s="496"/>
      <c r="E34" s="497"/>
      <c r="F34" s="306">
        <f>Cal!E50</f>
        <v>5</v>
      </c>
      <c r="G34" s="307" t="str">
        <f t="shared" si="1"/>
        <v>A</v>
      </c>
      <c r="H34" s="306">
        <f>Cal!D50</f>
        <v>5</v>
      </c>
      <c r="I34" s="307" t="str">
        <f t="shared" si="0"/>
        <v>A</v>
      </c>
      <c r="J34" s="329"/>
      <c r="K34" s="330"/>
      <c r="L34" s="329"/>
      <c r="M34" s="330"/>
      <c r="N34" s="283"/>
      <c r="O34" s="477"/>
      <c r="P34" s="478"/>
      <c r="Q34" s="478"/>
      <c r="R34" s="478"/>
      <c r="S34" s="479"/>
      <c r="T34" s="486"/>
      <c r="U34" s="487"/>
      <c r="V34" s="487"/>
      <c r="W34" s="487"/>
      <c r="X34" s="488"/>
      <c r="Y34" s="322"/>
    </row>
    <row r="35" spans="2:25">
      <c r="B35" s="321"/>
      <c r="C35" s="495" t="s">
        <v>32</v>
      </c>
      <c r="D35" s="496"/>
      <c r="E35" s="497"/>
      <c r="F35" s="306">
        <f>Cal!E51</f>
        <v>5</v>
      </c>
      <c r="G35" s="307" t="str">
        <f t="shared" si="1"/>
        <v>A</v>
      </c>
      <c r="H35" s="306">
        <f>Cal!D51</f>
        <v>5</v>
      </c>
      <c r="I35" s="307" t="str">
        <f>IF(H35&lt;2,"C",IF(H35&lt;3,"B-",IF(H35&lt;4,"B",IF(H35&lt;5,"B+",IF(H35=5,"A","")))))</f>
        <v>A</v>
      </c>
      <c r="J35" s="329"/>
      <c r="K35" s="330"/>
      <c r="L35" s="329"/>
      <c r="M35" s="330"/>
      <c r="N35" s="283"/>
      <c r="O35" s="477"/>
      <c r="P35" s="478"/>
      <c r="Q35" s="478"/>
      <c r="R35" s="478"/>
      <c r="S35" s="479"/>
      <c r="T35" s="486"/>
      <c r="U35" s="487"/>
      <c r="V35" s="487"/>
      <c r="W35" s="487"/>
      <c r="X35" s="488"/>
      <c r="Y35" s="322"/>
    </row>
    <row r="36" spans="2:25">
      <c r="B36" s="321"/>
      <c r="C36" s="495" t="s">
        <v>33</v>
      </c>
      <c r="D36" s="496"/>
      <c r="E36" s="497"/>
      <c r="F36" s="306">
        <f>Cal!E52</f>
        <v>5</v>
      </c>
      <c r="G36" s="307" t="str">
        <f t="shared" si="1"/>
        <v>A</v>
      </c>
      <c r="H36" s="306">
        <f>Cal!D52</f>
        <v>5</v>
      </c>
      <c r="I36" s="307" t="str">
        <f t="shared" ref="I36" si="2">IF(H36&lt;2,"C",IF(H36&lt;3,"B-",IF(H36&lt;4,"B",IF(H36&lt;5,"B+",IF(H36=5,"A","")))))</f>
        <v>A</v>
      </c>
      <c r="J36" s="329"/>
      <c r="K36" s="330"/>
      <c r="L36" s="329"/>
      <c r="M36" s="330"/>
      <c r="N36" s="283"/>
      <c r="O36" s="477"/>
      <c r="P36" s="478"/>
      <c r="Q36" s="478"/>
      <c r="R36" s="478"/>
      <c r="S36" s="479"/>
      <c r="T36" s="486"/>
      <c r="U36" s="487"/>
      <c r="V36" s="487"/>
      <c r="W36" s="487"/>
      <c r="X36" s="488"/>
      <c r="Y36" s="322"/>
    </row>
    <row r="37" spans="2:25">
      <c r="B37" s="321"/>
      <c r="C37" s="283"/>
      <c r="D37" s="283"/>
      <c r="E37" s="283"/>
      <c r="F37" s="324"/>
      <c r="G37" s="283"/>
      <c r="H37" s="324"/>
      <c r="I37" s="283"/>
      <c r="J37" s="324"/>
      <c r="K37" s="283"/>
      <c r="L37" s="324"/>
      <c r="M37" s="283"/>
      <c r="N37" s="283"/>
      <c r="O37" s="477"/>
      <c r="P37" s="478"/>
      <c r="Q37" s="478"/>
      <c r="R37" s="478"/>
      <c r="S37" s="479"/>
      <c r="T37" s="486"/>
      <c r="U37" s="487"/>
      <c r="V37" s="487"/>
      <c r="W37" s="487"/>
      <c r="X37" s="488"/>
      <c r="Y37" s="322"/>
    </row>
    <row r="38" spans="2:25">
      <c r="B38" s="321"/>
      <c r="C38" s="492" t="s">
        <v>10</v>
      </c>
      <c r="D38" s="493"/>
      <c r="E38" s="494"/>
      <c r="F38" s="306">
        <f>AVERAGE(F32:F36)</f>
        <v>5</v>
      </c>
      <c r="G38" s="307" t="str">
        <f>IF(F38&lt;2,"C",IF(F38&lt;3,"B-",IF(F38&lt;4,"B",IF(F38&lt;5,"B+",IF(F38=5,"A","")))))</f>
        <v>A</v>
      </c>
      <c r="H38" s="306">
        <f>AVERAGE(H32:H36)</f>
        <v>5</v>
      </c>
      <c r="I38" s="307" t="str">
        <f>IF(H38&lt;2,"C",IF(H38&lt;3,"B-",IF(H38&lt;4,"B",IF(H38&lt;5,"B+",IF(H38=5,"A","")))))</f>
        <v>A</v>
      </c>
      <c r="J38" s="329"/>
      <c r="K38" s="330"/>
      <c r="L38" s="329"/>
      <c r="M38" s="330"/>
      <c r="N38" s="283"/>
      <c r="O38" s="480"/>
      <c r="P38" s="481"/>
      <c r="Q38" s="481"/>
      <c r="R38" s="481"/>
      <c r="S38" s="482"/>
      <c r="T38" s="489"/>
      <c r="U38" s="490"/>
      <c r="V38" s="490"/>
      <c r="W38" s="490"/>
      <c r="X38" s="491"/>
      <c r="Y38" s="322"/>
    </row>
    <row r="39" spans="2:25" ht="15" thickBot="1">
      <c r="B39" s="323"/>
      <c r="C39" s="326"/>
      <c r="D39" s="326"/>
      <c r="E39" s="326"/>
      <c r="F39" s="326"/>
      <c r="G39" s="326"/>
      <c r="H39" s="326"/>
      <c r="I39" s="326"/>
      <c r="J39" s="326"/>
      <c r="K39" s="326"/>
      <c r="L39" s="326"/>
      <c r="M39" s="326"/>
      <c r="N39" s="326"/>
      <c r="O39" s="326"/>
      <c r="P39" s="326"/>
      <c r="Q39" s="326"/>
      <c r="R39" s="326"/>
      <c r="S39" s="326"/>
      <c r="T39" s="326"/>
      <c r="U39" s="326"/>
      <c r="V39" s="326"/>
      <c r="W39" s="326"/>
      <c r="X39" s="326"/>
      <c r="Y39" s="298"/>
    </row>
    <row r="40" spans="2:25">
      <c r="B40" s="314" t="s">
        <v>195</v>
      </c>
      <c r="C40" s="317"/>
      <c r="D40" s="315"/>
      <c r="E40" s="315"/>
      <c r="F40" s="315"/>
      <c r="G40" s="315"/>
      <c r="H40" s="315"/>
      <c r="I40" s="315"/>
      <c r="J40" s="315"/>
      <c r="K40" s="315"/>
      <c r="L40" s="315"/>
      <c r="M40" s="315"/>
      <c r="N40" s="315"/>
      <c r="O40" s="315"/>
      <c r="P40" s="315"/>
      <c r="Q40" s="315"/>
      <c r="R40" s="315"/>
      <c r="S40" s="315"/>
      <c r="T40" s="315"/>
      <c r="U40" s="315"/>
      <c r="V40" s="315"/>
      <c r="W40" s="315"/>
      <c r="X40" s="315"/>
      <c r="Y40" s="316"/>
    </row>
    <row r="41" spans="2:25">
      <c r="B41" s="299"/>
      <c r="C41" s="300"/>
      <c r="D41" s="300"/>
      <c r="E41" s="300"/>
      <c r="F41" s="300"/>
      <c r="G41" s="300"/>
      <c r="H41" s="300"/>
      <c r="I41" s="300"/>
      <c r="J41" s="300"/>
      <c r="K41" s="300"/>
      <c r="L41" s="300"/>
      <c r="M41" s="300"/>
      <c r="N41" s="300"/>
      <c r="O41" s="300"/>
      <c r="P41" s="300"/>
      <c r="Q41" s="300"/>
      <c r="R41" s="300"/>
      <c r="S41" s="300"/>
      <c r="T41" s="300"/>
      <c r="U41" s="300"/>
      <c r="V41" s="300"/>
      <c r="W41" s="300"/>
      <c r="X41" s="300"/>
      <c r="Y41" s="301"/>
    </row>
    <row r="42" spans="2:25" ht="18.75" customHeight="1">
      <c r="B42" s="299"/>
      <c r="C42" s="472" t="s">
        <v>802</v>
      </c>
      <c r="D42" s="473"/>
      <c r="E42" s="473"/>
      <c r="F42" s="473"/>
      <c r="G42" s="473"/>
      <c r="H42" s="473"/>
      <c r="I42" s="473"/>
      <c r="J42" s="473"/>
      <c r="K42" s="473"/>
      <c r="L42" s="473"/>
      <c r="M42" s="473"/>
      <c r="N42" s="473"/>
      <c r="O42" s="473"/>
      <c r="P42" s="473"/>
      <c r="Q42" s="473"/>
      <c r="R42" s="473"/>
      <c r="S42" s="473"/>
      <c r="T42" s="473"/>
      <c r="U42" s="473"/>
      <c r="V42" s="473"/>
      <c r="W42" s="473"/>
      <c r="X42" s="473"/>
      <c r="Y42" s="301"/>
    </row>
    <row r="43" spans="2:25" ht="35.5" customHeight="1">
      <c r="B43" s="299"/>
      <c r="C43" s="473"/>
      <c r="D43" s="473"/>
      <c r="E43" s="473"/>
      <c r="F43" s="473"/>
      <c r="G43" s="473"/>
      <c r="H43" s="473"/>
      <c r="I43" s="473"/>
      <c r="J43" s="473"/>
      <c r="K43" s="473"/>
      <c r="L43" s="473"/>
      <c r="M43" s="473"/>
      <c r="N43" s="473"/>
      <c r="O43" s="473"/>
      <c r="P43" s="473"/>
      <c r="Q43" s="473"/>
      <c r="R43" s="473"/>
      <c r="S43" s="473"/>
      <c r="T43" s="473"/>
      <c r="U43" s="473"/>
      <c r="V43" s="473"/>
      <c r="W43" s="473"/>
      <c r="X43" s="473"/>
      <c r="Y43" s="301"/>
    </row>
    <row r="44" spans="2:25">
      <c r="B44" s="299"/>
      <c r="C44" s="473"/>
      <c r="D44" s="473"/>
      <c r="E44" s="473"/>
      <c r="F44" s="473"/>
      <c r="G44" s="473"/>
      <c r="H44" s="473"/>
      <c r="I44" s="473"/>
      <c r="J44" s="473"/>
      <c r="K44" s="473"/>
      <c r="L44" s="473"/>
      <c r="M44" s="473"/>
      <c r="N44" s="473"/>
      <c r="O44" s="473"/>
      <c r="P44" s="473"/>
      <c r="Q44" s="473"/>
      <c r="R44" s="473"/>
      <c r="S44" s="473"/>
      <c r="T44" s="473"/>
      <c r="U44" s="473"/>
      <c r="V44" s="473"/>
      <c r="W44" s="473"/>
      <c r="X44" s="473"/>
      <c r="Y44" s="301"/>
    </row>
    <row r="45" spans="2:25">
      <c r="B45" s="299"/>
      <c r="C45" s="473"/>
      <c r="D45" s="473"/>
      <c r="E45" s="473"/>
      <c r="F45" s="473"/>
      <c r="G45" s="473"/>
      <c r="H45" s="473"/>
      <c r="I45" s="473"/>
      <c r="J45" s="473"/>
      <c r="K45" s="473"/>
      <c r="L45" s="473"/>
      <c r="M45" s="473"/>
      <c r="N45" s="473"/>
      <c r="O45" s="473"/>
      <c r="P45" s="473"/>
      <c r="Q45" s="473"/>
      <c r="R45" s="473"/>
      <c r="S45" s="473"/>
      <c r="T45" s="473"/>
      <c r="U45" s="473"/>
      <c r="V45" s="473"/>
      <c r="W45" s="473"/>
      <c r="X45" s="473"/>
      <c r="Y45" s="301"/>
    </row>
    <row r="46" spans="2:25">
      <c r="B46" s="299"/>
      <c r="C46" s="473"/>
      <c r="D46" s="473"/>
      <c r="E46" s="473"/>
      <c r="F46" s="473"/>
      <c r="G46" s="473"/>
      <c r="H46" s="473"/>
      <c r="I46" s="473"/>
      <c r="J46" s="473"/>
      <c r="K46" s="473"/>
      <c r="L46" s="473"/>
      <c r="M46" s="473"/>
      <c r="N46" s="473"/>
      <c r="O46" s="473"/>
      <c r="P46" s="473"/>
      <c r="Q46" s="473"/>
      <c r="R46" s="473"/>
      <c r="S46" s="473"/>
      <c r="T46" s="473"/>
      <c r="U46" s="473"/>
      <c r="V46" s="473"/>
      <c r="W46" s="473"/>
      <c r="X46" s="473"/>
      <c r="Y46" s="301"/>
    </row>
    <row r="47" spans="2:25" ht="39.5" customHeight="1">
      <c r="B47" s="299"/>
      <c r="C47" s="473"/>
      <c r="D47" s="473"/>
      <c r="E47" s="473"/>
      <c r="F47" s="473"/>
      <c r="G47" s="473"/>
      <c r="H47" s="473"/>
      <c r="I47" s="473"/>
      <c r="J47" s="473"/>
      <c r="K47" s="473"/>
      <c r="L47" s="473"/>
      <c r="M47" s="473"/>
      <c r="N47" s="473"/>
      <c r="O47" s="473"/>
      <c r="P47" s="473"/>
      <c r="Q47" s="473"/>
      <c r="R47" s="473"/>
      <c r="S47" s="473"/>
      <c r="T47" s="473"/>
      <c r="U47" s="473"/>
      <c r="V47" s="473"/>
      <c r="W47" s="473"/>
      <c r="X47" s="473"/>
      <c r="Y47" s="301"/>
    </row>
    <row r="48" spans="2:25">
      <c r="B48" s="299"/>
      <c r="C48" s="473"/>
      <c r="D48" s="473"/>
      <c r="E48" s="473"/>
      <c r="F48" s="473"/>
      <c r="G48" s="473"/>
      <c r="H48" s="473"/>
      <c r="I48" s="473"/>
      <c r="J48" s="473"/>
      <c r="K48" s="473"/>
      <c r="L48" s="473"/>
      <c r="M48" s="473"/>
      <c r="N48" s="473"/>
      <c r="O48" s="473"/>
      <c r="P48" s="473"/>
      <c r="Q48" s="473"/>
      <c r="R48" s="473"/>
      <c r="S48" s="473"/>
      <c r="T48" s="473"/>
      <c r="U48" s="473"/>
      <c r="V48" s="473"/>
      <c r="W48" s="473"/>
      <c r="X48" s="473"/>
      <c r="Y48" s="301"/>
    </row>
    <row r="49" spans="2:25">
      <c r="B49" s="299"/>
      <c r="C49" s="473"/>
      <c r="D49" s="473"/>
      <c r="E49" s="473"/>
      <c r="F49" s="473"/>
      <c r="G49" s="473"/>
      <c r="H49" s="473"/>
      <c r="I49" s="473"/>
      <c r="J49" s="473"/>
      <c r="K49" s="473"/>
      <c r="L49" s="473"/>
      <c r="M49" s="473"/>
      <c r="N49" s="473"/>
      <c r="O49" s="473"/>
      <c r="P49" s="473"/>
      <c r="Q49" s="473"/>
      <c r="R49" s="473"/>
      <c r="S49" s="473"/>
      <c r="T49" s="473"/>
      <c r="U49" s="473"/>
      <c r="V49" s="473"/>
      <c r="W49" s="473"/>
      <c r="X49" s="473"/>
      <c r="Y49" s="301"/>
    </row>
    <row r="50" spans="2:25">
      <c r="B50" s="299"/>
      <c r="C50" s="473"/>
      <c r="D50" s="473"/>
      <c r="E50" s="473"/>
      <c r="F50" s="473"/>
      <c r="G50" s="473"/>
      <c r="H50" s="473"/>
      <c r="I50" s="473"/>
      <c r="J50" s="473"/>
      <c r="K50" s="473"/>
      <c r="L50" s="473"/>
      <c r="M50" s="473"/>
      <c r="N50" s="473"/>
      <c r="O50" s="473"/>
      <c r="P50" s="473"/>
      <c r="Q50" s="473"/>
      <c r="R50" s="473"/>
      <c r="S50" s="473"/>
      <c r="T50" s="473"/>
      <c r="U50" s="473"/>
      <c r="V50" s="473"/>
      <c r="W50" s="473"/>
      <c r="X50" s="473"/>
      <c r="Y50" s="301"/>
    </row>
    <row r="51" spans="2:25">
      <c r="B51" s="299"/>
      <c r="C51" s="473"/>
      <c r="D51" s="473"/>
      <c r="E51" s="473"/>
      <c r="F51" s="473"/>
      <c r="G51" s="473"/>
      <c r="H51" s="473"/>
      <c r="I51" s="473"/>
      <c r="J51" s="473"/>
      <c r="K51" s="473"/>
      <c r="L51" s="473"/>
      <c r="M51" s="473"/>
      <c r="N51" s="473"/>
      <c r="O51" s="473"/>
      <c r="P51" s="473"/>
      <c r="Q51" s="473"/>
      <c r="R51" s="473"/>
      <c r="S51" s="473"/>
      <c r="T51" s="473"/>
      <c r="U51" s="473"/>
      <c r="V51" s="473"/>
      <c r="W51" s="473"/>
      <c r="X51" s="473"/>
      <c r="Y51" s="301"/>
    </row>
    <row r="52" spans="2:25" ht="44" customHeight="1">
      <c r="B52" s="299"/>
      <c r="C52" s="473"/>
      <c r="D52" s="473"/>
      <c r="E52" s="473"/>
      <c r="F52" s="473"/>
      <c r="G52" s="473"/>
      <c r="H52" s="473"/>
      <c r="I52" s="473"/>
      <c r="J52" s="473"/>
      <c r="K52" s="473"/>
      <c r="L52" s="473"/>
      <c r="M52" s="473"/>
      <c r="N52" s="473"/>
      <c r="O52" s="473"/>
      <c r="P52" s="473"/>
      <c r="Q52" s="473"/>
      <c r="R52" s="473"/>
      <c r="S52" s="473"/>
      <c r="T52" s="473"/>
      <c r="U52" s="473"/>
      <c r="V52" s="473"/>
      <c r="W52" s="473"/>
      <c r="X52" s="473"/>
      <c r="Y52" s="301"/>
    </row>
    <row r="53" spans="2:25">
      <c r="B53" s="299"/>
      <c r="C53" s="473"/>
      <c r="D53" s="473"/>
      <c r="E53" s="473"/>
      <c r="F53" s="473"/>
      <c r="G53" s="473"/>
      <c r="H53" s="473"/>
      <c r="I53" s="473"/>
      <c r="J53" s="473"/>
      <c r="K53" s="473"/>
      <c r="L53" s="473"/>
      <c r="M53" s="473"/>
      <c r="N53" s="473"/>
      <c r="O53" s="473"/>
      <c r="P53" s="473"/>
      <c r="Q53" s="473"/>
      <c r="R53" s="473"/>
      <c r="S53" s="473"/>
      <c r="T53" s="473"/>
      <c r="U53" s="473"/>
      <c r="V53" s="473"/>
      <c r="W53" s="473"/>
      <c r="X53" s="473"/>
      <c r="Y53" s="301"/>
    </row>
    <row r="54" spans="2:25">
      <c r="B54" s="299"/>
      <c r="C54" s="473"/>
      <c r="D54" s="473"/>
      <c r="E54" s="473"/>
      <c r="F54" s="473"/>
      <c r="G54" s="473"/>
      <c r="H54" s="473"/>
      <c r="I54" s="473"/>
      <c r="J54" s="473"/>
      <c r="K54" s="473"/>
      <c r="L54" s="473"/>
      <c r="M54" s="473"/>
      <c r="N54" s="473"/>
      <c r="O54" s="473"/>
      <c r="P54" s="473"/>
      <c r="Q54" s="473"/>
      <c r="R54" s="473"/>
      <c r="S54" s="473"/>
      <c r="T54" s="473"/>
      <c r="U54" s="473"/>
      <c r="V54" s="473"/>
      <c r="W54" s="473"/>
      <c r="X54" s="473"/>
      <c r="Y54" s="301"/>
    </row>
    <row r="55" spans="2:25">
      <c r="B55" s="299"/>
      <c r="C55" s="473"/>
      <c r="D55" s="473"/>
      <c r="E55" s="473"/>
      <c r="F55" s="473"/>
      <c r="G55" s="473"/>
      <c r="H55" s="473"/>
      <c r="I55" s="473"/>
      <c r="J55" s="473"/>
      <c r="K55" s="473"/>
      <c r="L55" s="473"/>
      <c r="M55" s="473"/>
      <c r="N55" s="473"/>
      <c r="O55" s="473"/>
      <c r="P55" s="473"/>
      <c r="Q55" s="473"/>
      <c r="R55" s="473"/>
      <c r="S55" s="473"/>
      <c r="T55" s="473"/>
      <c r="U55" s="473"/>
      <c r="V55" s="473"/>
      <c r="W55" s="473"/>
      <c r="X55" s="473"/>
      <c r="Y55" s="301"/>
    </row>
    <row r="56" spans="2:25">
      <c r="B56" s="299"/>
      <c r="C56" s="473"/>
      <c r="D56" s="473"/>
      <c r="E56" s="473"/>
      <c r="F56" s="473"/>
      <c r="G56" s="473"/>
      <c r="H56" s="473"/>
      <c r="I56" s="473"/>
      <c r="J56" s="473"/>
      <c r="K56" s="473"/>
      <c r="L56" s="473"/>
      <c r="M56" s="473"/>
      <c r="N56" s="473"/>
      <c r="O56" s="473"/>
      <c r="P56" s="473"/>
      <c r="Q56" s="473"/>
      <c r="R56" s="473"/>
      <c r="S56" s="473"/>
      <c r="T56" s="473"/>
      <c r="U56" s="473"/>
      <c r="V56" s="473"/>
      <c r="W56" s="473"/>
      <c r="X56" s="473"/>
      <c r="Y56" s="301"/>
    </row>
    <row r="57" spans="2:25">
      <c r="B57" s="299"/>
      <c r="C57" s="473"/>
      <c r="D57" s="473"/>
      <c r="E57" s="473"/>
      <c r="F57" s="473"/>
      <c r="G57" s="473"/>
      <c r="H57" s="473"/>
      <c r="I57" s="473"/>
      <c r="J57" s="473"/>
      <c r="K57" s="473"/>
      <c r="L57" s="473"/>
      <c r="M57" s="473"/>
      <c r="N57" s="473"/>
      <c r="O57" s="473"/>
      <c r="P57" s="473"/>
      <c r="Q57" s="473"/>
      <c r="R57" s="473"/>
      <c r="S57" s="473"/>
      <c r="T57" s="473"/>
      <c r="U57" s="473"/>
      <c r="V57" s="473"/>
      <c r="W57" s="473"/>
      <c r="X57" s="473"/>
      <c r="Y57" s="301"/>
    </row>
    <row r="58" spans="2:25">
      <c r="B58" s="299"/>
      <c r="C58" s="473"/>
      <c r="D58" s="473"/>
      <c r="E58" s="473"/>
      <c r="F58" s="473"/>
      <c r="G58" s="473"/>
      <c r="H58" s="473"/>
      <c r="I58" s="473"/>
      <c r="J58" s="473"/>
      <c r="K58" s="473"/>
      <c r="L58" s="473"/>
      <c r="M58" s="473"/>
      <c r="N58" s="473"/>
      <c r="O58" s="473"/>
      <c r="P58" s="473"/>
      <c r="Q58" s="473"/>
      <c r="R58" s="473"/>
      <c r="S58" s="473"/>
      <c r="T58" s="473"/>
      <c r="U58" s="473"/>
      <c r="V58" s="473"/>
      <c r="W58" s="473"/>
      <c r="X58" s="473"/>
      <c r="Y58" s="301"/>
    </row>
    <row r="59" spans="2:25">
      <c r="B59" s="299"/>
      <c r="C59" s="473"/>
      <c r="D59" s="473"/>
      <c r="E59" s="473"/>
      <c r="F59" s="473"/>
      <c r="G59" s="473"/>
      <c r="H59" s="473"/>
      <c r="I59" s="473"/>
      <c r="J59" s="473"/>
      <c r="K59" s="473"/>
      <c r="L59" s="473"/>
      <c r="M59" s="473"/>
      <c r="N59" s="473"/>
      <c r="O59" s="473"/>
      <c r="P59" s="473"/>
      <c r="Q59" s="473"/>
      <c r="R59" s="473"/>
      <c r="S59" s="473"/>
      <c r="T59" s="473"/>
      <c r="U59" s="473"/>
      <c r="V59" s="473"/>
      <c r="W59" s="473"/>
      <c r="X59" s="473"/>
      <c r="Y59" s="301"/>
    </row>
    <row r="60" spans="2:25">
      <c r="B60" s="299"/>
      <c r="C60" s="473"/>
      <c r="D60" s="473"/>
      <c r="E60" s="473"/>
      <c r="F60" s="473"/>
      <c r="G60" s="473"/>
      <c r="H60" s="473"/>
      <c r="I60" s="473"/>
      <c r="J60" s="473"/>
      <c r="K60" s="473"/>
      <c r="L60" s="473"/>
      <c r="M60" s="473"/>
      <c r="N60" s="473"/>
      <c r="O60" s="473"/>
      <c r="P60" s="473"/>
      <c r="Q60" s="473"/>
      <c r="R60" s="473"/>
      <c r="S60" s="473"/>
      <c r="T60" s="473"/>
      <c r="U60" s="473"/>
      <c r="V60" s="473"/>
      <c r="W60" s="473"/>
      <c r="X60" s="473"/>
      <c r="Y60" s="301"/>
    </row>
    <row r="61" spans="2:25">
      <c r="B61" s="299"/>
      <c r="C61" s="473"/>
      <c r="D61" s="473"/>
      <c r="E61" s="473"/>
      <c r="F61" s="473"/>
      <c r="G61" s="473"/>
      <c r="H61" s="473"/>
      <c r="I61" s="473"/>
      <c r="J61" s="473"/>
      <c r="K61" s="473"/>
      <c r="L61" s="473"/>
      <c r="M61" s="473"/>
      <c r="N61" s="473"/>
      <c r="O61" s="473"/>
      <c r="P61" s="473"/>
      <c r="Q61" s="473"/>
      <c r="R61" s="473"/>
      <c r="S61" s="473"/>
      <c r="T61" s="473"/>
      <c r="U61" s="473"/>
      <c r="V61" s="473"/>
      <c r="W61" s="473"/>
      <c r="X61" s="473"/>
      <c r="Y61" s="301"/>
    </row>
    <row r="62" spans="2:25">
      <c r="B62" s="299"/>
      <c r="C62" s="473"/>
      <c r="D62" s="473"/>
      <c r="E62" s="473"/>
      <c r="F62" s="473"/>
      <c r="G62" s="473"/>
      <c r="H62" s="473"/>
      <c r="I62" s="473"/>
      <c r="J62" s="473"/>
      <c r="K62" s="473"/>
      <c r="L62" s="473"/>
      <c r="M62" s="473"/>
      <c r="N62" s="473"/>
      <c r="O62" s="473"/>
      <c r="P62" s="473"/>
      <c r="Q62" s="473"/>
      <c r="R62" s="473"/>
      <c r="S62" s="473"/>
      <c r="T62" s="473"/>
      <c r="U62" s="473"/>
      <c r="V62" s="473"/>
      <c r="W62" s="473"/>
      <c r="X62" s="473"/>
      <c r="Y62" s="301"/>
    </row>
    <row r="63" spans="2:25">
      <c r="B63" s="299"/>
      <c r="C63" s="473"/>
      <c r="D63" s="473"/>
      <c r="E63" s="473"/>
      <c r="F63" s="473"/>
      <c r="G63" s="473"/>
      <c r="H63" s="473"/>
      <c r="I63" s="473"/>
      <c r="J63" s="473"/>
      <c r="K63" s="473"/>
      <c r="L63" s="473"/>
      <c r="M63" s="473"/>
      <c r="N63" s="473"/>
      <c r="O63" s="473"/>
      <c r="P63" s="473"/>
      <c r="Q63" s="473"/>
      <c r="R63" s="473"/>
      <c r="S63" s="473"/>
      <c r="T63" s="473"/>
      <c r="U63" s="473"/>
      <c r="V63" s="473"/>
      <c r="W63" s="473"/>
      <c r="X63" s="473"/>
      <c r="Y63" s="301"/>
    </row>
    <row r="64" spans="2:25">
      <c r="B64" s="299"/>
      <c r="C64" s="473"/>
      <c r="D64" s="473"/>
      <c r="E64" s="473"/>
      <c r="F64" s="473"/>
      <c r="G64" s="473"/>
      <c r="H64" s="473"/>
      <c r="I64" s="473"/>
      <c r="J64" s="473"/>
      <c r="K64" s="473"/>
      <c r="L64" s="473"/>
      <c r="M64" s="473"/>
      <c r="N64" s="473"/>
      <c r="O64" s="473"/>
      <c r="P64" s="473"/>
      <c r="Q64" s="473"/>
      <c r="R64" s="473"/>
      <c r="S64" s="473"/>
      <c r="T64" s="473"/>
      <c r="U64" s="473"/>
      <c r="V64" s="473"/>
      <c r="W64" s="473"/>
      <c r="X64" s="473"/>
      <c r="Y64" s="301"/>
    </row>
    <row r="65" spans="2:25">
      <c r="B65" s="299"/>
      <c r="C65" s="473"/>
      <c r="D65" s="473"/>
      <c r="E65" s="473"/>
      <c r="F65" s="473"/>
      <c r="G65" s="473"/>
      <c r="H65" s="473"/>
      <c r="I65" s="473"/>
      <c r="J65" s="473"/>
      <c r="K65" s="473"/>
      <c r="L65" s="473"/>
      <c r="M65" s="473"/>
      <c r="N65" s="473"/>
      <c r="O65" s="473"/>
      <c r="P65" s="473"/>
      <c r="Q65" s="473"/>
      <c r="R65" s="473"/>
      <c r="S65" s="473"/>
      <c r="T65" s="473"/>
      <c r="U65" s="473"/>
      <c r="V65" s="473"/>
      <c r="W65" s="473"/>
      <c r="X65" s="473"/>
      <c r="Y65" s="301"/>
    </row>
    <row r="66" spans="2:25" ht="15" thickBot="1">
      <c r="B66" s="302"/>
      <c r="C66" s="303"/>
      <c r="D66" s="303"/>
      <c r="E66" s="303"/>
      <c r="F66" s="303"/>
      <c r="G66" s="303"/>
      <c r="H66" s="303"/>
      <c r="I66" s="303"/>
      <c r="J66" s="303"/>
      <c r="K66" s="303"/>
      <c r="L66" s="303"/>
      <c r="M66" s="303"/>
      <c r="N66" s="303"/>
      <c r="O66" s="303"/>
      <c r="P66" s="303"/>
      <c r="Q66" s="303"/>
      <c r="R66" s="303"/>
      <c r="S66" s="303"/>
      <c r="T66" s="303"/>
      <c r="U66" s="303"/>
      <c r="V66" s="303"/>
      <c r="W66" s="303"/>
      <c r="X66" s="303"/>
      <c r="Y66" s="304"/>
    </row>
  </sheetData>
  <mergeCells count="71">
    <mergeCell ref="S2:T2"/>
    <mergeCell ref="U2:V2"/>
    <mergeCell ref="W2:X2"/>
    <mergeCell ref="S3:T3"/>
    <mergeCell ref="U3:V3"/>
    <mergeCell ref="W3:X3"/>
    <mergeCell ref="B4:C4"/>
    <mergeCell ref="D4:F4"/>
    <mergeCell ref="G4:I4"/>
    <mergeCell ref="J4:O4"/>
    <mergeCell ref="C8:I9"/>
    <mergeCell ref="J8:K8"/>
    <mergeCell ref="L8:M8"/>
    <mergeCell ref="O8:S8"/>
    <mergeCell ref="O9:S17"/>
    <mergeCell ref="C10:E10"/>
    <mergeCell ref="J15:K15"/>
    <mergeCell ref="L15:M15"/>
    <mergeCell ref="E16:G20"/>
    <mergeCell ref="H16:I16"/>
    <mergeCell ref="H17:H20"/>
    <mergeCell ref="J17:K17"/>
    <mergeCell ref="H11:I11"/>
    <mergeCell ref="H12:H15"/>
    <mergeCell ref="J12:K12"/>
    <mergeCell ref="L12:M12"/>
    <mergeCell ref="J13:K13"/>
    <mergeCell ref="L13:M13"/>
    <mergeCell ref="J14:K14"/>
    <mergeCell ref="L14:M14"/>
    <mergeCell ref="D11:D25"/>
    <mergeCell ref="T29:X29"/>
    <mergeCell ref="F30:G30"/>
    <mergeCell ref="H30:I30"/>
    <mergeCell ref="J30:K30"/>
    <mergeCell ref="L30:M30"/>
    <mergeCell ref="O18:X18"/>
    <mergeCell ref="J19:K19"/>
    <mergeCell ref="L19:M19"/>
    <mergeCell ref="R19:X24"/>
    <mergeCell ref="J20:K20"/>
    <mergeCell ref="L20:M20"/>
    <mergeCell ref="L17:M17"/>
    <mergeCell ref="J18:K18"/>
    <mergeCell ref="L18:M18"/>
    <mergeCell ref="E11:G15"/>
    <mergeCell ref="H21:I21"/>
    <mergeCell ref="H22:H25"/>
    <mergeCell ref="J22:K22"/>
    <mergeCell ref="L22:M22"/>
    <mergeCell ref="J23:K23"/>
    <mergeCell ref="L23:M23"/>
    <mergeCell ref="J24:K24"/>
    <mergeCell ref="L24:M24"/>
    <mergeCell ref="J25:K25"/>
    <mergeCell ref="B3:O3"/>
    <mergeCell ref="C42:X65"/>
    <mergeCell ref="O30:S38"/>
    <mergeCell ref="T30:X38"/>
    <mergeCell ref="C32:E32"/>
    <mergeCell ref="C33:E33"/>
    <mergeCell ref="C34:E34"/>
    <mergeCell ref="C35:E35"/>
    <mergeCell ref="C36:E36"/>
    <mergeCell ref="C38:E38"/>
    <mergeCell ref="L25:M25"/>
    <mergeCell ref="C29:E31"/>
    <mergeCell ref="F29:I29"/>
    <mergeCell ref="J29:M29"/>
    <mergeCell ref="O29:S29"/>
    <mergeCell ref="E21:G25"/>
  </mergeCells>
  <pageMargins left="0.7" right="0.7" top="0.75" bottom="0.75" header="0.3" footer="0.3"/>
  <pageSetup paperSize="9" scale="53" fitToHeight="0"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86B1-AE6A-498D-884B-B7290EBB2769}">
  <sheetPr>
    <tabColor theme="2" tint="-9.9978637043366805E-2"/>
    <pageSetUpPr fitToPage="1"/>
  </sheetPr>
  <dimension ref="B1:Y49"/>
  <sheetViews>
    <sheetView view="pageBreakPreview" topLeftCell="B31" zoomScale="80" zoomScaleNormal="100" zoomScaleSheetLayoutView="80" workbookViewId="0">
      <selection activeCell="C42" sqref="C42:X48"/>
    </sheetView>
  </sheetViews>
  <sheetFormatPr defaultColWidth="8.54296875" defaultRowHeight="14.5"/>
  <cols>
    <col min="1" max="2" width="3.453125" style="277" customWidth="1"/>
    <col min="3" max="3" width="2.81640625" style="277" customWidth="1"/>
    <col min="4" max="13" width="7.1796875" style="277" customWidth="1"/>
    <col min="14" max="14" width="4.453125" style="277" customWidth="1"/>
    <col min="15" max="24" width="7.1796875" style="277" customWidth="1"/>
    <col min="25" max="25" width="4.26953125" style="277" customWidth="1"/>
    <col min="26" max="16384" width="8.54296875" style="277"/>
  </cols>
  <sheetData>
    <row r="1" spans="2:25">
      <c r="X1" s="278"/>
    </row>
    <row r="2" spans="2:25" ht="18" customHeight="1">
      <c r="B2" s="279"/>
      <c r="C2" s="279"/>
      <c r="D2" s="279"/>
      <c r="E2" s="279"/>
      <c r="F2" s="279"/>
      <c r="G2" s="279"/>
      <c r="H2" s="279"/>
      <c r="I2" s="279"/>
      <c r="J2" s="279"/>
      <c r="K2" s="279"/>
      <c r="L2" s="279"/>
      <c r="M2" s="279"/>
      <c r="N2" s="279"/>
      <c r="O2" s="279"/>
      <c r="P2" s="279"/>
      <c r="Q2" s="279"/>
      <c r="S2" s="487"/>
      <c r="T2" s="487"/>
      <c r="U2" s="487"/>
      <c r="V2" s="487"/>
      <c r="W2" s="538" t="s">
        <v>192</v>
      </c>
      <c r="X2" s="538"/>
    </row>
    <row r="3" spans="2:25" ht="61" customHeight="1">
      <c r="B3" s="280" t="s">
        <v>193</v>
      </c>
      <c r="C3" s="279"/>
      <c r="D3" s="279"/>
      <c r="E3" s="279"/>
      <c r="F3" s="279"/>
      <c r="G3" s="279"/>
      <c r="H3" s="279"/>
      <c r="I3" s="279"/>
      <c r="J3" s="279"/>
      <c r="K3" s="279"/>
      <c r="L3" s="279"/>
      <c r="M3" s="279"/>
      <c r="N3" s="279"/>
      <c r="O3" s="279"/>
      <c r="P3" s="279"/>
      <c r="Q3" s="279"/>
      <c r="S3" s="487"/>
      <c r="T3" s="487"/>
      <c r="U3" s="487"/>
      <c r="V3" s="487"/>
      <c r="W3" s="538"/>
      <c r="X3" s="538"/>
    </row>
    <row r="4" spans="2:25" s="282" customFormat="1" ht="34" customHeight="1">
      <c r="B4" s="526" t="s">
        <v>2</v>
      </c>
      <c r="C4" s="526"/>
      <c r="D4" s="526" t="s">
        <v>196</v>
      </c>
      <c r="E4" s="526"/>
      <c r="F4" s="526"/>
      <c r="G4" s="526"/>
      <c r="H4" s="526"/>
      <c r="I4" s="526"/>
      <c r="J4" s="539"/>
      <c r="K4" s="539"/>
      <c r="L4" s="539"/>
      <c r="M4" s="539"/>
      <c r="N4" s="539"/>
      <c r="O4" s="539"/>
    </row>
    <row r="5" spans="2:25" ht="18" customHeight="1" thickBot="1">
      <c r="B5" s="279"/>
      <c r="C5" s="279"/>
      <c r="D5" s="279"/>
      <c r="E5" s="279"/>
      <c r="F5" s="279"/>
      <c r="G5" s="279"/>
      <c r="H5" s="279"/>
      <c r="I5" s="279"/>
      <c r="J5" s="279"/>
      <c r="K5" s="279"/>
      <c r="L5" s="279"/>
      <c r="M5" s="279"/>
      <c r="N5" s="279"/>
      <c r="O5" s="279"/>
      <c r="P5" s="279"/>
      <c r="Q5" s="279"/>
      <c r="R5" s="279"/>
      <c r="S5" s="279"/>
      <c r="T5" s="279"/>
      <c r="U5" s="279"/>
      <c r="V5" s="279"/>
      <c r="W5" s="279"/>
      <c r="X5" s="279"/>
      <c r="Y5" s="279"/>
    </row>
    <row r="6" spans="2:25" ht="18.5">
      <c r="B6" s="331" t="s">
        <v>6</v>
      </c>
      <c r="C6" s="332"/>
      <c r="D6" s="332"/>
      <c r="E6" s="332"/>
      <c r="F6" s="332"/>
      <c r="G6" s="332"/>
      <c r="H6" s="332"/>
      <c r="I6" s="332"/>
      <c r="J6" s="332"/>
      <c r="K6" s="332"/>
      <c r="L6" s="332"/>
      <c r="M6" s="332"/>
      <c r="N6" s="332"/>
      <c r="O6" s="332"/>
      <c r="P6" s="315"/>
      <c r="Q6" s="315"/>
      <c r="R6" s="315"/>
      <c r="S6" s="315"/>
      <c r="T6" s="315"/>
      <c r="U6" s="315"/>
      <c r="V6" s="315"/>
      <c r="W6" s="315"/>
      <c r="X6" s="315"/>
      <c r="Y6" s="316"/>
    </row>
    <row r="7" spans="2:25">
      <c r="B7" s="321"/>
      <c r="C7" s="283"/>
      <c r="D7" s="283"/>
      <c r="E7" s="283"/>
      <c r="F7" s="283"/>
      <c r="G7" s="283"/>
      <c r="H7" s="283"/>
      <c r="I7" s="283"/>
      <c r="J7" s="283"/>
      <c r="K7" s="283"/>
      <c r="L7" s="283"/>
      <c r="M7" s="283"/>
      <c r="N7" s="283"/>
      <c r="O7" s="283"/>
      <c r="P7" s="283"/>
      <c r="Q7" s="283"/>
      <c r="R7" s="283"/>
      <c r="S7" s="283"/>
      <c r="T7" s="283"/>
      <c r="U7" s="283"/>
      <c r="V7" s="283"/>
      <c r="W7" s="283"/>
      <c r="X7" s="283"/>
      <c r="Y7" s="322"/>
    </row>
    <row r="8" spans="2:25">
      <c r="B8" s="321"/>
      <c r="C8" s="528" t="s">
        <v>7</v>
      </c>
      <c r="D8" s="529"/>
      <c r="E8" s="529"/>
      <c r="F8" s="529"/>
      <c r="G8" s="529"/>
      <c r="H8" s="529"/>
      <c r="I8" s="530"/>
      <c r="J8" s="534">
        <v>2025</v>
      </c>
      <c r="K8" s="534"/>
      <c r="L8" s="534">
        <v>2028</v>
      </c>
      <c r="M8" s="534"/>
      <c r="N8" s="283"/>
      <c r="O8" s="508" t="s">
        <v>8</v>
      </c>
      <c r="P8" s="509"/>
      <c r="Q8" s="509"/>
      <c r="R8" s="509"/>
      <c r="S8" s="513"/>
      <c r="T8" s="283"/>
      <c r="U8" s="283"/>
      <c r="V8" s="283"/>
      <c r="W8" s="283"/>
      <c r="X8" s="283"/>
      <c r="Y8" s="322"/>
    </row>
    <row r="9" spans="2:25">
      <c r="B9" s="321"/>
      <c r="C9" s="531"/>
      <c r="D9" s="532"/>
      <c r="E9" s="532"/>
      <c r="F9" s="532"/>
      <c r="G9" s="532"/>
      <c r="H9" s="532"/>
      <c r="I9" s="533"/>
      <c r="J9" s="312" t="s">
        <v>9</v>
      </c>
      <c r="K9" s="312" t="s">
        <v>194</v>
      </c>
      <c r="L9" s="312" t="s">
        <v>9</v>
      </c>
      <c r="M9" s="312" t="s">
        <v>194</v>
      </c>
      <c r="N9" s="283"/>
      <c r="O9" s="483"/>
      <c r="P9" s="484"/>
      <c r="Q9" s="484"/>
      <c r="R9" s="484"/>
      <c r="S9" s="485"/>
      <c r="T9" s="283"/>
      <c r="U9" s="283"/>
      <c r="V9" s="283"/>
      <c r="W9" s="283"/>
      <c r="X9" s="283"/>
      <c r="Y9" s="322"/>
    </row>
    <row r="10" spans="2:25">
      <c r="B10" s="321"/>
      <c r="C10" s="535"/>
      <c r="D10" s="536"/>
      <c r="E10" s="536"/>
      <c r="F10" s="336"/>
      <c r="G10" s="337"/>
      <c r="H10" s="338"/>
      <c r="I10" s="284" t="s">
        <v>10</v>
      </c>
      <c r="J10" s="308">
        <f>Cal!D44</f>
        <v>5</v>
      </c>
      <c r="K10" s="305" t="str">
        <f>IF(J10&lt;2,"C",IF(J10&lt;3,"B-",IF(J10&lt;4,"B",IF(J10&lt;5,"B+",IF(J10=5,"A","")))))</f>
        <v>A</v>
      </c>
      <c r="L10" s="285">
        <f>Cal!E44</f>
        <v>0</v>
      </c>
      <c r="M10" s="285"/>
      <c r="N10" s="283"/>
      <c r="O10" s="486"/>
      <c r="P10" s="487"/>
      <c r="Q10" s="487"/>
      <c r="R10" s="487"/>
      <c r="S10" s="488"/>
      <c r="T10" s="283"/>
      <c r="U10" s="283"/>
      <c r="V10" s="283"/>
      <c r="W10" s="283"/>
      <c r="X10" s="283"/>
      <c r="Y10" s="322"/>
    </row>
    <row r="11" spans="2:25" ht="18" customHeight="1">
      <c r="B11" s="321"/>
      <c r="C11" s="333"/>
      <c r="D11" s="522" t="s">
        <v>11</v>
      </c>
      <c r="E11" s="514" t="s">
        <v>12</v>
      </c>
      <c r="F11" s="515"/>
      <c r="G11" s="515"/>
      <c r="H11" s="516" t="s">
        <v>13</v>
      </c>
      <c r="I11" s="517"/>
      <c r="J11" s="308">
        <f>Cal!D43</f>
        <v>5</v>
      </c>
      <c r="K11" s="305" t="str">
        <f>IF(J11=5,"A",IF(J11&gt;=4,"B+",IF(J11&gt;=3,"B",IF(J11&gt;=2,"B-",IF(J11&gt;=1, "C","-")))))</f>
        <v>A</v>
      </c>
      <c r="L11" s="285">
        <f>Cal!E43</f>
        <v>0</v>
      </c>
      <c r="M11" s="286" t="str">
        <f>IF(L11=5,"A",IF(L11&gt;=4,"B+",IF(L11&gt;=3,"B",IF(L11&gt;=2,"B-",IF(L11&gt;=1, "C","-")))))</f>
        <v>-</v>
      </c>
      <c r="N11" s="283"/>
      <c r="O11" s="486"/>
      <c r="P11" s="487"/>
      <c r="Q11" s="487"/>
      <c r="R11" s="487"/>
      <c r="S11" s="488"/>
      <c r="T11" s="283"/>
      <c r="U11" s="283"/>
      <c r="V11" s="283"/>
      <c r="W11" s="283"/>
      <c r="X11" s="283"/>
      <c r="Y11" s="322"/>
    </row>
    <row r="12" spans="2:25" ht="18" customHeight="1">
      <c r="B12" s="321"/>
      <c r="C12" s="333"/>
      <c r="D12" s="522"/>
      <c r="E12" s="514"/>
      <c r="F12" s="515"/>
      <c r="G12" s="515"/>
      <c r="H12" s="518" t="s">
        <v>14</v>
      </c>
      <c r="I12" s="287" t="s">
        <v>15</v>
      </c>
      <c r="J12" s="521">
        <f>Cal!E56</f>
        <v>8</v>
      </c>
      <c r="K12" s="521"/>
      <c r="L12" s="498">
        <f>Cal!F56</f>
        <v>0</v>
      </c>
      <c r="M12" s="498"/>
      <c r="N12" s="283"/>
      <c r="O12" s="486"/>
      <c r="P12" s="487"/>
      <c r="Q12" s="487"/>
      <c r="R12" s="487"/>
      <c r="S12" s="488"/>
      <c r="T12" s="283"/>
      <c r="U12" s="283"/>
      <c r="V12" s="283"/>
      <c r="W12" s="283"/>
      <c r="X12" s="283"/>
      <c r="Y12" s="322"/>
    </row>
    <row r="13" spans="2:25">
      <c r="B13" s="321"/>
      <c r="C13" s="333"/>
      <c r="D13" s="522"/>
      <c r="E13" s="514"/>
      <c r="F13" s="515"/>
      <c r="G13" s="515"/>
      <c r="H13" s="519"/>
      <c r="I13" s="287" t="s">
        <v>16</v>
      </c>
      <c r="J13" s="521">
        <f>Cal!E57</f>
        <v>0</v>
      </c>
      <c r="K13" s="521"/>
      <c r="L13" s="498">
        <f>Cal!F57</f>
        <v>0</v>
      </c>
      <c r="M13" s="498"/>
      <c r="N13" s="283"/>
      <c r="O13" s="486"/>
      <c r="P13" s="487"/>
      <c r="Q13" s="487"/>
      <c r="R13" s="487"/>
      <c r="S13" s="488"/>
      <c r="T13" s="283"/>
      <c r="U13" s="283"/>
      <c r="V13" s="283"/>
      <c r="W13" s="283"/>
      <c r="X13" s="283"/>
      <c r="Y13" s="322"/>
    </row>
    <row r="14" spans="2:25">
      <c r="B14" s="321"/>
      <c r="C14" s="334"/>
      <c r="D14" s="522"/>
      <c r="E14" s="514"/>
      <c r="F14" s="515"/>
      <c r="G14" s="515"/>
      <c r="H14" s="519"/>
      <c r="I14" s="287" t="s">
        <v>17</v>
      </c>
      <c r="J14" s="521">
        <f>Cal!E58</f>
        <v>0</v>
      </c>
      <c r="K14" s="521"/>
      <c r="L14" s="498">
        <f>Cal!F58</f>
        <v>0</v>
      </c>
      <c r="M14" s="498"/>
      <c r="N14" s="283"/>
      <c r="O14" s="486"/>
      <c r="P14" s="487"/>
      <c r="Q14" s="487"/>
      <c r="R14" s="487"/>
      <c r="S14" s="488"/>
      <c r="T14" s="283"/>
      <c r="U14" s="283"/>
      <c r="V14" s="283"/>
      <c r="W14" s="283"/>
      <c r="X14" s="283"/>
      <c r="Y14" s="322"/>
    </row>
    <row r="15" spans="2:25">
      <c r="B15" s="321"/>
      <c r="C15" s="334"/>
      <c r="D15" s="522"/>
      <c r="E15" s="514"/>
      <c r="F15" s="515"/>
      <c r="G15" s="515"/>
      <c r="H15" s="520"/>
      <c r="I15" s="287" t="s">
        <v>18</v>
      </c>
      <c r="J15" s="521">
        <f>Cal!E59</f>
        <v>0</v>
      </c>
      <c r="K15" s="521"/>
      <c r="L15" s="498">
        <f>Cal!F59</f>
        <v>0</v>
      </c>
      <c r="M15" s="498"/>
      <c r="N15" s="283"/>
      <c r="O15" s="486"/>
      <c r="P15" s="487"/>
      <c r="Q15" s="487"/>
      <c r="R15" s="487"/>
      <c r="S15" s="488"/>
      <c r="T15" s="283"/>
      <c r="U15" s="283"/>
      <c r="V15" s="283"/>
      <c r="W15" s="283"/>
      <c r="X15" s="283"/>
      <c r="Y15" s="322"/>
    </row>
    <row r="16" spans="2:25" ht="18" customHeight="1">
      <c r="B16" s="321"/>
      <c r="C16" s="334"/>
      <c r="D16" s="522"/>
      <c r="E16" s="514" t="s">
        <v>19</v>
      </c>
      <c r="F16" s="515"/>
      <c r="G16" s="515"/>
      <c r="H16" s="516" t="s">
        <v>13</v>
      </c>
      <c r="I16" s="517"/>
      <c r="J16" s="308">
        <f>Cal!D41</f>
        <v>5</v>
      </c>
      <c r="K16" s="305" t="str">
        <f>IF(J16=5,"A",IF(J16&gt;=4,"B+",IF(J16&gt;=3,"B",IF(J16&gt;=2,"B-",IF(J16&gt;=1, "C","-")))))</f>
        <v>A</v>
      </c>
      <c r="L16" s="285">
        <f>Cal!E41</f>
        <v>0</v>
      </c>
      <c r="M16" s="286" t="str">
        <f>IF(L16=5,"A",IF(L16&gt;=4,"B+",IF(L16&gt;=3,"B",IF(L16&gt;=2,"B-",IF(L16&gt;=1, "C","-")))))</f>
        <v>-</v>
      </c>
      <c r="N16" s="283"/>
      <c r="O16" s="486"/>
      <c r="P16" s="487"/>
      <c r="Q16" s="487"/>
      <c r="R16" s="487"/>
      <c r="S16" s="488"/>
      <c r="T16" s="283"/>
      <c r="U16" s="283"/>
      <c r="V16" s="283"/>
      <c r="W16" s="283"/>
      <c r="X16" s="283"/>
      <c r="Y16" s="322"/>
    </row>
    <row r="17" spans="2:25" ht="18" customHeight="1">
      <c r="B17" s="321"/>
      <c r="C17" s="334"/>
      <c r="D17" s="522"/>
      <c r="E17" s="514"/>
      <c r="F17" s="515"/>
      <c r="G17" s="515"/>
      <c r="H17" s="518" t="s">
        <v>14</v>
      </c>
      <c r="I17" s="287" t="s">
        <v>15</v>
      </c>
      <c r="J17" s="521">
        <f>Cal!E62</f>
        <v>16</v>
      </c>
      <c r="K17" s="521"/>
      <c r="L17" s="498">
        <f>Cal!F62</f>
        <v>0</v>
      </c>
      <c r="M17" s="498"/>
      <c r="N17" s="283"/>
      <c r="O17" s="489"/>
      <c r="P17" s="490"/>
      <c r="Q17" s="490"/>
      <c r="R17" s="490"/>
      <c r="S17" s="491"/>
      <c r="T17" s="283"/>
      <c r="U17" s="283"/>
      <c r="V17" s="283"/>
      <c r="W17" s="283"/>
      <c r="X17" s="283"/>
      <c r="Y17" s="322"/>
    </row>
    <row r="18" spans="2:25">
      <c r="B18" s="321"/>
      <c r="C18" s="334"/>
      <c r="D18" s="522"/>
      <c r="E18" s="514"/>
      <c r="F18" s="515"/>
      <c r="G18" s="515"/>
      <c r="H18" s="519"/>
      <c r="I18" s="287" t="s">
        <v>16</v>
      </c>
      <c r="J18" s="521">
        <f>Cal!E63</f>
        <v>0</v>
      </c>
      <c r="K18" s="521"/>
      <c r="L18" s="498">
        <f>Cal!F63</f>
        <v>0</v>
      </c>
      <c r="M18" s="498"/>
      <c r="N18" s="283"/>
      <c r="O18" s="508" t="s">
        <v>14</v>
      </c>
      <c r="P18" s="509"/>
      <c r="Q18" s="509"/>
      <c r="R18" s="509"/>
      <c r="S18" s="509"/>
      <c r="T18" s="509"/>
      <c r="U18" s="509"/>
      <c r="V18" s="509"/>
      <c r="W18" s="509"/>
      <c r="X18" s="513"/>
      <c r="Y18" s="322"/>
    </row>
    <row r="19" spans="2:25">
      <c r="B19" s="321"/>
      <c r="C19" s="334"/>
      <c r="D19" s="522"/>
      <c r="E19" s="514"/>
      <c r="F19" s="515"/>
      <c r="G19" s="515"/>
      <c r="H19" s="519"/>
      <c r="I19" s="287" t="s">
        <v>17</v>
      </c>
      <c r="J19" s="521">
        <f>Cal!E64</f>
        <v>0</v>
      </c>
      <c r="K19" s="521"/>
      <c r="L19" s="498">
        <f>Cal!F64</f>
        <v>0</v>
      </c>
      <c r="M19" s="498"/>
      <c r="N19" s="283"/>
      <c r="O19" s="288" t="s">
        <v>20</v>
      </c>
      <c r="P19" s="289"/>
      <c r="Q19" s="277">
        <v>2028</v>
      </c>
      <c r="R19" s="484"/>
      <c r="S19" s="484"/>
      <c r="T19" s="484"/>
      <c r="U19" s="484"/>
      <c r="V19" s="484"/>
      <c r="W19" s="484"/>
      <c r="X19" s="485"/>
      <c r="Y19" s="322"/>
    </row>
    <row r="20" spans="2:25">
      <c r="B20" s="321"/>
      <c r="C20" s="334"/>
      <c r="D20" s="522"/>
      <c r="E20" s="514"/>
      <c r="F20" s="515"/>
      <c r="G20" s="515"/>
      <c r="H20" s="520"/>
      <c r="I20" s="290" t="s">
        <v>18</v>
      </c>
      <c r="J20" s="521">
        <f>Cal!E65</f>
        <v>0</v>
      </c>
      <c r="K20" s="521"/>
      <c r="L20" s="498">
        <f>Cal!F65</f>
        <v>0</v>
      </c>
      <c r="M20" s="498"/>
      <c r="N20" s="283"/>
      <c r="O20" s="291"/>
      <c r="P20" s="292"/>
      <c r="Q20" s="293">
        <v>2025</v>
      </c>
      <c r="R20" s="487"/>
      <c r="S20" s="487"/>
      <c r="T20" s="487"/>
      <c r="U20" s="487"/>
      <c r="V20" s="487"/>
      <c r="W20" s="487"/>
      <c r="X20" s="488"/>
      <c r="Y20" s="322"/>
    </row>
    <row r="21" spans="2:25" ht="18" customHeight="1">
      <c r="B21" s="321"/>
      <c r="C21" s="334"/>
      <c r="D21" s="522"/>
      <c r="E21" s="514" t="s">
        <v>21</v>
      </c>
      <c r="F21" s="515"/>
      <c r="G21" s="515"/>
      <c r="H21" s="516" t="s">
        <v>13</v>
      </c>
      <c r="I21" s="517"/>
      <c r="J21" s="308">
        <f>Cal!D42</f>
        <v>5</v>
      </c>
      <c r="K21" s="305" t="str">
        <f>IF(J21=5,"A",IF(J21&gt;=4,"B+",IF(J21&gt;=3,"B",IF(J21&gt;=2,"B-",IF(J21&gt;=1, "C","-")))))</f>
        <v>A</v>
      </c>
      <c r="L21" s="285">
        <f>Cal!E42</f>
        <v>0</v>
      </c>
      <c r="M21" s="286" t="str">
        <f>IF(L21=5,"A",IF(L21&gt;=4,"B+",IF(L21&gt;=3,"B",IF(L21&gt;=2,"B-",IF(L21&gt;=1, "C","-")))))</f>
        <v>-</v>
      </c>
      <c r="N21" s="283"/>
      <c r="O21" s="288" t="s">
        <v>22</v>
      </c>
      <c r="Q21" s="277">
        <v>2028</v>
      </c>
      <c r="R21" s="487"/>
      <c r="S21" s="487"/>
      <c r="T21" s="487"/>
      <c r="U21" s="487"/>
      <c r="V21" s="487"/>
      <c r="W21" s="487"/>
      <c r="X21" s="488"/>
      <c r="Y21" s="322"/>
    </row>
    <row r="22" spans="2:25" ht="18" customHeight="1">
      <c r="B22" s="321"/>
      <c r="C22" s="334"/>
      <c r="D22" s="522"/>
      <c r="E22" s="514"/>
      <c r="F22" s="515"/>
      <c r="G22" s="515"/>
      <c r="H22" s="518" t="s">
        <v>14</v>
      </c>
      <c r="I22" s="287" t="s">
        <v>15</v>
      </c>
      <c r="J22" s="521">
        <f>Cal!E68</f>
        <v>7</v>
      </c>
      <c r="K22" s="521"/>
      <c r="L22" s="498">
        <f>Cal!F68</f>
        <v>0</v>
      </c>
      <c r="M22" s="498"/>
      <c r="N22" s="283"/>
      <c r="O22" s="291"/>
      <c r="P22" s="293"/>
      <c r="Q22" s="293">
        <v>2025</v>
      </c>
      <c r="R22" s="487"/>
      <c r="S22" s="487"/>
      <c r="T22" s="487"/>
      <c r="U22" s="487"/>
      <c r="V22" s="487"/>
      <c r="W22" s="487"/>
      <c r="X22" s="488"/>
      <c r="Y22" s="322"/>
    </row>
    <row r="23" spans="2:25">
      <c r="B23" s="321"/>
      <c r="C23" s="334"/>
      <c r="D23" s="522"/>
      <c r="E23" s="514"/>
      <c r="F23" s="515"/>
      <c r="G23" s="515"/>
      <c r="H23" s="519"/>
      <c r="I23" s="287" t="s">
        <v>16</v>
      </c>
      <c r="J23" s="521">
        <f>Cal!E69</f>
        <v>0</v>
      </c>
      <c r="K23" s="521"/>
      <c r="L23" s="498">
        <f>Cal!F69</f>
        <v>0</v>
      </c>
      <c r="M23" s="498"/>
      <c r="N23" s="283"/>
      <c r="O23" s="288" t="s">
        <v>23</v>
      </c>
      <c r="Q23" s="277">
        <v>2028</v>
      </c>
      <c r="R23" s="487"/>
      <c r="S23" s="487"/>
      <c r="T23" s="487"/>
      <c r="U23" s="487"/>
      <c r="V23" s="487"/>
      <c r="W23" s="487"/>
      <c r="X23" s="488"/>
      <c r="Y23" s="322"/>
    </row>
    <row r="24" spans="2:25">
      <c r="B24" s="321"/>
      <c r="C24" s="334"/>
      <c r="D24" s="522"/>
      <c r="E24" s="514"/>
      <c r="F24" s="515"/>
      <c r="G24" s="515"/>
      <c r="H24" s="519"/>
      <c r="I24" s="287" t="s">
        <v>17</v>
      </c>
      <c r="J24" s="521">
        <f>Cal!E70</f>
        <v>0</v>
      </c>
      <c r="K24" s="521"/>
      <c r="L24" s="498">
        <f>Cal!F70</f>
        <v>0</v>
      </c>
      <c r="M24" s="498"/>
      <c r="N24" s="283"/>
      <c r="O24" s="291"/>
      <c r="P24" s="293"/>
      <c r="Q24" s="293">
        <v>2025</v>
      </c>
      <c r="R24" s="523"/>
      <c r="S24" s="523"/>
      <c r="T24" s="523"/>
      <c r="U24" s="523"/>
      <c r="V24" s="523"/>
      <c r="W24" s="523"/>
      <c r="X24" s="524"/>
      <c r="Y24" s="322"/>
    </row>
    <row r="25" spans="2:25">
      <c r="B25" s="321"/>
      <c r="C25" s="335"/>
      <c r="D25" s="522"/>
      <c r="E25" s="514"/>
      <c r="F25" s="515"/>
      <c r="G25" s="515"/>
      <c r="H25" s="520"/>
      <c r="I25" s="294" t="s">
        <v>18</v>
      </c>
      <c r="J25" s="521">
        <f>Cal!E71</f>
        <v>0</v>
      </c>
      <c r="K25" s="521"/>
      <c r="L25" s="498">
        <f>Cal!F71</f>
        <v>0</v>
      </c>
      <c r="M25" s="498"/>
      <c r="N25" s="283"/>
      <c r="O25" s="295"/>
      <c r="P25" s="296"/>
      <c r="Q25" s="296"/>
      <c r="R25" s="296"/>
      <c r="S25" s="296"/>
      <c r="T25" s="296"/>
      <c r="U25" s="296"/>
      <c r="V25" s="296"/>
      <c r="W25" s="296"/>
      <c r="X25" s="297"/>
      <c r="Y25" s="322"/>
    </row>
    <row r="26" spans="2:25" ht="15" thickBot="1">
      <c r="B26" s="321"/>
      <c r="C26" s="283"/>
      <c r="D26" s="283"/>
      <c r="E26" s="283"/>
      <c r="F26" s="283"/>
      <c r="G26" s="283"/>
      <c r="H26" s="283"/>
      <c r="I26" s="283"/>
      <c r="J26" s="283"/>
      <c r="K26" s="283"/>
      <c r="L26" s="283"/>
      <c r="M26" s="283"/>
      <c r="N26" s="283"/>
      <c r="O26" s="283"/>
      <c r="P26" s="283"/>
      <c r="Q26" s="283"/>
      <c r="R26" s="283"/>
      <c r="S26" s="283"/>
      <c r="T26" s="283"/>
      <c r="U26" s="283"/>
      <c r="V26" s="283"/>
      <c r="W26" s="283"/>
      <c r="X26" s="283"/>
      <c r="Y26" s="322"/>
    </row>
    <row r="27" spans="2:25" ht="18.5">
      <c r="B27" s="331" t="s">
        <v>24</v>
      </c>
      <c r="C27" s="332"/>
      <c r="D27" s="332"/>
      <c r="E27" s="332"/>
      <c r="F27" s="332"/>
      <c r="G27" s="332"/>
      <c r="H27" s="332"/>
      <c r="I27" s="332"/>
      <c r="J27" s="332"/>
      <c r="K27" s="332"/>
      <c r="L27" s="332"/>
      <c r="M27" s="332"/>
      <c r="N27" s="315"/>
      <c r="O27" s="315"/>
      <c r="P27" s="315"/>
      <c r="Q27" s="315"/>
      <c r="R27" s="315"/>
      <c r="S27" s="315"/>
      <c r="T27" s="315"/>
      <c r="U27" s="315"/>
      <c r="V27" s="315"/>
      <c r="W27" s="315"/>
      <c r="X27" s="315"/>
      <c r="Y27" s="316"/>
    </row>
    <row r="28" spans="2:25">
      <c r="B28" s="321"/>
      <c r="C28" s="283"/>
      <c r="D28" s="283"/>
      <c r="E28" s="283"/>
      <c r="F28" s="283"/>
      <c r="G28" s="283"/>
      <c r="H28" s="283"/>
      <c r="I28" s="283"/>
      <c r="J28" s="283"/>
      <c r="K28" s="283"/>
      <c r="L28" s="283"/>
      <c r="M28" s="283"/>
      <c r="N28" s="283"/>
      <c r="O28" s="283"/>
      <c r="P28" s="283"/>
      <c r="Q28" s="283"/>
      <c r="R28" s="283"/>
      <c r="S28" s="283"/>
      <c r="T28" s="283"/>
      <c r="U28" s="283"/>
      <c r="V28" s="283"/>
      <c r="W28" s="283"/>
      <c r="X28" s="283"/>
      <c r="Y28" s="322"/>
    </row>
    <row r="29" spans="2:25">
      <c r="B29" s="321"/>
      <c r="C29" s="499" t="s">
        <v>25</v>
      </c>
      <c r="D29" s="500"/>
      <c r="E29" s="501"/>
      <c r="F29" s="508">
        <v>2025</v>
      </c>
      <c r="G29" s="509"/>
      <c r="H29" s="509"/>
      <c r="I29" s="509"/>
      <c r="J29" s="510">
        <v>2028</v>
      </c>
      <c r="K29" s="511"/>
      <c r="L29" s="511"/>
      <c r="M29" s="512"/>
      <c r="N29" s="325"/>
      <c r="O29" s="508" t="s">
        <v>26</v>
      </c>
      <c r="P29" s="509"/>
      <c r="Q29" s="509"/>
      <c r="R29" s="509"/>
      <c r="S29" s="513"/>
      <c r="T29" s="508" t="s">
        <v>27</v>
      </c>
      <c r="U29" s="509"/>
      <c r="V29" s="509"/>
      <c r="W29" s="509"/>
      <c r="X29" s="513"/>
      <c r="Y29" s="322"/>
    </row>
    <row r="30" spans="2:25">
      <c r="B30" s="321"/>
      <c r="C30" s="502"/>
      <c r="D30" s="503"/>
      <c r="E30" s="504"/>
      <c r="F30" s="508" t="s">
        <v>13</v>
      </c>
      <c r="G30" s="513"/>
      <c r="H30" s="508" t="s">
        <v>28</v>
      </c>
      <c r="I30" s="513"/>
      <c r="J30" s="510" t="s">
        <v>13</v>
      </c>
      <c r="K30" s="512"/>
      <c r="L30" s="510" t="s">
        <v>28</v>
      </c>
      <c r="M30" s="512"/>
      <c r="N30" s="283"/>
      <c r="O30" s="474"/>
      <c r="P30" s="475"/>
      <c r="Q30" s="475"/>
      <c r="R30" s="475"/>
      <c r="S30" s="476"/>
      <c r="T30" s="483"/>
      <c r="U30" s="484"/>
      <c r="V30" s="484"/>
      <c r="W30" s="484"/>
      <c r="X30" s="485"/>
      <c r="Y30" s="322"/>
    </row>
    <row r="31" spans="2:25">
      <c r="B31" s="321"/>
      <c r="C31" s="505"/>
      <c r="D31" s="506"/>
      <c r="E31" s="507"/>
      <c r="F31" s="313" t="s">
        <v>9</v>
      </c>
      <c r="G31" s="312" t="s">
        <v>194</v>
      </c>
      <c r="H31" s="313" t="s">
        <v>9</v>
      </c>
      <c r="I31" s="312" t="s">
        <v>194</v>
      </c>
      <c r="J31" s="327" t="s">
        <v>9</v>
      </c>
      <c r="K31" s="328" t="s">
        <v>194</v>
      </c>
      <c r="L31" s="327" t="s">
        <v>9</v>
      </c>
      <c r="M31" s="328" t="s">
        <v>194</v>
      </c>
      <c r="N31" s="283"/>
      <c r="O31" s="477"/>
      <c r="P31" s="478"/>
      <c r="Q31" s="478"/>
      <c r="R31" s="478"/>
      <c r="S31" s="479"/>
      <c r="T31" s="486"/>
      <c r="U31" s="487"/>
      <c r="V31" s="487"/>
      <c r="W31" s="487"/>
      <c r="X31" s="488"/>
      <c r="Y31" s="322"/>
    </row>
    <row r="32" spans="2:25">
      <c r="B32" s="321"/>
      <c r="C32" s="492" t="s">
        <v>29</v>
      </c>
      <c r="D32" s="493"/>
      <c r="E32" s="494"/>
      <c r="F32" s="306">
        <f>Cal!E48</f>
        <v>5</v>
      </c>
      <c r="G32" s="307" t="str">
        <f>IF(F32&lt;2,"C",IF(F32&lt;3,"B-",IF(F32&lt;4,"B",IF(F32&lt;5,"B+",IF(F32=5,"A","")))))</f>
        <v>A</v>
      </c>
      <c r="H32" s="306">
        <f>Cal!D48</f>
        <v>5</v>
      </c>
      <c r="I32" s="307" t="str">
        <f t="shared" ref="I32" si="0">IF(H32&lt;2,"C",IF(H32&lt;3,"B-",IF(H32&lt;4,"B",IF(H32&lt;5,"B+",IF(H32=5,"A","")))))</f>
        <v>A</v>
      </c>
      <c r="J32" s="329"/>
      <c r="K32" s="330"/>
      <c r="L32" s="329"/>
      <c r="M32" s="330"/>
      <c r="N32" s="283"/>
      <c r="O32" s="477"/>
      <c r="P32" s="478"/>
      <c r="Q32" s="478"/>
      <c r="R32" s="478"/>
      <c r="S32" s="479"/>
      <c r="T32" s="486"/>
      <c r="U32" s="487"/>
      <c r="V32" s="487"/>
      <c r="W32" s="487"/>
      <c r="X32" s="488"/>
      <c r="Y32" s="322"/>
    </row>
    <row r="33" spans="2:25">
      <c r="B33" s="321"/>
      <c r="C33" s="492" t="s">
        <v>30</v>
      </c>
      <c r="D33" s="493"/>
      <c r="E33" s="494"/>
      <c r="F33" s="306">
        <f>Cal!E49</f>
        <v>5</v>
      </c>
      <c r="G33" s="307" t="str">
        <f t="shared" ref="G33:G36" si="1">IF(F33&lt;2,"C",IF(F33&lt;3,"B-",IF(F33&lt;4,"B",IF(F33&lt;5,"B+",IF(F33=5,"A","")))))</f>
        <v>A</v>
      </c>
      <c r="H33" s="306">
        <f>Cal!D49</f>
        <v>5</v>
      </c>
      <c r="I33" s="307" t="str">
        <f t="shared" ref="I33" si="2">IF(H33&lt;2,"C",IF(H33&lt;3,"B-",IF(H33&lt;4,"B",IF(H33&lt;5,"B+",IF(H33=5,"A","")))))</f>
        <v>A</v>
      </c>
      <c r="J33" s="329"/>
      <c r="K33" s="330"/>
      <c r="L33" s="329"/>
      <c r="M33" s="330"/>
      <c r="N33" s="283"/>
      <c r="O33" s="477"/>
      <c r="P33" s="478"/>
      <c r="Q33" s="478"/>
      <c r="R33" s="478"/>
      <c r="S33" s="479"/>
      <c r="T33" s="486"/>
      <c r="U33" s="487"/>
      <c r="V33" s="487"/>
      <c r="W33" s="487"/>
      <c r="X33" s="488"/>
      <c r="Y33" s="322"/>
    </row>
    <row r="34" spans="2:25">
      <c r="B34" s="321"/>
      <c r="C34" s="495" t="s">
        <v>31</v>
      </c>
      <c r="D34" s="496"/>
      <c r="E34" s="497"/>
      <c r="F34" s="306">
        <f>Cal!E50</f>
        <v>5</v>
      </c>
      <c r="G34" s="307" t="str">
        <f t="shared" si="1"/>
        <v>A</v>
      </c>
      <c r="H34" s="306">
        <f>Cal!D50</f>
        <v>5</v>
      </c>
      <c r="I34" s="307" t="str">
        <f t="shared" ref="I34" si="3">IF(H34&lt;2,"C",IF(H34&lt;3,"B-",IF(H34&lt;4,"B",IF(H34&lt;5,"B+",IF(H34=5,"A","")))))</f>
        <v>A</v>
      </c>
      <c r="J34" s="329"/>
      <c r="K34" s="330"/>
      <c r="L34" s="329"/>
      <c r="M34" s="330"/>
      <c r="N34" s="283"/>
      <c r="O34" s="477"/>
      <c r="P34" s="478"/>
      <c r="Q34" s="478"/>
      <c r="R34" s="478"/>
      <c r="S34" s="479"/>
      <c r="T34" s="486"/>
      <c r="U34" s="487"/>
      <c r="V34" s="487"/>
      <c r="W34" s="487"/>
      <c r="X34" s="488"/>
      <c r="Y34" s="322"/>
    </row>
    <row r="35" spans="2:25">
      <c r="B35" s="321"/>
      <c r="C35" s="495" t="s">
        <v>32</v>
      </c>
      <c r="D35" s="496"/>
      <c r="E35" s="497"/>
      <c r="F35" s="306">
        <f>Cal!E51</f>
        <v>5</v>
      </c>
      <c r="G35" s="307" t="str">
        <f t="shared" si="1"/>
        <v>A</v>
      </c>
      <c r="H35" s="306">
        <f>Cal!D51</f>
        <v>5</v>
      </c>
      <c r="I35" s="307" t="str">
        <f>IF(H35&lt;2,"C",IF(H35&lt;3,"B-",IF(H35&lt;4,"B",IF(H35&lt;5,"B+",IF(H35=5,"A","")))))</f>
        <v>A</v>
      </c>
      <c r="J35" s="329"/>
      <c r="K35" s="330"/>
      <c r="L35" s="329"/>
      <c r="M35" s="330"/>
      <c r="N35" s="283"/>
      <c r="O35" s="477"/>
      <c r="P35" s="478"/>
      <c r="Q35" s="478"/>
      <c r="R35" s="478"/>
      <c r="S35" s="479"/>
      <c r="T35" s="486"/>
      <c r="U35" s="487"/>
      <c r="V35" s="487"/>
      <c r="W35" s="487"/>
      <c r="X35" s="488"/>
      <c r="Y35" s="322"/>
    </row>
    <row r="36" spans="2:25">
      <c r="B36" s="321"/>
      <c r="C36" s="495" t="s">
        <v>33</v>
      </c>
      <c r="D36" s="496"/>
      <c r="E36" s="497"/>
      <c r="F36" s="306">
        <f>Cal!E52</f>
        <v>5</v>
      </c>
      <c r="G36" s="307" t="str">
        <f t="shared" si="1"/>
        <v>A</v>
      </c>
      <c r="H36" s="306">
        <f>Cal!D52</f>
        <v>5</v>
      </c>
      <c r="I36" s="307" t="str">
        <f t="shared" ref="I36" si="4">IF(H36&lt;2,"C",IF(H36&lt;3,"B-",IF(H36&lt;4,"B",IF(H36&lt;5,"B+",IF(H36=5,"A","")))))</f>
        <v>A</v>
      </c>
      <c r="J36" s="329"/>
      <c r="K36" s="330"/>
      <c r="L36" s="329"/>
      <c r="M36" s="330"/>
      <c r="N36" s="283"/>
      <c r="O36" s="477"/>
      <c r="P36" s="478"/>
      <c r="Q36" s="478"/>
      <c r="R36" s="478"/>
      <c r="S36" s="479"/>
      <c r="T36" s="486"/>
      <c r="U36" s="487"/>
      <c r="V36" s="487"/>
      <c r="W36" s="487"/>
      <c r="X36" s="488"/>
      <c r="Y36" s="322"/>
    </row>
    <row r="37" spans="2:25">
      <c r="B37" s="321"/>
      <c r="C37" s="283"/>
      <c r="D37" s="283"/>
      <c r="E37" s="283"/>
      <c r="F37" s="324"/>
      <c r="G37" s="283"/>
      <c r="H37" s="324"/>
      <c r="I37" s="283"/>
      <c r="J37" s="324"/>
      <c r="K37" s="283"/>
      <c r="L37" s="324"/>
      <c r="M37" s="283"/>
      <c r="N37" s="283"/>
      <c r="O37" s="477"/>
      <c r="P37" s="478"/>
      <c r="Q37" s="478"/>
      <c r="R37" s="478"/>
      <c r="S37" s="479"/>
      <c r="T37" s="486"/>
      <c r="U37" s="487"/>
      <c r="V37" s="487"/>
      <c r="W37" s="487"/>
      <c r="X37" s="488"/>
      <c r="Y37" s="322"/>
    </row>
    <row r="38" spans="2:25">
      <c r="B38" s="321"/>
      <c r="C38" s="492" t="s">
        <v>10</v>
      </c>
      <c r="D38" s="493"/>
      <c r="E38" s="494"/>
      <c r="F38" s="306">
        <f>AVERAGE(F32:F36)</f>
        <v>5</v>
      </c>
      <c r="G38" s="307" t="str">
        <f>IF(F38&lt;2,"C",IF(F38&lt;3,"B-",IF(F38&lt;4,"B",IF(F38&lt;5,"B+",IF(F38=5,"A","")))))</f>
        <v>A</v>
      </c>
      <c r="H38" s="306">
        <f>AVERAGE(H32:H36)</f>
        <v>5</v>
      </c>
      <c r="I38" s="307" t="str">
        <f>IF(H38&lt;2,"C",IF(H38&lt;3,"B-",IF(H38&lt;4,"B",IF(H38&lt;5,"B+",IF(H38=5,"A","")))))</f>
        <v>A</v>
      </c>
      <c r="J38" s="329"/>
      <c r="K38" s="330"/>
      <c r="L38" s="329"/>
      <c r="M38" s="330"/>
      <c r="N38" s="283"/>
      <c r="O38" s="480"/>
      <c r="P38" s="481"/>
      <c r="Q38" s="481"/>
      <c r="R38" s="481"/>
      <c r="S38" s="482"/>
      <c r="T38" s="489"/>
      <c r="U38" s="490"/>
      <c r="V38" s="490"/>
      <c r="W38" s="490"/>
      <c r="X38" s="491"/>
      <c r="Y38" s="322"/>
    </row>
    <row r="39" spans="2:25" ht="15" thickBot="1">
      <c r="B39" s="323"/>
      <c r="C39" s="326"/>
      <c r="D39" s="326"/>
      <c r="E39" s="326"/>
      <c r="F39" s="326"/>
      <c r="G39" s="326"/>
      <c r="H39" s="326"/>
      <c r="I39" s="326"/>
      <c r="J39" s="326"/>
      <c r="K39" s="326"/>
      <c r="L39" s="326"/>
      <c r="M39" s="326"/>
      <c r="N39" s="326"/>
      <c r="O39" s="326"/>
      <c r="P39" s="326"/>
      <c r="Q39" s="326"/>
      <c r="R39" s="326"/>
      <c r="S39" s="326"/>
      <c r="T39" s="326"/>
      <c r="U39" s="326"/>
      <c r="V39" s="326"/>
      <c r="W39" s="326"/>
      <c r="X39" s="326"/>
      <c r="Y39" s="298"/>
    </row>
    <row r="40" spans="2:25">
      <c r="B40" s="314" t="s">
        <v>195</v>
      </c>
      <c r="C40" s="317"/>
      <c r="D40" s="315"/>
      <c r="E40" s="315"/>
      <c r="F40" s="315"/>
      <c r="G40" s="315"/>
      <c r="H40" s="315"/>
      <c r="I40" s="315"/>
      <c r="J40" s="315"/>
      <c r="K40" s="315"/>
      <c r="L40" s="315"/>
      <c r="M40" s="315"/>
      <c r="N40" s="315"/>
      <c r="O40" s="315"/>
      <c r="P40" s="315"/>
      <c r="Q40" s="315"/>
      <c r="R40" s="315"/>
      <c r="S40" s="315"/>
      <c r="T40" s="315"/>
      <c r="U40" s="315"/>
      <c r="V40" s="315"/>
      <c r="W40" s="315"/>
      <c r="X40" s="315"/>
      <c r="Y40" s="316"/>
    </row>
    <row r="41" spans="2:25">
      <c r="B41" s="299"/>
      <c r="C41" s="300"/>
      <c r="D41" s="300"/>
      <c r="E41" s="300"/>
      <c r="F41" s="300"/>
      <c r="G41" s="300"/>
      <c r="H41" s="300"/>
      <c r="I41" s="300"/>
      <c r="J41" s="300"/>
      <c r="K41" s="300"/>
      <c r="L41" s="300"/>
      <c r="M41" s="300"/>
      <c r="N41" s="300"/>
      <c r="O41" s="300"/>
      <c r="P41" s="300"/>
      <c r="Q41" s="300"/>
      <c r="R41" s="300"/>
      <c r="S41" s="300"/>
      <c r="T41" s="300"/>
      <c r="U41" s="300"/>
      <c r="V41" s="300"/>
      <c r="W41" s="300"/>
      <c r="X41" s="300"/>
      <c r="Y41" s="301"/>
    </row>
    <row r="42" spans="2:25" ht="18.75" customHeight="1">
      <c r="B42" s="299"/>
      <c r="C42" s="473" t="s">
        <v>197</v>
      </c>
      <c r="D42" s="473"/>
      <c r="E42" s="473"/>
      <c r="F42" s="473"/>
      <c r="G42" s="473"/>
      <c r="H42" s="473"/>
      <c r="I42" s="473"/>
      <c r="J42" s="473"/>
      <c r="K42" s="473"/>
      <c r="L42" s="473"/>
      <c r="M42" s="473"/>
      <c r="N42" s="473"/>
      <c r="O42" s="473"/>
      <c r="P42" s="473"/>
      <c r="Q42" s="473"/>
      <c r="R42" s="473"/>
      <c r="S42" s="473"/>
      <c r="T42" s="473"/>
      <c r="U42" s="473"/>
      <c r="V42" s="473"/>
      <c r="W42" s="473"/>
      <c r="X42" s="473"/>
      <c r="Y42" s="301"/>
    </row>
    <row r="43" spans="2:25">
      <c r="B43" s="299"/>
      <c r="C43" s="473"/>
      <c r="D43" s="473"/>
      <c r="E43" s="473"/>
      <c r="F43" s="473"/>
      <c r="G43" s="473"/>
      <c r="H43" s="473"/>
      <c r="I43" s="473"/>
      <c r="J43" s="473"/>
      <c r="K43" s="473"/>
      <c r="L43" s="473"/>
      <c r="M43" s="473"/>
      <c r="N43" s="473"/>
      <c r="O43" s="473"/>
      <c r="P43" s="473"/>
      <c r="Q43" s="473"/>
      <c r="R43" s="473"/>
      <c r="S43" s="473"/>
      <c r="T43" s="473"/>
      <c r="U43" s="473"/>
      <c r="V43" s="473"/>
      <c r="W43" s="473"/>
      <c r="X43" s="473"/>
      <c r="Y43" s="301"/>
    </row>
    <row r="44" spans="2:25">
      <c r="B44" s="299"/>
      <c r="C44" s="473"/>
      <c r="D44" s="473"/>
      <c r="E44" s="473"/>
      <c r="F44" s="473"/>
      <c r="G44" s="473"/>
      <c r="H44" s="473"/>
      <c r="I44" s="473"/>
      <c r="J44" s="473"/>
      <c r="K44" s="473"/>
      <c r="L44" s="473"/>
      <c r="M44" s="473"/>
      <c r="N44" s="473"/>
      <c r="O44" s="473"/>
      <c r="P44" s="473"/>
      <c r="Q44" s="473"/>
      <c r="R44" s="473"/>
      <c r="S44" s="473"/>
      <c r="T44" s="473"/>
      <c r="U44" s="473"/>
      <c r="V44" s="473"/>
      <c r="W44" s="473"/>
      <c r="X44" s="473"/>
      <c r="Y44" s="301"/>
    </row>
    <row r="45" spans="2:25">
      <c r="B45" s="299"/>
      <c r="C45" s="473"/>
      <c r="D45" s="473"/>
      <c r="E45" s="473"/>
      <c r="F45" s="473"/>
      <c r="G45" s="473"/>
      <c r="H45" s="473"/>
      <c r="I45" s="473"/>
      <c r="J45" s="473"/>
      <c r="K45" s="473"/>
      <c r="L45" s="473"/>
      <c r="M45" s="473"/>
      <c r="N45" s="473"/>
      <c r="O45" s="473"/>
      <c r="P45" s="473"/>
      <c r="Q45" s="473"/>
      <c r="R45" s="473"/>
      <c r="S45" s="473"/>
      <c r="T45" s="473"/>
      <c r="U45" s="473"/>
      <c r="V45" s="473"/>
      <c r="W45" s="473"/>
      <c r="X45" s="473"/>
      <c r="Y45" s="301"/>
    </row>
    <row r="46" spans="2:25">
      <c r="B46" s="299"/>
      <c r="C46" s="473"/>
      <c r="D46" s="473"/>
      <c r="E46" s="473"/>
      <c r="F46" s="473"/>
      <c r="G46" s="473"/>
      <c r="H46" s="473"/>
      <c r="I46" s="473"/>
      <c r="J46" s="473"/>
      <c r="K46" s="473"/>
      <c r="L46" s="473"/>
      <c r="M46" s="473"/>
      <c r="N46" s="473"/>
      <c r="O46" s="473"/>
      <c r="P46" s="473"/>
      <c r="Q46" s="473"/>
      <c r="R46" s="473"/>
      <c r="S46" s="473"/>
      <c r="T46" s="473"/>
      <c r="U46" s="473"/>
      <c r="V46" s="473"/>
      <c r="W46" s="473"/>
      <c r="X46" s="473"/>
      <c r="Y46" s="301"/>
    </row>
    <row r="47" spans="2:25">
      <c r="B47" s="299"/>
      <c r="C47" s="473"/>
      <c r="D47" s="473"/>
      <c r="E47" s="473"/>
      <c r="F47" s="473"/>
      <c r="G47" s="473"/>
      <c r="H47" s="473"/>
      <c r="I47" s="473"/>
      <c r="J47" s="473"/>
      <c r="K47" s="473"/>
      <c r="L47" s="473"/>
      <c r="M47" s="473"/>
      <c r="N47" s="473"/>
      <c r="O47" s="473"/>
      <c r="P47" s="473"/>
      <c r="Q47" s="473"/>
      <c r="R47" s="473"/>
      <c r="S47" s="473"/>
      <c r="T47" s="473"/>
      <c r="U47" s="473"/>
      <c r="V47" s="473"/>
      <c r="W47" s="473"/>
      <c r="X47" s="473"/>
      <c r="Y47" s="301"/>
    </row>
    <row r="48" spans="2:25">
      <c r="B48" s="299"/>
      <c r="C48" s="473"/>
      <c r="D48" s="473"/>
      <c r="E48" s="473"/>
      <c r="F48" s="473"/>
      <c r="G48" s="473"/>
      <c r="H48" s="473"/>
      <c r="I48" s="473"/>
      <c r="J48" s="473"/>
      <c r="K48" s="473"/>
      <c r="L48" s="473"/>
      <c r="M48" s="473"/>
      <c r="N48" s="473"/>
      <c r="O48" s="473"/>
      <c r="P48" s="473"/>
      <c r="Q48" s="473"/>
      <c r="R48" s="473"/>
      <c r="S48" s="473"/>
      <c r="T48" s="473"/>
      <c r="U48" s="473"/>
      <c r="V48" s="473"/>
      <c r="W48" s="473"/>
      <c r="X48" s="473"/>
      <c r="Y48" s="301"/>
    </row>
    <row r="49" spans="2:25" ht="15" thickBot="1">
      <c r="B49" s="302"/>
      <c r="C49" s="303"/>
      <c r="D49" s="303"/>
      <c r="E49" s="303"/>
      <c r="F49" s="303"/>
      <c r="G49" s="303"/>
      <c r="H49" s="303"/>
      <c r="I49" s="303"/>
      <c r="J49" s="303"/>
      <c r="K49" s="303"/>
      <c r="L49" s="303"/>
      <c r="M49" s="303"/>
      <c r="N49" s="303"/>
      <c r="O49" s="303"/>
      <c r="P49" s="303"/>
      <c r="Q49" s="303"/>
      <c r="R49" s="303"/>
      <c r="S49" s="303"/>
      <c r="T49" s="303"/>
      <c r="U49" s="303"/>
      <c r="V49" s="303"/>
      <c r="W49" s="303"/>
      <c r="X49" s="303"/>
      <c r="Y49" s="304"/>
    </row>
  </sheetData>
  <mergeCells count="70">
    <mergeCell ref="C10:E10"/>
    <mergeCell ref="D11:D25"/>
    <mergeCell ref="S2:T2"/>
    <mergeCell ref="U2:V2"/>
    <mergeCell ref="W2:X2"/>
    <mergeCell ref="S3:T3"/>
    <mergeCell ref="U3:V3"/>
    <mergeCell ref="W3:X3"/>
    <mergeCell ref="B4:C4"/>
    <mergeCell ref="D4:F4"/>
    <mergeCell ref="G4:I4"/>
    <mergeCell ref="J4:O4"/>
    <mergeCell ref="C8:I9"/>
    <mergeCell ref="J8:K8"/>
    <mergeCell ref="L8:M8"/>
    <mergeCell ref="O8:S8"/>
    <mergeCell ref="E11:G15"/>
    <mergeCell ref="H11:I11"/>
    <mergeCell ref="H12:H15"/>
    <mergeCell ref="L17:M17"/>
    <mergeCell ref="J18:K18"/>
    <mergeCell ref="L18:M18"/>
    <mergeCell ref="L12:M12"/>
    <mergeCell ref="J13:K13"/>
    <mergeCell ref="L13:M13"/>
    <mergeCell ref="J14:K14"/>
    <mergeCell ref="J12:K12"/>
    <mergeCell ref="L14:M14"/>
    <mergeCell ref="O18:X18"/>
    <mergeCell ref="J15:K15"/>
    <mergeCell ref="L15:M15"/>
    <mergeCell ref="J17:K17"/>
    <mergeCell ref="L19:M19"/>
    <mergeCell ref="J20:K20"/>
    <mergeCell ref="L20:M20"/>
    <mergeCell ref="E21:G25"/>
    <mergeCell ref="H21:I21"/>
    <mergeCell ref="H22:H25"/>
    <mergeCell ref="J22:K22"/>
    <mergeCell ref="L22:M22"/>
    <mergeCell ref="J23:K23"/>
    <mergeCell ref="L23:M23"/>
    <mergeCell ref="J24:K24"/>
    <mergeCell ref="E16:G20"/>
    <mergeCell ref="H16:I16"/>
    <mergeCell ref="H17:H20"/>
    <mergeCell ref="J19:K19"/>
    <mergeCell ref="O30:S38"/>
    <mergeCell ref="L24:M24"/>
    <mergeCell ref="J25:K25"/>
    <mergeCell ref="L25:M25"/>
    <mergeCell ref="C29:E31"/>
    <mergeCell ref="F29:I29"/>
    <mergeCell ref="J29:M29"/>
    <mergeCell ref="C42:X48"/>
    <mergeCell ref="O9:S17"/>
    <mergeCell ref="R19:X24"/>
    <mergeCell ref="T30:X38"/>
    <mergeCell ref="C32:E32"/>
    <mergeCell ref="C33:E33"/>
    <mergeCell ref="C34:E34"/>
    <mergeCell ref="C35:E35"/>
    <mergeCell ref="C36:E36"/>
    <mergeCell ref="C38:E38"/>
    <mergeCell ref="O29:S29"/>
    <mergeCell ref="T29:X29"/>
    <mergeCell ref="F30:G30"/>
    <mergeCell ref="H30:I30"/>
    <mergeCell ref="J30:K30"/>
    <mergeCell ref="L30:M30"/>
  </mergeCells>
  <phoneticPr fontId="6"/>
  <pageMargins left="0.7" right="0.7" top="0.75" bottom="0.75" header="0.3" footer="0.3"/>
  <pageSetup paperSize="9" scale="53" fitToHeight="0"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E2DD-C7A0-4D45-840E-B3F88AAAAF53}">
  <sheetPr>
    <tabColor rgb="FFFF0000"/>
  </sheetPr>
  <dimension ref="A2:AA61"/>
  <sheetViews>
    <sheetView topLeftCell="A2" zoomScale="71" zoomScaleNormal="71" zoomScaleSheetLayoutView="100" workbookViewId="0">
      <pane xSplit="5" ySplit="14" topLeftCell="F16" activePane="bottomRight" state="frozen"/>
      <selection pane="topRight" activeCell="N32" sqref="N32"/>
      <selection pane="bottomLeft" activeCell="N32" sqref="N32"/>
      <selection pane="bottomRight" activeCell="H40" sqref="H40"/>
    </sheetView>
  </sheetViews>
  <sheetFormatPr defaultColWidth="8.81640625" defaultRowHeight="14.5" outlineLevelCol="1"/>
  <cols>
    <col min="1" max="1" width="1.7265625" style="149" customWidth="1"/>
    <col min="2" max="2" width="3.26953125" style="149" customWidth="1"/>
    <col min="3" max="3" width="17.81640625" style="149" customWidth="1"/>
    <col min="4" max="4" width="7.453125" style="149" customWidth="1"/>
    <col min="5" max="5" width="17.54296875" style="149" customWidth="1"/>
    <col min="6" max="6" width="55.54296875" style="149" customWidth="1"/>
    <col min="7" max="7" width="9.81640625" style="155" customWidth="1"/>
    <col min="8" max="8" width="51.81640625" style="149" customWidth="1"/>
    <col min="9" max="9" width="9.26953125" style="155" customWidth="1"/>
    <col min="10" max="10" width="51.81640625" style="149" customWidth="1"/>
    <col min="11" max="11" width="10" style="155" customWidth="1"/>
    <col min="12" max="12" width="53" style="149" customWidth="1"/>
    <col min="13" max="13" width="9.54296875" style="155" customWidth="1"/>
    <col min="14" max="14" width="60.54296875" style="149" customWidth="1"/>
    <col min="15" max="15" width="14.26953125" style="155" customWidth="1"/>
    <col min="16" max="16" width="14.453125" style="149" customWidth="1"/>
    <col min="17" max="21" width="6.453125" style="155" hidden="1" customWidth="1" outlineLevel="1"/>
    <col min="22" max="22" width="6.453125" style="149" hidden="1" customWidth="1" outlineLevel="1"/>
    <col min="23" max="24" width="8.81640625" style="149" hidden="1" customWidth="1" outlineLevel="1"/>
    <col min="25" max="25" width="11.1796875" style="149" hidden="1" customWidth="1" collapsed="1"/>
    <col min="26" max="27" width="8.81640625" style="149" hidden="1" customWidth="1"/>
    <col min="28" max="63" width="8.81640625" style="149" customWidth="1"/>
    <col min="64" max="16384" width="8.81640625" style="149"/>
  </cols>
  <sheetData>
    <row r="2" spans="1:25">
      <c r="B2" s="150"/>
      <c r="C2" s="151"/>
      <c r="D2" s="152"/>
      <c r="E2" s="152"/>
      <c r="F2" s="153"/>
      <c r="G2" s="154"/>
      <c r="H2" s="153"/>
      <c r="I2" s="154"/>
      <c r="J2" s="153"/>
      <c r="K2" s="154"/>
      <c r="L2" s="153"/>
      <c r="M2" s="154"/>
      <c r="N2" s="153"/>
      <c r="O2" s="154"/>
      <c r="P2" s="152"/>
    </row>
    <row r="3" spans="1:25" ht="16.5" customHeight="1">
      <c r="A3" s="156"/>
      <c r="B3" s="156"/>
      <c r="C3" s="375" t="s">
        <v>198</v>
      </c>
      <c r="D3" s="375"/>
      <c r="E3" s="375"/>
      <c r="F3" s="375"/>
      <c r="G3" s="375"/>
      <c r="H3" s="375"/>
      <c r="I3" s="375"/>
      <c r="J3" s="375"/>
      <c r="K3" s="375"/>
      <c r="L3" s="375"/>
      <c r="M3" s="251"/>
      <c r="N3" s="250" t="s">
        <v>199</v>
      </c>
      <c r="O3" s="159"/>
      <c r="P3" s="159"/>
    </row>
    <row r="4" spans="1:25" ht="16.5" customHeight="1">
      <c r="A4" s="156"/>
      <c r="B4" s="156"/>
      <c r="C4" s="375"/>
      <c r="D4" s="375"/>
      <c r="E4" s="375"/>
      <c r="F4" s="375"/>
      <c r="G4" s="375"/>
      <c r="H4" s="375"/>
      <c r="I4" s="375"/>
      <c r="J4" s="375"/>
      <c r="K4" s="375"/>
      <c r="L4" s="375"/>
      <c r="M4" s="252"/>
      <c r="N4" s="250" t="s">
        <v>200</v>
      </c>
      <c r="O4" s="159"/>
      <c r="P4" s="159"/>
    </row>
    <row r="5" spans="1:25" ht="16.5" customHeight="1">
      <c r="A5" s="156"/>
      <c r="B5" s="156"/>
      <c r="C5" s="375"/>
      <c r="D5" s="375"/>
      <c r="E5" s="375"/>
      <c r="F5" s="375"/>
      <c r="G5" s="375"/>
      <c r="H5" s="375"/>
      <c r="I5" s="375"/>
      <c r="J5" s="375"/>
      <c r="K5" s="375"/>
      <c r="L5" s="375"/>
      <c r="M5" s="253"/>
      <c r="N5" s="250" t="s">
        <v>201</v>
      </c>
      <c r="O5" s="161" t="s">
        <v>804</v>
      </c>
      <c r="P5" s="159"/>
    </row>
    <row r="6" spans="1:25" ht="16.5" customHeight="1">
      <c r="C6" s="375"/>
      <c r="D6" s="375"/>
      <c r="E6" s="375"/>
      <c r="F6" s="375"/>
      <c r="G6" s="375"/>
      <c r="H6" s="375"/>
      <c r="I6" s="375"/>
      <c r="J6" s="375"/>
      <c r="K6" s="375"/>
      <c r="L6" s="375"/>
      <c r="M6" s="254"/>
      <c r="N6" s="250" t="s">
        <v>202</v>
      </c>
      <c r="O6" s="162">
        <v>46144</v>
      </c>
      <c r="P6" s="159"/>
    </row>
    <row r="7" spans="1:25" hidden="1">
      <c r="B7" s="163" t="s">
        <v>203</v>
      </c>
      <c r="C7" s="156"/>
      <c r="D7" s="157"/>
      <c r="E7" s="258"/>
      <c r="F7" s="158"/>
      <c r="G7" s="164"/>
      <c r="H7" s="158"/>
      <c r="I7" s="164"/>
      <c r="J7" s="158"/>
      <c r="K7" s="164"/>
      <c r="L7" s="158"/>
      <c r="M7" s="164"/>
      <c r="N7" s="158"/>
      <c r="O7" s="164"/>
      <c r="P7" s="157"/>
    </row>
    <row r="8" spans="1:25" hidden="1">
      <c r="B8" s="156"/>
      <c r="C8" s="156" t="s">
        <v>204</v>
      </c>
      <c r="D8" s="157"/>
      <c r="E8" s="258"/>
      <c r="F8" s="158"/>
      <c r="G8" s="164"/>
      <c r="H8" s="158"/>
      <c r="I8" s="164"/>
      <c r="J8" s="158"/>
      <c r="K8" s="164"/>
      <c r="L8" s="158"/>
      <c r="M8" s="164"/>
      <c r="N8" s="158"/>
      <c r="O8" s="164"/>
      <c r="P8" s="157"/>
    </row>
    <row r="9" spans="1:25" hidden="1">
      <c r="B9" s="156"/>
      <c r="C9" s="156" t="s">
        <v>205</v>
      </c>
      <c r="D9" s="157"/>
      <c r="E9" s="258"/>
      <c r="F9" s="158"/>
      <c r="G9" s="164"/>
      <c r="H9" s="158"/>
      <c r="I9" s="164"/>
      <c r="J9" s="158"/>
      <c r="K9" s="164"/>
      <c r="L9" s="158"/>
      <c r="M9" s="164"/>
      <c r="N9" s="158"/>
      <c r="O9" s="164"/>
      <c r="P9" s="157"/>
    </row>
    <row r="10" spans="1:25" hidden="1">
      <c r="B10" s="156"/>
      <c r="C10" s="156" t="s">
        <v>206</v>
      </c>
      <c r="F10" s="158"/>
      <c r="G10" s="164"/>
      <c r="H10" s="158"/>
      <c r="I10" s="164"/>
      <c r="J10" s="158"/>
      <c r="K10" s="164"/>
      <c r="L10" s="158"/>
      <c r="M10" s="164"/>
      <c r="N10" s="165"/>
      <c r="O10" s="164"/>
      <c r="P10" s="157"/>
    </row>
    <row r="11" spans="1:25" hidden="1">
      <c r="B11" s="156"/>
      <c r="C11" s="156" t="s">
        <v>207</v>
      </c>
      <c r="F11" s="158"/>
      <c r="G11" s="164"/>
      <c r="H11" s="158"/>
      <c r="I11" s="164"/>
      <c r="J11" s="158"/>
      <c r="K11" s="164"/>
      <c r="L11" s="158"/>
      <c r="M11" s="164"/>
      <c r="N11" s="165"/>
      <c r="O11" s="164"/>
      <c r="P11" s="157"/>
    </row>
    <row r="12" spans="1:25">
      <c r="B12" s="157"/>
      <c r="C12" s="157"/>
      <c r="D12" s="160"/>
      <c r="E12" s="158"/>
      <c r="F12" s="158"/>
      <c r="G12" s="164"/>
      <c r="H12" s="158"/>
      <c r="I12" s="164"/>
      <c r="J12" s="158"/>
      <c r="K12" s="164"/>
      <c r="L12" s="158"/>
      <c r="M12" s="164"/>
      <c r="N12" s="165"/>
      <c r="O12" s="164"/>
      <c r="P12" s="157"/>
    </row>
    <row r="13" spans="1:25" s="166" customFormat="1" ht="18" customHeight="1">
      <c r="B13" s="167"/>
      <c r="C13" s="382" t="s">
        <v>208</v>
      </c>
      <c r="D13" s="380" t="s">
        <v>209</v>
      </c>
      <c r="E13" s="380" t="s">
        <v>210</v>
      </c>
      <c r="F13" s="379" t="s">
        <v>211</v>
      </c>
      <c r="G13" s="379"/>
      <c r="H13" s="379" t="s">
        <v>212</v>
      </c>
      <c r="I13" s="379"/>
      <c r="J13" s="379"/>
      <c r="K13" s="379"/>
      <c r="L13" s="379" t="s">
        <v>213</v>
      </c>
      <c r="M13" s="379"/>
      <c r="N13" s="379" t="s">
        <v>214</v>
      </c>
      <c r="O13" s="379"/>
      <c r="P13" s="167"/>
      <c r="Q13" s="377" t="s">
        <v>215</v>
      </c>
      <c r="R13" s="378" t="s">
        <v>216</v>
      </c>
      <c r="S13" s="378"/>
      <c r="T13" s="378"/>
      <c r="U13" s="378"/>
      <c r="V13" s="378"/>
      <c r="W13" s="376" t="s">
        <v>217</v>
      </c>
      <c r="X13" s="376" t="s">
        <v>218</v>
      </c>
      <c r="Y13" s="376" t="s">
        <v>219</v>
      </c>
    </row>
    <row r="14" spans="1:25" s="166" customFormat="1">
      <c r="B14" s="167"/>
      <c r="C14" s="383"/>
      <c r="D14" s="385"/>
      <c r="E14" s="385"/>
      <c r="F14" s="168">
        <v>1</v>
      </c>
      <c r="G14" s="380" t="s">
        <v>220</v>
      </c>
      <c r="H14" s="168">
        <v>2</v>
      </c>
      <c r="I14" s="380" t="s">
        <v>220</v>
      </c>
      <c r="J14" s="168">
        <v>3</v>
      </c>
      <c r="K14" s="380" t="s">
        <v>220</v>
      </c>
      <c r="L14" s="168">
        <v>4</v>
      </c>
      <c r="M14" s="380" t="s">
        <v>220</v>
      </c>
      <c r="N14" s="168">
        <v>5</v>
      </c>
      <c r="O14" s="380" t="s">
        <v>220</v>
      </c>
      <c r="P14" s="167"/>
      <c r="Q14" s="377"/>
      <c r="R14" s="169">
        <v>1</v>
      </c>
      <c r="S14" s="169">
        <v>2</v>
      </c>
      <c r="T14" s="169">
        <v>3</v>
      </c>
      <c r="U14" s="169">
        <v>4</v>
      </c>
      <c r="V14" s="169">
        <v>5</v>
      </c>
      <c r="W14" s="376"/>
      <c r="X14" s="376"/>
      <c r="Y14" s="376"/>
    </row>
    <row r="15" spans="1:25" s="166" customFormat="1" ht="15" thickBot="1">
      <c r="B15" s="167"/>
      <c r="C15" s="384"/>
      <c r="D15" s="381"/>
      <c r="E15" s="381"/>
      <c r="F15" s="170" t="s">
        <v>221</v>
      </c>
      <c r="G15" s="381"/>
      <c r="H15" s="170" t="s">
        <v>222</v>
      </c>
      <c r="I15" s="381"/>
      <c r="J15" s="170" t="s">
        <v>223</v>
      </c>
      <c r="K15" s="381"/>
      <c r="L15" s="170" t="s">
        <v>224</v>
      </c>
      <c r="M15" s="381"/>
      <c r="N15" s="170" t="s">
        <v>225</v>
      </c>
      <c r="O15" s="381"/>
      <c r="P15" s="167"/>
      <c r="Q15" s="377"/>
      <c r="R15" s="169" t="s">
        <v>226</v>
      </c>
      <c r="S15" s="169" t="s">
        <v>227</v>
      </c>
      <c r="T15" s="169" t="s">
        <v>228</v>
      </c>
      <c r="U15" s="169" t="s">
        <v>229</v>
      </c>
      <c r="V15" s="169" t="s">
        <v>230</v>
      </c>
      <c r="W15" s="376"/>
      <c r="X15" s="376"/>
      <c r="Y15" s="376"/>
    </row>
    <row r="16" spans="1:25" s="171" customFormat="1" ht="131.15" customHeight="1">
      <c r="B16" s="172"/>
      <c r="C16" s="390" t="s">
        <v>231</v>
      </c>
      <c r="D16" s="173">
        <v>1</v>
      </c>
      <c r="E16" s="259" t="s">
        <v>232</v>
      </c>
      <c r="F16" s="231" t="s">
        <v>233</v>
      </c>
      <c r="G16" s="232">
        <f>OP!H4</f>
        <v>0</v>
      </c>
      <c r="H16" s="231" t="s">
        <v>234</v>
      </c>
      <c r="I16" s="232">
        <f>OP!H5</f>
        <v>0</v>
      </c>
      <c r="J16" s="231" t="s">
        <v>235</v>
      </c>
      <c r="K16" s="232">
        <f>OP!H6</f>
        <v>0</v>
      </c>
      <c r="L16" s="231" t="s">
        <v>236</v>
      </c>
      <c r="M16" s="232">
        <f>OP!H7</f>
        <v>0</v>
      </c>
      <c r="N16" s="231" t="s">
        <v>237</v>
      </c>
      <c r="O16" s="232">
        <f>OP!H8</f>
        <v>0</v>
      </c>
      <c r="P16" s="388"/>
      <c r="Q16" s="174" t="s">
        <v>238</v>
      </c>
      <c r="R16" s="175">
        <f t="shared" ref="R16" si="0">G16</f>
        <v>0</v>
      </c>
      <c r="S16" s="175">
        <f t="shared" ref="S16" si="1">I16</f>
        <v>0</v>
      </c>
      <c r="T16" s="175">
        <f t="shared" ref="T16" si="2">K16</f>
        <v>0</v>
      </c>
      <c r="U16" s="175">
        <f t="shared" ref="U16" si="3">M16</f>
        <v>0</v>
      </c>
      <c r="V16" s="175">
        <f t="shared" ref="V16" si="4">O16</f>
        <v>0</v>
      </c>
      <c r="W16" s="175">
        <f>IF(R16="No",1,IF(S16="No",1,IF(T16="No",2,IF(U16="No",3,IF(V16="No",4,5)))))</f>
        <v>5</v>
      </c>
      <c r="X16" s="175" t="str">
        <f t="shared" ref="X16" si="5">IF(W16&lt;2,"C",IF(W16&lt;3,"B-",IF(W16&lt;4,"B",IF(W16&lt;5,"B+",IF(W16=5,"A","")))))</f>
        <v>A</v>
      </c>
      <c r="Y16" s="171" t="s">
        <v>239</v>
      </c>
    </row>
    <row r="17" spans="2:26" s="171" customFormat="1" ht="159" customHeight="1">
      <c r="B17" s="172"/>
      <c r="C17" s="390"/>
      <c r="D17" s="173">
        <v>2</v>
      </c>
      <c r="E17" s="260" t="s">
        <v>240</v>
      </c>
      <c r="F17" s="222" t="s">
        <v>241</v>
      </c>
      <c r="G17" s="221">
        <f>SV!H4</f>
        <v>0</v>
      </c>
      <c r="H17" s="233" t="s">
        <v>242</v>
      </c>
      <c r="I17" s="234">
        <f>OP!H9</f>
        <v>0</v>
      </c>
      <c r="J17" s="220" t="s">
        <v>803</v>
      </c>
      <c r="K17" s="221">
        <f>SV!H5</f>
        <v>0</v>
      </c>
      <c r="L17" s="233" t="s">
        <v>243</v>
      </c>
      <c r="M17" s="234">
        <f>OP!H10</f>
        <v>0</v>
      </c>
      <c r="N17" s="220" t="s">
        <v>244</v>
      </c>
      <c r="O17" s="221">
        <f>SV!H6</f>
        <v>0</v>
      </c>
      <c r="P17" s="388"/>
      <c r="Q17" s="174" t="s">
        <v>238</v>
      </c>
      <c r="R17" s="175">
        <f t="shared" ref="R17:R47" si="6">G17</f>
        <v>0</v>
      </c>
      <c r="S17" s="175">
        <f t="shared" ref="S17:S47" si="7">I17</f>
        <v>0</v>
      </c>
      <c r="T17" s="175">
        <f t="shared" ref="T17:T47" si="8">K17</f>
        <v>0</v>
      </c>
      <c r="U17" s="175">
        <f t="shared" ref="U17:U47" si="9">M17</f>
        <v>0</v>
      </c>
      <c r="V17" s="175">
        <f t="shared" ref="V17:V47" si="10">O17</f>
        <v>0</v>
      </c>
      <c r="W17" s="175">
        <f t="shared" ref="W17:W47" si="11">IF(R17="No",1,IF(S17="No",1,IF(T17="No",2,IF(U17="No",3,IF(V17="No",4,5)))))</f>
        <v>5</v>
      </c>
      <c r="X17" s="175" t="str">
        <f t="shared" ref="X17:X47" si="12">IF(W17&lt;2,"C",IF(W17&lt;3,"B-",IF(W17&lt;4,"B",IF(W17&lt;5,"B+",IF(W17=5,"A","")))))</f>
        <v>A</v>
      </c>
      <c r="Y17" s="171" t="s">
        <v>245</v>
      </c>
    </row>
    <row r="18" spans="2:26" s="171" customFormat="1" ht="116">
      <c r="C18" s="390"/>
      <c r="D18" s="173">
        <v>3</v>
      </c>
      <c r="E18" s="260" t="s">
        <v>246</v>
      </c>
      <c r="F18" s="240" t="s">
        <v>247</v>
      </c>
      <c r="G18" s="241">
        <f>'DP MGR'!H4</f>
        <v>0</v>
      </c>
      <c r="H18" s="240" t="s">
        <v>248</v>
      </c>
      <c r="I18" s="241">
        <f>'DP MGR'!H5</f>
        <v>0</v>
      </c>
      <c r="J18" s="240" t="s">
        <v>249</v>
      </c>
      <c r="K18" s="241">
        <f>'DP MGR'!H6</f>
        <v>0</v>
      </c>
      <c r="L18" s="240" t="s">
        <v>250</v>
      </c>
      <c r="M18" s="241">
        <f>'DP MGR'!H7</f>
        <v>0</v>
      </c>
      <c r="N18" s="224" t="s">
        <v>251</v>
      </c>
      <c r="O18" s="221">
        <f>SV!H7</f>
        <v>0</v>
      </c>
      <c r="P18" s="388"/>
      <c r="Q18" s="174" t="s">
        <v>238</v>
      </c>
      <c r="R18" s="175">
        <f t="shared" si="6"/>
        <v>0</v>
      </c>
      <c r="S18" s="175">
        <f t="shared" si="7"/>
        <v>0</v>
      </c>
      <c r="T18" s="175">
        <f t="shared" si="8"/>
        <v>0</v>
      </c>
      <c r="U18" s="175">
        <f t="shared" si="9"/>
        <v>0</v>
      </c>
      <c r="V18" s="175">
        <f t="shared" si="10"/>
        <v>0</v>
      </c>
      <c r="W18" s="175">
        <f t="shared" si="11"/>
        <v>5</v>
      </c>
      <c r="X18" s="175" t="str">
        <f t="shared" si="12"/>
        <v>A</v>
      </c>
      <c r="Y18" s="171" t="s">
        <v>239</v>
      </c>
    </row>
    <row r="19" spans="2:26" s="171" customFormat="1" ht="97" customHeight="1">
      <c r="C19" s="391"/>
      <c r="D19" s="173">
        <v>4</v>
      </c>
      <c r="E19" s="260" t="s">
        <v>252</v>
      </c>
      <c r="F19" s="242" t="s">
        <v>253</v>
      </c>
      <c r="G19" s="241">
        <f>'DP MGR'!H8</f>
        <v>0</v>
      </c>
      <c r="H19" s="242" t="s">
        <v>254</v>
      </c>
      <c r="I19" s="241">
        <f>'DP MGR'!H9</f>
        <v>0</v>
      </c>
      <c r="J19" s="242" t="s">
        <v>255</v>
      </c>
      <c r="K19" s="241">
        <f>'DP MGR'!H10</f>
        <v>0</v>
      </c>
      <c r="L19" s="242" t="s">
        <v>256</v>
      </c>
      <c r="M19" s="241">
        <f>'DP MGR'!H11</f>
        <v>0</v>
      </c>
      <c r="N19" s="242" t="s">
        <v>257</v>
      </c>
      <c r="O19" s="241">
        <f>'DP MGR'!H12</f>
        <v>0</v>
      </c>
      <c r="P19" s="389"/>
      <c r="Q19" s="174" t="s">
        <v>238</v>
      </c>
      <c r="R19" s="175">
        <f t="shared" si="6"/>
        <v>0</v>
      </c>
      <c r="S19" s="175">
        <f>I19</f>
        <v>0</v>
      </c>
      <c r="T19" s="175">
        <f t="shared" si="8"/>
        <v>0</v>
      </c>
      <c r="U19" s="175">
        <f t="shared" si="9"/>
        <v>0</v>
      </c>
      <c r="V19" s="175">
        <f t="shared" si="10"/>
        <v>0</v>
      </c>
      <c r="W19" s="175">
        <f t="shared" si="11"/>
        <v>5</v>
      </c>
      <c r="X19" s="175" t="str">
        <f t="shared" si="12"/>
        <v>A</v>
      </c>
      <c r="Y19" s="171" t="s">
        <v>245</v>
      </c>
    </row>
    <row r="20" spans="2:26" s="171" customFormat="1" ht="131.5" customHeight="1">
      <c r="C20" s="390" t="s">
        <v>258</v>
      </c>
      <c r="D20" s="173">
        <v>5</v>
      </c>
      <c r="E20" s="260" t="s">
        <v>259</v>
      </c>
      <c r="F20" s="242" t="s">
        <v>260</v>
      </c>
      <c r="G20" s="241">
        <f>'DP MGR'!H13</f>
        <v>0</v>
      </c>
      <c r="H20" s="242" t="s">
        <v>261</v>
      </c>
      <c r="I20" s="241">
        <f>'DP MGR'!H14</f>
        <v>0</v>
      </c>
      <c r="J20" s="242" t="s">
        <v>262</v>
      </c>
      <c r="K20" s="241">
        <f>'DP MGR'!H15</f>
        <v>0</v>
      </c>
      <c r="L20" s="220" t="s">
        <v>263</v>
      </c>
      <c r="M20" s="221">
        <f>SV!H8</f>
        <v>0</v>
      </c>
      <c r="N20" s="233" t="s">
        <v>264</v>
      </c>
      <c r="O20" s="234">
        <f>OP!H11</f>
        <v>0</v>
      </c>
      <c r="P20" s="386"/>
      <c r="Q20" s="174" t="s">
        <v>238</v>
      </c>
      <c r="R20" s="175">
        <f t="shared" si="6"/>
        <v>0</v>
      </c>
      <c r="S20" s="175">
        <f t="shared" si="7"/>
        <v>0</v>
      </c>
      <c r="T20" s="175">
        <f t="shared" si="8"/>
        <v>0</v>
      </c>
      <c r="U20" s="175">
        <f t="shared" si="9"/>
        <v>0</v>
      </c>
      <c r="V20" s="175">
        <f t="shared" si="10"/>
        <v>0</v>
      </c>
      <c r="W20" s="175">
        <f t="shared" si="11"/>
        <v>5</v>
      </c>
      <c r="X20" s="175" t="str">
        <f t="shared" si="12"/>
        <v>A</v>
      </c>
      <c r="Y20" s="171" t="s">
        <v>245</v>
      </c>
    </row>
    <row r="21" spans="2:26" s="171" customFormat="1" ht="87">
      <c r="C21" s="390"/>
      <c r="D21" s="173">
        <v>6</v>
      </c>
      <c r="E21" s="260" t="s">
        <v>265</v>
      </c>
      <c r="F21" s="242" t="s">
        <v>266</v>
      </c>
      <c r="G21" s="241">
        <f>'DP MGR'!H16</f>
        <v>0</v>
      </c>
      <c r="H21" s="242" t="s">
        <v>267</v>
      </c>
      <c r="I21" s="241">
        <f>'DP MGR'!H17</f>
        <v>0</v>
      </c>
      <c r="J21" s="242" t="s">
        <v>268</v>
      </c>
      <c r="K21" s="241">
        <f>'DP MGR'!H18</f>
        <v>0</v>
      </c>
      <c r="L21" s="242" t="s">
        <v>269</v>
      </c>
      <c r="M21" s="241">
        <f>'DP MGR'!H19</f>
        <v>0</v>
      </c>
      <c r="N21" s="242" t="s">
        <v>270</v>
      </c>
      <c r="O21" s="241">
        <f>'DP MGR'!H20</f>
        <v>0</v>
      </c>
      <c r="P21" s="386"/>
      <c r="Q21" s="174" t="s">
        <v>238</v>
      </c>
      <c r="R21" s="175">
        <f t="shared" si="6"/>
        <v>0</v>
      </c>
      <c r="S21" s="175">
        <f t="shared" si="7"/>
        <v>0</v>
      </c>
      <c r="T21" s="175">
        <f t="shared" si="8"/>
        <v>0</v>
      </c>
      <c r="U21" s="175">
        <f t="shared" si="9"/>
        <v>0</v>
      </c>
      <c r="V21" s="175">
        <f t="shared" si="10"/>
        <v>0</v>
      </c>
      <c r="W21" s="175">
        <f t="shared" si="11"/>
        <v>5</v>
      </c>
      <c r="X21" s="175" t="str">
        <f t="shared" si="12"/>
        <v>A</v>
      </c>
      <c r="Y21" s="171" t="s">
        <v>245</v>
      </c>
    </row>
    <row r="22" spans="2:26" s="171" customFormat="1" ht="116">
      <c r="C22" s="390"/>
      <c r="D22" s="173">
        <v>7</v>
      </c>
      <c r="E22" s="260" t="s">
        <v>271</v>
      </c>
      <c r="F22" s="242" t="s">
        <v>272</v>
      </c>
      <c r="G22" s="241">
        <f>'DP MGR'!H21</f>
        <v>0</v>
      </c>
      <c r="H22" s="242" t="s">
        <v>273</v>
      </c>
      <c r="I22" s="241">
        <f>'DP MGR'!H22</f>
        <v>0</v>
      </c>
      <c r="J22" s="242" t="s">
        <v>274</v>
      </c>
      <c r="K22" s="241">
        <f>'DP MGR'!H23</f>
        <v>0</v>
      </c>
      <c r="L22" s="242" t="s">
        <v>275</v>
      </c>
      <c r="M22" s="241">
        <f>'DP MGR'!H24</f>
        <v>0</v>
      </c>
      <c r="N22" s="242" t="s">
        <v>276</v>
      </c>
      <c r="O22" s="241">
        <f>'DP MGR'!H25</f>
        <v>0</v>
      </c>
      <c r="P22" s="386"/>
      <c r="Q22" s="174" t="s">
        <v>238</v>
      </c>
      <c r="R22" s="175">
        <f t="shared" si="6"/>
        <v>0</v>
      </c>
      <c r="S22" s="175">
        <f t="shared" si="7"/>
        <v>0</v>
      </c>
      <c r="T22" s="175">
        <f t="shared" si="8"/>
        <v>0</v>
      </c>
      <c r="U22" s="175">
        <f t="shared" si="9"/>
        <v>0</v>
      </c>
      <c r="V22" s="175">
        <f t="shared" si="10"/>
        <v>0</v>
      </c>
      <c r="W22" s="175">
        <f t="shared" si="11"/>
        <v>5</v>
      </c>
      <c r="X22" s="175" t="str">
        <f t="shared" si="12"/>
        <v>A</v>
      </c>
      <c r="Y22" s="171" t="s">
        <v>245</v>
      </c>
    </row>
    <row r="23" spans="2:26" s="171" customFormat="1" ht="101.5">
      <c r="C23" s="390"/>
      <c r="D23" s="173">
        <v>8</v>
      </c>
      <c r="E23" s="260" t="s">
        <v>277</v>
      </c>
      <c r="F23" s="245" t="s">
        <v>278</v>
      </c>
      <c r="G23" s="241">
        <f>'DP MGR'!H26</f>
        <v>0</v>
      </c>
      <c r="H23" s="242" t="s">
        <v>279</v>
      </c>
      <c r="I23" s="241">
        <f>'DP MGR'!H27</f>
        <v>0</v>
      </c>
      <c r="J23" s="242" t="s">
        <v>280</v>
      </c>
      <c r="K23" s="241">
        <f>'DP MGR'!H28</f>
        <v>0</v>
      </c>
      <c r="L23" s="242" t="s">
        <v>281</v>
      </c>
      <c r="M23" s="241">
        <f>'DP MGR'!H29</f>
        <v>0</v>
      </c>
      <c r="N23" s="242" t="s">
        <v>282</v>
      </c>
      <c r="O23" s="241">
        <f>'DP MGR'!H30</f>
        <v>0</v>
      </c>
      <c r="P23" s="386"/>
      <c r="Q23" s="174" t="s">
        <v>238</v>
      </c>
      <c r="R23" s="175">
        <f t="shared" si="6"/>
        <v>0</v>
      </c>
      <c r="S23" s="175">
        <f t="shared" si="7"/>
        <v>0</v>
      </c>
      <c r="T23" s="175">
        <f t="shared" si="8"/>
        <v>0</v>
      </c>
      <c r="U23" s="175">
        <f t="shared" si="9"/>
        <v>0</v>
      </c>
      <c r="V23" s="175">
        <f t="shared" si="10"/>
        <v>0</v>
      </c>
      <c r="W23" s="175">
        <f t="shared" si="11"/>
        <v>5</v>
      </c>
      <c r="X23" s="175" t="str">
        <f t="shared" si="12"/>
        <v>A</v>
      </c>
      <c r="Y23" s="171" t="s">
        <v>245</v>
      </c>
    </row>
    <row r="24" spans="2:26" s="171" customFormat="1" ht="130.5">
      <c r="C24" s="391"/>
      <c r="D24" s="173">
        <v>9</v>
      </c>
      <c r="E24" s="260" t="s">
        <v>283</v>
      </c>
      <c r="F24" s="245" t="s">
        <v>284</v>
      </c>
      <c r="G24" s="241">
        <f>'DP MGR'!H31</f>
        <v>0</v>
      </c>
      <c r="H24" s="242" t="s">
        <v>285</v>
      </c>
      <c r="I24" s="241">
        <f>'DP MGR'!H32</f>
        <v>0</v>
      </c>
      <c r="J24" s="242" t="s">
        <v>286</v>
      </c>
      <c r="K24" s="241">
        <f>'DP MGR'!H33</f>
        <v>0</v>
      </c>
      <c r="L24" s="242" t="s">
        <v>287</v>
      </c>
      <c r="M24" s="241">
        <f>'DP MGR'!H34</f>
        <v>0</v>
      </c>
      <c r="N24" s="242" t="s">
        <v>288</v>
      </c>
      <c r="O24" s="241">
        <f>'DP MGR'!H35</f>
        <v>0</v>
      </c>
      <c r="P24" s="387"/>
      <c r="Q24" s="174" t="s">
        <v>238</v>
      </c>
      <c r="R24" s="175">
        <f t="shared" si="6"/>
        <v>0</v>
      </c>
      <c r="S24" s="175">
        <f t="shared" si="7"/>
        <v>0</v>
      </c>
      <c r="T24" s="175">
        <f t="shared" si="8"/>
        <v>0</v>
      </c>
      <c r="U24" s="175">
        <f t="shared" si="9"/>
        <v>0</v>
      </c>
      <c r="V24" s="175">
        <f t="shared" si="10"/>
        <v>0</v>
      </c>
      <c r="W24" s="175">
        <f t="shared" si="11"/>
        <v>5</v>
      </c>
      <c r="X24" s="175" t="str">
        <f t="shared" si="12"/>
        <v>A</v>
      </c>
      <c r="Y24" s="171" t="s">
        <v>245</v>
      </c>
    </row>
    <row r="25" spans="2:26" s="171" customFormat="1" ht="72.5">
      <c r="C25" s="390" t="s">
        <v>289</v>
      </c>
      <c r="D25" s="173">
        <v>10</v>
      </c>
      <c r="E25" s="260" t="s">
        <v>290</v>
      </c>
      <c r="F25" s="240" t="s">
        <v>291</v>
      </c>
      <c r="G25" s="241">
        <f>'DP MGR'!H36</f>
        <v>0</v>
      </c>
      <c r="H25" s="237" t="s">
        <v>292</v>
      </c>
      <c r="I25" s="238">
        <f>MGR!H4</f>
        <v>0</v>
      </c>
      <c r="J25" s="237" t="s">
        <v>293</v>
      </c>
      <c r="K25" s="238">
        <f>MGR!H5</f>
        <v>0</v>
      </c>
      <c r="L25" s="237" t="s">
        <v>294</v>
      </c>
      <c r="M25" s="238">
        <f>MGR!H6</f>
        <v>0</v>
      </c>
      <c r="N25" s="240" t="s">
        <v>295</v>
      </c>
      <c r="O25" s="241">
        <f>'DP MGR'!H37</f>
        <v>0</v>
      </c>
      <c r="P25" s="386"/>
      <c r="Q25" s="174" t="s">
        <v>238</v>
      </c>
      <c r="R25" s="175">
        <f t="shared" si="6"/>
        <v>0</v>
      </c>
      <c r="S25" s="175">
        <f t="shared" si="7"/>
        <v>0</v>
      </c>
      <c r="T25" s="175">
        <f t="shared" si="8"/>
        <v>0</v>
      </c>
      <c r="U25" s="175">
        <f t="shared" si="9"/>
        <v>0</v>
      </c>
      <c r="V25" s="175">
        <f t="shared" si="10"/>
        <v>0</v>
      </c>
      <c r="W25" s="175">
        <f t="shared" si="11"/>
        <v>5</v>
      </c>
      <c r="X25" s="175" t="str">
        <f t="shared" si="12"/>
        <v>A</v>
      </c>
      <c r="Y25" s="171" t="s">
        <v>239</v>
      </c>
    </row>
    <row r="26" spans="2:26" s="171" customFormat="1" ht="130.5">
      <c r="C26" s="390"/>
      <c r="D26" s="173">
        <v>11</v>
      </c>
      <c r="E26" s="261" t="s">
        <v>296</v>
      </c>
      <c r="F26" s="240" t="s">
        <v>291</v>
      </c>
      <c r="G26" s="241">
        <f>'DP MGR'!H38</f>
        <v>0</v>
      </c>
      <c r="H26" s="237" t="s">
        <v>297</v>
      </c>
      <c r="I26" s="238">
        <f>MGR!H7</f>
        <v>0</v>
      </c>
      <c r="J26" s="237" t="s">
        <v>298</v>
      </c>
      <c r="K26" s="238">
        <f>MGR!H8</f>
        <v>0</v>
      </c>
      <c r="L26" s="237" t="s">
        <v>299</v>
      </c>
      <c r="M26" s="238">
        <f>MGR!H9</f>
        <v>0</v>
      </c>
      <c r="N26" s="237" t="s">
        <v>300</v>
      </c>
      <c r="O26" s="238">
        <f>MGR!H10</f>
        <v>0</v>
      </c>
      <c r="P26" s="386"/>
      <c r="Q26" s="174" t="s">
        <v>238</v>
      </c>
      <c r="R26" s="175">
        <f t="shared" si="6"/>
        <v>0</v>
      </c>
      <c r="S26" s="175">
        <f t="shared" si="7"/>
        <v>0</v>
      </c>
      <c r="T26" s="175">
        <f t="shared" si="8"/>
        <v>0</v>
      </c>
      <c r="U26" s="175">
        <f t="shared" si="9"/>
        <v>0</v>
      </c>
      <c r="V26" s="175">
        <f t="shared" si="10"/>
        <v>0</v>
      </c>
      <c r="W26" s="175">
        <f t="shared" si="11"/>
        <v>5</v>
      </c>
      <c r="X26" s="175" t="str">
        <f t="shared" si="12"/>
        <v>A</v>
      </c>
      <c r="Y26" s="171" t="s">
        <v>239</v>
      </c>
    </row>
    <row r="27" spans="2:26" s="171" customFormat="1" ht="70" customHeight="1">
      <c r="C27" s="391"/>
      <c r="D27" s="173">
        <v>12</v>
      </c>
      <c r="E27" s="261" t="s">
        <v>301</v>
      </c>
      <c r="F27" s="240" t="s">
        <v>302</v>
      </c>
      <c r="G27" s="241">
        <f>'DP MGR'!H39</f>
        <v>0</v>
      </c>
      <c r="H27" s="240" t="s">
        <v>303</v>
      </c>
      <c r="I27" s="241">
        <f>'DP MGR'!H40</f>
        <v>0</v>
      </c>
      <c r="J27" s="240" t="s">
        <v>304</v>
      </c>
      <c r="K27" s="241">
        <f>'DP MGR'!H41</f>
        <v>0</v>
      </c>
      <c r="L27" s="240" t="s">
        <v>305</v>
      </c>
      <c r="M27" s="241">
        <f>'DP MGR'!H42</f>
        <v>0</v>
      </c>
      <c r="N27" s="240" t="s">
        <v>306</v>
      </c>
      <c r="O27" s="241">
        <f>'DP MGR'!H43</f>
        <v>0</v>
      </c>
      <c r="P27" s="387"/>
      <c r="Q27" s="174" t="s">
        <v>238</v>
      </c>
      <c r="R27" s="175">
        <f t="shared" si="6"/>
        <v>0</v>
      </c>
      <c r="S27" s="175">
        <f t="shared" si="7"/>
        <v>0</v>
      </c>
      <c r="T27" s="175">
        <f t="shared" si="8"/>
        <v>0</v>
      </c>
      <c r="U27" s="175">
        <f t="shared" si="9"/>
        <v>0</v>
      </c>
      <c r="V27" s="175">
        <f t="shared" si="10"/>
        <v>0</v>
      </c>
      <c r="W27" s="175">
        <f t="shared" si="11"/>
        <v>5</v>
      </c>
      <c r="X27" s="175" t="str">
        <f t="shared" si="12"/>
        <v>A</v>
      </c>
      <c r="Y27" s="171" t="s">
        <v>239</v>
      </c>
    </row>
    <row r="28" spans="2:26" s="171" customFormat="1" ht="116">
      <c r="C28" s="392" t="s">
        <v>307</v>
      </c>
      <c r="D28" s="173">
        <v>13</v>
      </c>
      <c r="E28" s="260" t="s">
        <v>308</v>
      </c>
      <c r="F28" s="233" t="s">
        <v>309</v>
      </c>
      <c r="G28" s="232">
        <f>OP!H12</f>
        <v>0</v>
      </c>
      <c r="H28" s="220" t="s">
        <v>310</v>
      </c>
      <c r="I28" s="225">
        <f>SV!H9</f>
        <v>0</v>
      </c>
      <c r="J28" s="233" t="s">
        <v>311</v>
      </c>
      <c r="K28" s="232">
        <f>OP!H13</f>
        <v>0</v>
      </c>
      <c r="L28" s="233" t="s">
        <v>312</v>
      </c>
      <c r="M28" s="232">
        <f>OP!H14</f>
        <v>0</v>
      </c>
      <c r="N28" s="242" t="s">
        <v>313</v>
      </c>
      <c r="O28" s="246">
        <f>'DP MGR'!H44</f>
        <v>0</v>
      </c>
      <c r="P28" s="386"/>
      <c r="Q28" s="174" t="s">
        <v>238</v>
      </c>
      <c r="R28" s="175">
        <f t="shared" si="6"/>
        <v>0</v>
      </c>
      <c r="S28" s="175">
        <f t="shared" si="7"/>
        <v>0</v>
      </c>
      <c r="T28" s="175">
        <f t="shared" si="8"/>
        <v>0</v>
      </c>
      <c r="U28" s="175">
        <f t="shared" si="9"/>
        <v>0</v>
      </c>
      <c r="V28" s="175">
        <f t="shared" si="10"/>
        <v>0</v>
      </c>
      <c r="W28" s="175">
        <f t="shared" si="11"/>
        <v>5</v>
      </c>
      <c r="X28" s="175" t="str">
        <f t="shared" si="12"/>
        <v>A</v>
      </c>
      <c r="Y28" s="171" t="s">
        <v>245</v>
      </c>
    </row>
    <row r="29" spans="2:26" s="171" customFormat="1" ht="116">
      <c r="C29" s="393"/>
      <c r="D29" s="173">
        <v>14</v>
      </c>
      <c r="E29" s="260" t="s">
        <v>314</v>
      </c>
      <c r="F29" s="224" t="s">
        <v>315</v>
      </c>
      <c r="G29" s="221">
        <f>SV!H10</f>
        <v>0</v>
      </c>
      <c r="H29" s="220" t="s">
        <v>316</v>
      </c>
      <c r="I29" s="221">
        <f>SV!H11</f>
        <v>0</v>
      </c>
      <c r="J29" s="220" t="s">
        <v>317</v>
      </c>
      <c r="K29" s="221">
        <f>SV!H12</f>
        <v>0</v>
      </c>
      <c r="L29" s="220" t="s">
        <v>318</v>
      </c>
      <c r="M29" s="221">
        <f>SV!H13</f>
        <v>0</v>
      </c>
      <c r="N29" s="220" t="s">
        <v>319</v>
      </c>
      <c r="O29" s="221">
        <f>SV!H14</f>
        <v>0</v>
      </c>
      <c r="P29" s="386"/>
      <c r="Q29" s="174" t="s">
        <v>238</v>
      </c>
      <c r="R29" s="175">
        <f t="shared" si="6"/>
        <v>0</v>
      </c>
      <c r="S29" s="175">
        <f t="shared" si="7"/>
        <v>0</v>
      </c>
      <c r="T29" s="175">
        <f t="shared" si="8"/>
        <v>0</v>
      </c>
      <c r="U29" s="175">
        <f t="shared" si="9"/>
        <v>0</v>
      </c>
      <c r="V29" s="175">
        <f t="shared" si="10"/>
        <v>0</v>
      </c>
      <c r="W29" s="175">
        <f t="shared" si="11"/>
        <v>5</v>
      </c>
      <c r="X29" s="175" t="str">
        <f t="shared" si="12"/>
        <v>A</v>
      </c>
      <c r="Y29" s="171" t="s">
        <v>320</v>
      </c>
    </row>
    <row r="30" spans="2:26" s="171" customFormat="1" ht="99">
      <c r="C30" s="393"/>
      <c r="D30" s="173">
        <v>15</v>
      </c>
      <c r="E30" s="261" t="s">
        <v>321</v>
      </c>
      <c r="F30" s="220" t="s">
        <v>322</v>
      </c>
      <c r="G30" s="221">
        <f>SV!H16</f>
        <v>0</v>
      </c>
      <c r="H30" s="233" t="s">
        <v>323</v>
      </c>
      <c r="I30" s="234">
        <f>OP!H15</f>
        <v>0</v>
      </c>
      <c r="J30" s="233" t="s">
        <v>324</v>
      </c>
      <c r="K30" s="234">
        <f>OP!H16</f>
        <v>0</v>
      </c>
      <c r="L30" s="220" t="s">
        <v>325</v>
      </c>
      <c r="M30" s="221">
        <f>SV!H17</f>
        <v>0</v>
      </c>
      <c r="N30" s="233" t="s">
        <v>326</v>
      </c>
      <c r="O30" s="234">
        <f>OP!H17</f>
        <v>0</v>
      </c>
      <c r="P30" s="386"/>
      <c r="Q30" s="174" t="s">
        <v>238</v>
      </c>
      <c r="R30" s="175">
        <f t="shared" si="6"/>
        <v>0</v>
      </c>
      <c r="S30" s="175">
        <f t="shared" si="7"/>
        <v>0</v>
      </c>
      <c r="T30" s="175">
        <f t="shared" si="8"/>
        <v>0</v>
      </c>
      <c r="U30" s="175">
        <f t="shared" si="9"/>
        <v>0</v>
      </c>
      <c r="V30" s="175">
        <f t="shared" si="10"/>
        <v>0</v>
      </c>
      <c r="W30" s="175">
        <f t="shared" si="11"/>
        <v>5</v>
      </c>
      <c r="X30" s="175" t="str">
        <f t="shared" si="12"/>
        <v>A</v>
      </c>
      <c r="Y30" s="171" t="s">
        <v>327</v>
      </c>
      <c r="Z30" s="171" t="s">
        <v>328</v>
      </c>
    </row>
    <row r="31" spans="2:26" s="171" customFormat="1" ht="120.65" customHeight="1">
      <c r="C31" s="393"/>
      <c r="D31" s="173">
        <v>16</v>
      </c>
      <c r="E31" s="261" t="s">
        <v>329</v>
      </c>
      <c r="F31" s="242" t="s">
        <v>330</v>
      </c>
      <c r="G31" s="241">
        <f>'DP MGR'!H45</f>
        <v>0</v>
      </c>
      <c r="H31" s="242" t="s">
        <v>331</v>
      </c>
      <c r="I31" s="241">
        <f>'DP MGR'!H46</f>
        <v>0</v>
      </c>
      <c r="J31" s="242" t="s">
        <v>332</v>
      </c>
      <c r="K31" s="241">
        <f>'DP MGR'!H47</f>
        <v>0</v>
      </c>
      <c r="L31" s="242" t="s">
        <v>333</v>
      </c>
      <c r="M31" s="241">
        <f>'DP MGR'!H48</f>
        <v>0</v>
      </c>
      <c r="N31" s="242" t="s">
        <v>334</v>
      </c>
      <c r="O31" s="241">
        <f>'DP MGR'!H49</f>
        <v>0</v>
      </c>
      <c r="P31" s="386"/>
      <c r="Q31" s="174" t="s">
        <v>238</v>
      </c>
      <c r="R31" s="175">
        <f t="shared" si="6"/>
        <v>0</v>
      </c>
      <c r="S31" s="175">
        <f t="shared" si="7"/>
        <v>0</v>
      </c>
      <c r="T31" s="175">
        <f t="shared" si="8"/>
        <v>0</v>
      </c>
      <c r="U31" s="175">
        <f t="shared" si="9"/>
        <v>0</v>
      </c>
      <c r="V31" s="175">
        <f t="shared" si="10"/>
        <v>0</v>
      </c>
      <c r="W31" s="175">
        <f t="shared" si="11"/>
        <v>5</v>
      </c>
      <c r="X31" s="175" t="str">
        <f t="shared" si="12"/>
        <v>A</v>
      </c>
      <c r="Y31" s="171" t="s">
        <v>327</v>
      </c>
    </row>
    <row r="32" spans="2:26" s="171" customFormat="1" ht="166" customHeight="1">
      <c r="C32" s="393"/>
      <c r="D32" s="173">
        <v>17</v>
      </c>
      <c r="E32" s="261" t="s">
        <v>335</v>
      </c>
      <c r="F32" s="242" t="s">
        <v>336</v>
      </c>
      <c r="G32" s="241">
        <f>'DP MGR'!H50</f>
        <v>0</v>
      </c>
      <c r="H32" s="242" t="s">
        <v>337</v>
      </c>
      <c r="I32" s="241">
        <f>'DP MGR'!H51</f>
        <v>0</v>
      </c>
      <c r="J32" s="242" t="s">
        <v>338</v>
      </c>
      <c r="K32" s="241">
        <f>'DP MGR'!H52</f>
        <v>0</v>
      </c>
      <c r="L32" s="220" t="s">
        <v>339</v>
      </c>
      <c r="M32" s="221">
        <f>SV!H18</f>
        <v>0</v>
      </c>
      <c r="N32" s="220" t="s">
        <v>340</v>
      </c>
      <c r="O32" s="221">
        <f>SV!H19</f>
        <v>0</v>
      </c>
      <c r="P32" s="386"/>
      <c r="Q32" s="174" t="s">
        <v>238</v>
      </c>
      <c r="R32" s="175">
        <f t="shared" si="6"/>
        <v>0</v>
      </c>
      <c r="S32" s="175">
        <f t="shared" si="7"/>
        <v>0</v>
      </c>
      <c r="T32" s="175">
        <f t="shared" si="8"/>
        <v>0</v>
      </c>
      <c r="U32" s="175">
        <f t="shared" si="9"/>
        <v>0</v>
      </c>
      <c r="V32" s="175">
        <f t="shared" si="10"/>
        <v>0</v>
      </c>
      <c r="W32" s="175">
        <f t="shared" si="11"/>
        <v>5</v>
      </c>
      <c r="X32" s="175" t="str">
        <f t="shared" si="12"/>
        <v>A</v>
      </c>
      <c r="Y32" s="171" t="s">
        <v>320</v>
      </c>
    </row>
    <row r="33" spans="3:25" s="171" customFormat="1" ht="101.5">
      <c r="C33" s="393"/>
      <c r="D33" s="173">
        <v>18</v>
      </c>
      <c r="E33" s="261" t="s">
        <v>341</v>
      </c>
      <c r="F33" s="220" t="s">
        <v>342</v>
      </c>
      <c r="G33" s="221">
        <f>SV!H20</f>
        <v>0</v>
      </c>
      <c r="H33" s="220" t="s">
        <v>343</v>
      </c>
      <c r="I33" s="221">
        <f>SV!H21</f>
        <v>0</v>
      </c>
      <c r="J33" s="220" t="s">
        <v>344</v>
      </c>
      <c r="K33" s="221">
        <f>SV!H22</f>
        <v>0</v>
      </c>
      <c r="L33" s="220" t="s">
        <v>345</v>
      </c>
      <c r="M33" s="221">
        <f>SV!H23</f>
        <v>0</v>
      </c>
      <c r="N33" s="220" t="s">
        <v>346</v>
      </c>
      <c r="O33" s="221">
        <f>SV!H24</f>
        <v>0</v>
      </c>
      <c r="P33" s="386"/>
      <c r="Q33" s="174" t="s">
        <v>238</v>
      </c>
      <c r="R33" s="175">
        <f t="shared" si="6"/>
        <v>0</v>
      </c>
      <c r="S33" s="175">
        <f t="shared" si="7"/>
        <v>0</v>
      </c>
      <c r="T33" s="175">
        <f t="shared" si="8"/>
        <v>0</v>
      </c>
      <c r="U33" s="175">
        <f t="shared" si="9"/>
        <v>0</v>
      </c>
      <c r="V33" s="175">
        <f t="shared" si="10"/>
        <v>0</v>
      </c>
      <c r="W33" s="175">
        <f t="shared" si="11"/>
        <v>5</v>
      </c>
      <c r="X33" s="175" t="str">
        <f t="shared" si="12"/>
        <v>A</v>
      </c>
      <c r="Y33" s="171" t="s">
        <v>327</v>
      </c>
    </row>
    <row r="34" spans="3:25" s="171" customFormat="1" ht="161" customHeight="1">
      <c r="C34" s="393"/>
      <c r="D34" s="173">
        <v>19</v>
      </c>
      <c r="E34" s="261" t="s">
        <v>347</v>
      </c>
      <c r="F34" s="242" t="s">
        <v>348</v>
      </c>
      <c r="G34" s="241">
        <f>'DP MGR'!H53</f>
        <v>0</v>
      </c>
      <c r="H34" s="242" t="s">
        <v>349</v>
      </c>
      <c r="I34" s="241">
        <f>'DP MGR'!H54</f>
        <v>0</v>
      </c>
      <c r="J34" s="242" t="s">
        <v>350</v>
      </c>
      <c r="K34" s="241">
        <f>'DP MGR'!H55</f>
        <v>0</v>
      </c>
      <c r="L34" s="242" t="s">
        <v>351</v>
      </c>
      <c r="M34" s="241">
        <f>'DP MGR'!H56</f>
        <v>0</v>
      </c>
      <c r="N34" s="242" t="s">
        <v>352</v>
      </c>
      <c r="O34" s="241">
        <f>'DP MGR'!H57</f>
        <v>0</v>
      </c>
      <c r="P34" s="386"/>
      <c r="Q34" s="174" t="s">
        <v>238</v>
      </c>
      <c r="R34" s="175">
        <f t="shared" si="6"/>
        <v>0</v>
      </c>
      <c r="S34" s="175">
        <f t="shared" si="7"/>
        <v>0</v>
      </c>
      <c r="T34" s="175">
        <f t="shared" si="8"/>
        <v>0</v>
      </c>
      <c r="U34" s="175">
        <f t="shared" si="9"/>
        <v>0</v>
      </c>
      <c r="V34" s="175">
        <f t="shared" si="10"/>
        <v>0</v>
      </c>
      <c r="W34" s="175">
        <f t="shared" ref="W34" si="13">IF(R34="No",1,IF(S34="No",1,IF(T34="No",2,IF(U34="No",3,IF(V34="No",4,5)))))</f>
        <v>5</v>
      </c>
      <c r="X34" s="175" t="str">
        <f t="shared" ref="X34" si="14">IF(W34&lt;2,"C",IF(W34&lt;3,"B-",IF(W34&lt;4,"B",IF(W34&lt;5,"B+",IF(W34=5,"A","")))))</f>
        <v>A</v>
      </c>
      <c r="Y34" s="171" t="s">
        <v>327</v>
      </c>
    </row>
    <row r="35" spans="3:25" s="171" customFormat="1" ht="117.65" customHeight="1">
      <c r="C35" s="393"/>
      <c r="D35" s="173">
        <v>20</v>
      </c>
      <c r="E35" s="261" t="s">
        <v>353</v>
      </c>
      <c r="F35" s="242" t="s">
        <v>354</v>
      </c>
      <c r="G35" s="241">
        <f>'DP MGR'!H58</f>
        <v>0</v>
      </c>
      <c r="H35" s="242" t="s">
        <v>355</v>
      </c>
      <c r="I35" s="241">
        <f>'DP MGR'!H59</f>
        <v>0</v>
      </c>
      <c r="J35" s="242" t="s">
        <v>356</v>
      </c>
      <c r="K35" s="241">
        <f>'DP MGR'!H60</f>
        <v>0</v>
      </c>
      <c r="L35" s="242" t="s">
        <v>357</v>
      </c>
      <c r="M35" s="241">
        <f>'DP MGR'!H61</f>
        <v>0</v>
      </c>
      <c r="N35" s="242" t="s">
        <v>358</v>
      </c>
      <c r="O35" s="241">
        <f>'DP MGR'!H62</f>
        <v>0</v>
      </c>
      <c r="P35" s="386"/>
      <c r="Q35" s="174" t="s">
        <v>238</v>
      </c>
      <c r="R35" s="175">
        <f t="shared" ref="R35" si="15">G35</f>
        <v>0</v>
      </c>
      <c r="S35" s="175">
        <f t="shared" ref="S35" si="16">I35</f>
        <v>0</v>
      </c>
      <c r="T35" s="175">
        <f t="shared" ref="T35" si="17">K35</f>
        <v>0</v>
      </c>
      <c r="U35" s="175">
        <f t="shared" ref="U35" si="18">M35</f>
        <v>0</v>
      </c>
      <c r="V35" s="175">
        <f t="shared" ref="V35" si="19">O35</f>
        <v>0</v>
      </c>
      <c r="W35" s="175">
        <f t="shared" ref="W35" si="20">IF(R35="No",1,IF(S35="No",1,IF(T35="No",2,IF(U35="No",3,IF(V35="No",4,5)))))</f>
        <v>5</v>
      </c>
      <c r="X35" s="175" t="str">
        <f t="shared" ref="X35" si="21">IF(W35&lt;2,"C",IF(W35&lt;3,"B-",IF(W35&lt;4,"B",IF(W35&lt;5,"B+",IF(W35=5,"A","")))))</f>
        <v>A</v>
      </c>
      <c r="Y35" s="171" t="s">
        <v>327</v>
      </c>
    </row>
    <row r="36" spans="3:25" s="171" customFormat="1" ht="145">
      <c r="C36" s="393"/>
      <c r="D36" s="173">
        <v>21</v>
      </c>
      <c r="E36" s="261" t="s">
        <v>359</v>
      </c>
      <c r="F36" s="242" t="s">
        <v>360</v>
      </c>
      <c r="G36" s="241">
        <f>'DP MGR'!H63</f>
        <v>0</v>
      </c>
      <c r="H36" s="242" t="s">
        <v>361</v>
      </c>
      <c r="I36" s="241">
        <f>'DP MGR'!H64</f>
        <v>0</v>
      </c>
      <c r="J36" s="242" t="s">
        <v>362</v>
      </c>
      <c r="K36" s="241">
        <f>'DP MGR'!H65</f>
        <v>0</v>
      </c>
      <c r="L36" s="242" t="s">
        <v>363</v>
      </c>
      <c r="M36" s="241">
        <f>'DP MGR'!H66</f>
        <v>0</v>
      </c>
      <c r="N36" s="242" t="s">
        <v>364</v>
      </c>
      <c r="O36" s="241">
        <f>'DP MGR'!H67</f>
        <v>0</v>
      </c>
      <c r="P36" s="386"/>
      <c r="Q36" s="174" t="s">
        <v>238</v>
      </c>
      <c r="R36" s="175">
        <f t="shared" si="6"/>
        <v>0</v>
      </c>
      <c r="S36" s="175">
        <f t="shared" si="7"/>
        <v>0</v>
      </c>
      <c r="T36" s="175">
        <f t="shared" si="8"/>
        <v>0</v>
      </c>
      <c r="U36" s="175">
        <f t="shared" si="9"/>
        <v>0</v>
      </c>
      <c r="V36" s="175">
        <f t="shared" si="10"/>
        <v>0</v>
      </c>
      <c r="W36" s="175">
        <f t="shared" si="11"/>
        <v>5</v>
      </c>
      <c r="X36" s="175" t="str">
        <f t="shared" si="12"/>
        <v>A</v>
      </c>
      <c r="Y36" s="171" t="s">
        <v>327</v>
      </c>
    </row>
    <row r="37" spans="3:25" s="171" customFormat="1" ht="120" customHeight="1">
      <c r="C37" s="393"/>
      <c r="D37" s="173">
        <v>22</v>
      </c>
      <c r="E37" s="261" t="s">
        <v>365</v>
      </c>
      <c r="F37" s="242" t="s">
        <v>366</v>
      </c>
      <c r="G37" s="241">
        <f>'DP MGR'!H68</f>
        <v>0</v>
      </c>
      <c r="H37" s="242" t="s">
        <v>367</v>
      </c>
      <c r="I37" s="241">
        <f>'DP MGR'!H69</f>
        <v>0</v>
      </c>
      <c r="J37" s="242" t="s">
        <v>368</v>
      </c>
      <c r="K37" s="241">
        <f>'DP MGR'!H70</f>
        <v>0</v>
      </c>
      <c r="L37" s="242" t="s">
        <v>369</v>
      </c>
      <c r="M37" s="241">
        <f>'DP MGR'!H71</f>
        <v>0</v>
      </c>
      <c r="N37" s="242" t="s">
        <v>370</v>
      </c>
      <c r="O37" s="241">
        <f>'DP MGR'!H72</f>
        <v>0</v>
      </c>
      <c r="P37" s="386"/>
      <c r="Q37" s="174" t="s">
        <v>238</v>
      </c>
      <c r="R37" s="175">
        <f t="shared" ref="R37" si="22">G37</f>
        <v>0</v>
      </c>
      <c r="S37" s="175">
        <f t="shared" ref="S37" si="23">I37</f>
        <v>0</v>
      </c>
      <c r="T37" s="175">
        <f t="shared" ref="T37" si="24">K37</f>
        <v>0</v>
      </c>
      <c r="U37" s="175">
        <f t="shared" ref="U37" si="25">M37</f>
        <v>0</v>
      </c>
      <c r="V37" s="175">
        <f t="shared" ref="V37" si="26">O37</f>
        <v>0</v>
      </c>
      <c r="W37" s="175">
        <f t="shared" ref="W37" si="27">IF(R37="No",1,IF(S37="No",1,IF(T37="No",2,IF(U37="No",3,IF(V37="No",4,5)))))</f>
        <v>5</v>
      </c>
      <c r="X37" s="175" t="str">
        <f t="shared" ref="X37" si="28">IF(W37&lt;2,"C",IF(W37&lt;3,"B-",IF(W37&lt;4,"B",IF(W37&lt;5,"B+",IF(W37=5,"A","")))))</f>
        <v>A</v>
      </c>
      <c r="Y37" s="171" t="s">
        <v>327</v>
      </c>
    </row>
    <row r="38" spans="3:25" s="171" customFormat="1" ht="134.15" customHeight="1">
      <c r="C38" s="393"/>
      <c r="D38" s="173">
        <v>23</v>
      </c>
      <c r="E38" s="261" t="s">
        <v>371</v>
      </c>
      <c r="F38" s="242" t="s">
        <v>372</v>
      </c>
      <c r="G38" s="241">
        <f>'DP MGR'!H73</f>
        <v>0</v>
      </c>
      <c r="H38" s="242" t="s">
        <v>373</v>
      </c>
      <c r="I38" s="241">
        <f>'DP MGR'!H74</f>
        <v>0</v>
      </c>
      <c r="J38" s="242" t="s">
        <v>374</v>
      </c>
      <c r="K38" s="241">
        <f>'DP MGR'!H75</f>
        <v>0</v>
      </c>
      <c r="L38" s="242" t="s">
        <v>375</v>
      </c>
      <c r="M38" s="241">
        <f>'DP MGR'!H76</f>
        <v>0</v>
      </c>
      <c r="N38" s="242" t="s">
        <v>376</v>
      </c>
      <c r="O38" s="241">
        <f>'DP MGR'!H77</f>
        <v>0</v>
      </c>
      <c r="P38" s="386"/>
      <c r="Q38" s="174" t="s">
        <v>238</v>
      </c>
      <c r="R38" s="175">
        <f t="shared" si="6"/>
        <v>0</v>
      </c>
      <c r="S38" s="175">
        <f t="shared" si="7"/>
        <v>0</v>
      </c>
      <c r="T38" s="175">
        <f t="shared" si="8"/>
        <v>0</v>
      </c>
      <c r="U38" s="175">
        <f t="shared" si="9"/>
        <v>0</v>
      </c>
      <c r="V38" s="175">
        <f t="shared" si="10"/>
        <v>0</v>
      </c>
      <c r="W38" s="175">
        <f t="shared" si="11"/>
        <v>5</v>
      </c>
      <c r="X38" s="175" t="str">
        <f t="shared" si="12"/>
        <v>A</v>
      </c>
      <c r="Y38" s="171" t="s">
        <v>327</v>
      </c>
    </row>
    <row r="39" spans="3:25" s="171" customFormat="1" ht="160" customHeight="1">
      <c r="C39" s="393"/>
      <c r="D39" s="173">
        <v>24</v>
      </c>
      <c r="E39" s="261" t="s">
        <v>377</v>
      </c>
      <c r="F39" s="242" t="s">
        <v>378</v>
      </c>
      <c r="G39" s="241">
        <f>'DP MGR'!H78</f>
        <v>0</v>
      </c>
      <c r="H39" s="242" t="s">
        <v>379</v>
      </c>
      <c r="I39" s="241">
        <f>'DP MGR'!H79</f>
        <v>0</v>
      </c>
      <c r="J39" s="242" t="s">
        <v>380</v>
      </c>
      <c r="K39" s="241">
        <f>'DP MGR'!H80</f>
        <v>0</v>
      </c>
      <c r="L39" s="242" t="s">
        <v>381</v>
      </c>
      <c r="M39" s="241">
        <f>'DP MGR'!H81</f>
        <v>0</v>
      </c>
      <c r="N39" s="242" t="s">
        <v>382</v>
      </c>
      <c r="O39" s="241">
        <f>'DP MGR'!H82</f>
        <v>0</v>
      </c>
      <c r="P39" s="386"/>
      <c r="Q39" s="174" t="s">
        <v>238</v>
      </c>
      <c r="R39" s="175">
        <f t="shared" ref="R39" si="29">G39</f>
        <v>0</v>
      </c>
      <c r="S39" s="175">
        <f t="shared" ref="S39" si="30">I39</f>
        <v>0</v>
      </c>
      <c r="T39" s="175">
        <f>K39</f>
        <v>0</v>
      </c>
      <c r="U39" s="175">
        <f t="shared" ref="U39" si="31">M39</f>
        <v>0</v>
      </c>
      <c r="V39" s="175">
        <f t="shared" ref="V39" si="32">O39</f>
        <v>0</v>
      </c>
      <c r="W39" s="175">
        <f t="shared" ref="W39" si="33">IF(R39="No",1,IF(S39="No",1,IF(T39="No",2,IF(U39="No",3,IF(V39="No",4,5)))))</f>
        <v>5</v>
      </c>
      <c r="X39" s="175" t="str">
        <f t="shared" ref="X39" si="34">IF(W39&lt;2,"C",IF(W39&lt;3,"B-",IF(W39&lt;4,"B",IF(W39&lt;5,"B+",IF(W39=5,"A","")))))</f>
        <v>A</v>
      </c>
      <c r="Y39" s="171" t="s">
        <v>327</v>
      </c>
    </row>
    <row r="40" spans="3:25" s="171" customFormat="1" ht="116">
      <c r="C40" s="393"/>
      <c r="D40" s="173">
        <v>25</v>
      </c>
      <c r="E40" s="261" t="s">
        <v>383</v>
      </c>
      <c r="F40" s="242" t="s">
        <v>384</v>
      </c>
      <c r="G40" s="241">
        <f>'DP MGR'!H83</f>
        <v>0</v>
      </c>
      <c r="H40" s="242" t="s">
        <v>385</v>
      </c>
      <c r="I40" s="241">
        <f>'DP MGR'!H84</f>
        <v>0</v>
      </c>
      <c r="J40" s="242" t="s">
        <v>386</v>
      </c>
      <c r="K40" s="241">
        <f>'DP MGR'!H85</f>
        <v>0</v>
      </c>
      <c r="L40" s="242" t="s">
        <v>387</v>
      </c>
      <c r="M40" s="241">
        <f>'DP MGR'!H86</f>
        <v>0</v>
      </c>
      <c r="N40" s="242" t="s">
        <v>388</v>
      </c>
      <c r="O40" s="241">
        <f>'DP MGR'!H87</f>
        <v>0</v>
      </c>
      <c r="P40" s="386"/>
      <c r="Q40" s="174" t="s">
        <v>238</v>
      </c>
      <c r="R40" s="175">
        <f t="shared" si="6"/>
        <v>0</v>
      </c>
      <c r="S40" s="175">
        <f t="shared" si="7"/>
        <v>0</v>
      </c>
      <c r="T40" s="175">
        <f t="shared" si="8"/>
        <v>0</v>
      </c>
      <c r="U40" s="175">
        <f t="shared" si="9"/>
        <v>0</v>
      </c>
      <c r="V40" s="175">
        <f t="shared" si="10"/>
        <v>0</v>
      </c>
      <c r="W40" s="175">
        <f t="shared" si="11"/>
        <v>5</v>
      </c>
      <c r="X40" s="175" t="str">
        <f t="shared" si="12"/>
        <v>A</v>
      </c>
      <c r="Y40" s="171" t="s">
        <v>327</v>
      </c>
    </row>
    <row r="41" spans="3:25" s="171" customFormat="1" ht="131.15" customHeight="1">
      <c r="C41" s="393"/>
      <c r="D41" s="173">
        <v>26</v>
      </c>
      <c r="E41" s="262" t="s">
        <v>389</v>
      </c>
      <c r="F41" s="226" t="s">
        <v>390</v>
      </c>
      <c r="G41" s="227">
        <f>SV!H25</f>
        <v>0</v>
      </c>
      <c r="H41" s="226" t="s">
        <v>391</v>
      </c>
      <c r="I41" s="227">
        <f>SV!H26</f>
        <v>0</v>
      </c>
      <c r="J41" s="226" t="s">
        <v>392</v>
      </c>
      <c r="K41" s="227">
        <f>SV!H27</f>
        <v>0</v>
      </c>
      <c r="L41" s="226" t="s">
        <v>393</v>
      </c>
      <c r="M41" s="227">
        <f>SV!H28</f>
        <v>0</v>
      </c>
      <c r="N41" s="226" t="s">
        <v>394</v>
      </c>
      <c r="O41" s="227">
        <f>SV!H29</f>
        <v>0</v>
      </c>
      <c r="P41" s="386"/>
      <c r="Q41" s="174" t="s">
        <v>238</v>
      </c>
      <c r="R41" s="175">
        <f t="shared" ref="R41:R44" si="35">G41</f>
        <v>0</v>
      </c>
      <c r="S41" s="175">
        <f t="shared" ref="S41:S44" si="36">I41</f>
        <v>0</v>
      </c>
      <c r="T41" s="175">
        <f t="shared" ref="T41:T44" si="37">K41</f>
        <v>0</v>
      </c>
      <c r="U41" s="175">
        <f t="shared" ref="U41:U44" si="38">M41</f>
        <v>0</v>
      </c>
      <c r="V41" s="175">
        <f t="shared" ref="V41:V44" si="39">O41</f>
        <v>0</v>
      </c>
      <c r="W41" s="175">
        <f t="shared" si="11"/>
        <v>5</v>
      </c>
      <c r="X41" s="175" t="str">
        <f t="shared" si="12"/>
        <v>A</v>
      </c>
      <c r="Y41" s="171" t="s">
        <v>327</v>
      </c>
    </row>
    <row r="42" spans="3:25" s="171" customFormat="1" ht="124" customHeight="1">
      <c r="C42" s="393"/>
      <c r="D42" s="173">
        <v>27</v>
      </c>
      <c r="E42" s="262" t="s">
        <v>395</v>
      </c>
      <c r="F42" s="228" t="s">
        <v>396</v>
      </c>
      <c r="G42" s="227">
        <f>SV!H30</f>
        <v>0</v>
      </c>
      <c r="H42" s="235" t="s">
        <v>397</v>
      </c>
      <c r="I42" s="236">
        <f>OP!H18</f>
        <v>0</v>
      </c>
      <c r="J42" s="235" t="s">
        <v>398</v>
      </c>
      <c r="K42" s="236">
        <f>OP!H19</f>
        <v>0</v>
      </c>
      <c r="L42" s="226" t="s">
        <v>399</v>
      </c>
      <c r="M42" s="227">
        <f>SV!H31</f>
        <v>0</v>
      </c>
      <c r="N42" s="235" t="s">
        <v>400</v>
      </c>
      <c r="O42" s="236">
        <f>OP!H20</f>
        <v>0</v>
      </c>
      <c r="P42" s="386"/>
      <c r="Q42" s="174" t="s">
        <v>238</v>
      </c>
      <c r="R42" s="175">
        <f t="shared" si="35"/>
        <v>0</v>
      </c>
      <c r="S42" s="175">
        <f t="shared" si="36"/>
        <v>0</v>
      </c>
      <c r="T42" s="175">
        <f t="shared" si="37"/>
        <v>0</v>
      </c>
      <c r="U42" s="175">
        <f t="shared" si="38"/>
        <v>0</v>
      </c>
      <c r="V42" s="175">
        <f t="shared" si="39"/>
        <v>0</v>
      </c>
      <c r="W42" s="175">
        <f t="shared" si="11"/>
        <v>5</v>
      </c>
      <c r="X42" s="175" t="str">
        <f t="shared" si="12"/>
        <v>A</v>
      </c>
      <c r="Y42" s="171" t="s">
        <v>327</v>
      </c>
    </row>
    <row r="43" spans="3:25" s="171" customFormat="1" ht="156" customHeight="1">
      <c r="C43" s="393"/>
      <c r="D43" s="173">
        <v>28</v>
      </c>
      <c r="E43" s="262" t="s">
        <v>401</v>
      </c>
      <c r="F43" s="247" t="s">
        <v>402</v>
      </c>
      <c r="G43" s="248">
        <f>'DP MGR'!H88</f>
        <v>0</v>
      </c>
      <c r="H43" s="249" t="s">
        <v>403</v>
      </c>
      <c r="I43" s="248">
        <f>'DP MGR'!H89</f>
        <v>0</v>
      </c>
      <c r="J43" s="249" t="s">
        <v>404</v>
      </c>
      <c r="K43" s="248">
        <f>'DP MGR'!H90</f>
        <v>0</v>
      </c>
      <c r="L43" s="249" t="s">
        <v>405</v>
      </c>
      <c r="M43" s="248">
        <f>'DP MGR'!H91</f>
        <v>0</v>
      </c>
      <c r="N43" s="249" t="s">
        <v>406</v>
      </c>
      <c r="O43" s="248">
        <f>'DP MGR'!H92</f>
        <v>0</v>
      </c>
      <c r="P43" s="386"/>
      <c r="Q43" s="174" t="s">
        <v>238</v>
      </c>
      <c r="R43" s="175">
        <f t="shared" si="35"/>
        <v>0</v>
      </c>
      <c r="S43" s="175">
        <f t="shared" si="36"/>
        <v>0</v>
      </c>
      <c r="T43" s="175">
        <f t="shared" si="37"/>
        <v>0</v>
      </c>
      <c r="U43" s="175">
        <f t="shared" si="38"/>
        <v>0</v>
      </c>
      <c r="V43" s="175">
        <f t="shared" si="39"/>
        <v>0</v>
      </c>
      <c r="W43" s="175">
        <f t="shared" si="11"/>
        <v>5</v>
      </c>
      <c r="X43" s="175" t="str">
        <f t="shared" si="12"/>
        <v>A</v>
      </c>
      <c r="Y43" s="171" t="s">
        <v>327</v>
      </c>
    </row>
    <row r="44" spans="3:25" s="171" customFormat="1" ht="156" customHeight="1">
      <c r="C44" s="394"/>
      <c r="D44" s="173">
        <v>29</v>
      </c>
      <c r="E44" s="262" t="s">
        <v>407</v>
      </c>
      <c r="F44" s="247" t="s">
        <v>408</v>
      </c>
      <c r="G44" s="248">
        <f>'DP MGR'!H93</f>
        <v>0</v>
      </c>
      <c r="H44" s="249" t="s">
        <v>409</v>
      </c>
      <c r="I44" s="248">
        <f>'DP MGR'!H94</f>
        <v>0</v>
      </c>
      <c r="J44" s="249" t="s">
        <v>410</v>
      </c>
      <c r="K44" s="248">
        <f>'DP MGR'!H95</f>
        <v>0</v>
      </c>
      <c r="L44" s="249" t="s">
        <v>411</v>
      </c>
      <c r="M44" s="248">
        <f>'DP MGR'!H96</f>
        <v>0</v>
      </c>
      <c r="N44" s="249" t="s">
        <v>412</v>
      </c>
      <c r="O44" s="248">
        <f>'DP MGR'!H97</f>
        <v>0</v>
      </c>
      <c r="P44" s="386"/>
      <c r="Q44" s="174" t="s">
        <v>238</v>
      </c>
      <c r="R44" s="175">
        <f t="shared" si="35"/>
        <v>0</v>
      </c>
      <c r="S44" s="175">
        <f t="shared" si="36"/>
        <v>0</v>
      </c>
      <c r="T44" s="175">
        <f t="shared" si="37"/>
        <v>0</v>
      </c>
      <c r="U44" s="175">
        <f t="shared" si="38"/>
        <v>0</v>
      </c>
      <c r="V44" s="175">
        <f t="shared" si="39"/>
        <v>0</v>
      </c>
      <c r="W44" s="175">
        <f t="shared" si="11"/>
        <v>5</v>
      </c>
      <c r="X44" s="175" t="str">
        <f t="shared" si="12"/>
        <v>A</v>
      </c>
      <c r="Y44" s="171" t="s">
        <v>327</v>
      </c>
    </row>
    <row r="45" spans="3:25" s="171" customFormat="1" ht="96.5" customHeight="1">
      <c r="C45" s="318" t="s">
        <v>413</v>
      </c>
      <c r="D45" s="173">
        <v>30</v>
      </c>
      <c r="E45" s="260" t="s">
        <v>414</v>
      </c>
      <c r="F45" s="240" t="s">
        <v>415</v>
      </c>
      <c r="G45" s="241">
        <f>'DP MGR'!H98</f>
        <v>0</v>
      </c>
      <c r="H45" s="240" t="s">
        <v>416</v>
      </c>
      <c r="I45" s="241">
        <f>'DP MGR'!H99</f>
        <v>0</v>
      </c>
      <c r="J45" s="240" t="s">
        <v>805</v>
      </c>
      <c r="K45" s="241">
        <f>'DP MGR'!H100</f>
        <v>0</v>
      </c>
      <c r="L45" s="240" t="s">
        <v>417</v>
      </c>
      <c r="M45" s="241">
        <f>'DP MGR'!H101</f>
        <v>0</v>
      </c>
      <c r="N45" s="240" t="s">
        <v>418</v>
      </c>
      <c r="O45" s="241">
        <f>'DP MGR'!H102</f>
        <v>0</v>
      </c>
      <c r="P45" s="176"/>
      <c r="Q45" s="174" t="s">
        <v>238</v>
      </c>
      <c r="R45" s="175">
        <f t="shared" si="6"/>
        <v>0</v>
      </c>
      <c r="S45" s="175">
        <f t="shared" si="7"/>
        <v>0</v>
      </c>
      <c r="T45" s="175">
        <f t="shared" si="8"/>
        <v>0</v>
      </c>
      <c r="U45" s="175">
        <f t="shared" si="9"/>
        <v>0</v>
      </c>
      <c r="V45" s="175">
        <f t="shared" si="10"/>
        <v>0</v>
      </c>
      <c r="W45" s="175">
        <f t="shared" ref="W45" si="40">IF(R45="No",1,IF(S45="No",1,IF(T45="No",2,IF(U45="No",3,IF(V45="No",4,5)))))</f>
        <v>5</v>
      </c>
      <c r="X45" s="175" t="str">
        <f t="shared" ref="X45" si="41">IF(W45&lt;2,"C",IF(W45&lt;3,"B-",IF(W45&lt;4,"B",IF(W45&lt;5,"B+",IF(W45=5,"A","")))))</f>
        <v>A</v>
      </c>
      <c r="Y45" s="171" t="s">
        <v>239</v>
      </c>
    </row>
    <row r="46" spans="3:25" s="171" customFormat="1" ht="121.5" customHeight="1">
      <c r="C46" s="319"/>
      <c r="D46" s="173">
        <v>31</v>
      </c>
      <c r="E46" s="260" t="s">
        <v>419</v>
      </c>
      <c r="F46" s="240" t="s">
        <v>420</v>
      </c>
      <c r="G46" s="241">
        <f>'DP MGR'!H103</f>
        <v>0</v>
      </c>
      <c r="H46" s="240" t="s">
        <v>421</v>
      </c>
      <c r="I46" s="241">
        <f>'DP MGR'!H104</f>
        <v>0</v>
      </c>
      <c r="J46" s="240" t="s">
        <v>806</v>
      </c>
      <c r="K46" s="241">
        <f>'DP MGR'!H105</f>
        <v>0</v>
      </c>
      <c r="L46" s="240" t="s">
        <v>807</v>
      </c>
      <c r="M46" s="241">
        <f>'DP MGR'!H106</f>
        <v>0</v>
      </c>
      <c r="N46" s="240" t="s">
        <v>422</v>
      </c>
      <c r="O46" s="241">
        <f>'DP MGR'!H107</f>
        <v>0</v>
      </c>
      <c r="P46" s="176"/>
      <c r="Q46" s="174" t="s">
        <v>238</v>
      </c>
      <c r="R46" s="175">
        <f t="shared" ref="R46" si="42">G46</f>
        <v>0</v>
      </c>
      <c r="S46" s="175">
        <f t="shared" ref="S46" si="43">I46</f>
        <v>0</v>
      </c>
      <c r="T46" s="175">
        <f t="shared" ref="T46" si="44">K46</f>
        <v>0</v>
      </c>
      <c r="U46" s="175">
        <f t="shared" ref="U46" si="45">M46</f>
        <v>0</v>
      </c>
      <c r="V46" s="175">
        <f t="shared" ref="V46" si="46">O46</f>
        <v>0</v>
      </c>
      <c r="W46" s="175">
        <f t="shared" ref="W46" si="47">IF(R46="No",1,IF(S46="No",1,IF(T46="No",2,IF(U46="No",3,IF(V46="No",4,5)))))</f>
        <v>5</v>
      </c>
      <c r="X46" s="175" t="str">
        <f t="shared" ref="X46" si="48">IF(W46&lt;2,"C",IF(W46&lt;3,"B-",IF(W46&lt;4,"B",IF(W46&lt;5,"B+",IF(W46=5,"A","")))))</f>
        <v>A</v>
      </c>
    </row>
    <row r="47" spans="3:25" s="171" customFormat="1" ht="101.5">
      <c r="C47" s="320"/>
      <c r="D47" s="173">
        <v>32</v>
      </c>
      <c r="E47" s="263" t="s">
        <v>423</v>
      </c>
      <c r="F47" s="237" t="s">
        <v>424</v>
      </c>
      <c r="G47" s="238">
        <f>MGR!H11</f>
        <v>0</v>
      </c>
      <c r="H47" s="237" t="s">
        <v>425</v>
      </c>
      <c r="I47" s="238">
        <f>MGR!H12</f>
        <v>0</v>
      </c>
      <c r="J47" s="237" t="s">
        <v>426</v>
      </c>
      <c r="K47" s="238">
        <f>MGR!H13</f>
        <v>0</v>
      </c>
      <c r="L47" s="237" t="s">
        <v>427</v>
      </c>
      <c r="M47" s="238">
        <f>MGR!H14</f>
        <v>0</v>
      </c>
      <c r="N47" s="240" t="s">
        <v>428</v>
      </c>
      <c r="O47" s="241">
        <f>'DP MGR'!H108</f>
        <v>0</v>
      </c>
      <c r="P47" s="177"/>
      <c r="Q47" s="174" t="s">
        <v>238</v>
      </c>
      <c r="R47" s="175">
        <f t="shared" si="6"/>
        <v>0</v>
      </c>
      <c r="S47" s="175">
        <f t="shared" si="7"/>
        <v>0</v>
      </c>
      <c r="T47" s="175">
        <f t="shared" si="8"/>
        <v>0</v>
      </c>
      <c r="U47" s="175">
        <f t="shared" si="9"/>
        <v>0</v>
      </c>
      <c r="V47" s="175">
        <f t="shared" si="10"/>
        <v>0</v>
      </c>
      <c r="W47" s="175">
        <f t="shared" si="11"/>
        <v>5</v>
      </c>
      <c r="X47" s="175" t="str">
        <f t="shared" si="12"/>
        <v>A</v>
      </c>
      <c r="Y47" s="171" t="s">
        <v>239</v>
      </c>
    </row>
    <row r="48" spans="3:25" s="178" customFormat="1">
      <c r="C48" s="179"/>
      <c r="D48" s="179"/>
      <c r="E48" s="264"/>
      <c r="F48" s="180"/>
      <c r="G48" s="181"/>
      <c r="H48" s="180"/>
      <c r="I48" s="181"/>
      <c r="J48" s="180"/>
      <c r="K48" s="181"/>
      <c r="L48" s="180"/>
      <c r="M48" s="181"/>
      <c r="N48" s="180"/>
      <c r="O48" s="181"/>
      <c r="Q48" s="182"/>
      <c r="R48" s="182"/>
      <c r="S48" s="182"/>
      <c r="T48" s="182"/>
      <c r="U48" s="182"/>
    </row>
    <row r="49" spans="3:21" s="178" customFormat="1">
      <c r="C49" s="179"/>
      <c r="D49" s="179"/>
      <c r="E49" s="264"/>
      <c r="F49" s="180"/>
      <c r="G49" s="181"/>
      <c r="H49" s="180"/>
      <c r="I49" s="181"/>
      <c r="J49" s="180"/>
      <c r="K49" s="181"/>
      <c r="L49" s="180"/>
      <c r="M49" s="181"/>
      <c r="N49" s="180"/>
      <c r="O49" s="181"/>
      <c r="Q49" s="182"/>
      <c r="R49" s="182"/>
      <c r="S49" s="182"/>
      <c r="T49" s="182"/>
      <c r="U49" s="182"/>
    </row>
    <row r="50" spans="3:21" s="178" customFormat="1">
      <c r="E50" s="264"/>
      <c r="F50" s="180"/>
      <c r="G50" s="181"/>
      <c r="H50" s="180"/>
      <c r="I50" s="181"/>
      <c r="J50" s="180"/>
      <c r="K50" s="181"/>
      <c r="L50" s="180"/>
      <c r="M50" s="181"/>
      <c r="N50" s="180"/>
      <c r="O50" s="181"/>
      <c r="Q50" s="182"/>
      <c r="R50" s="182"/>
      <c r="S50" s="182"/>
      <c r="T50" s="182"/>
      <c r="U50" s="182"/>
    </row>
    <row r="51" spans="3:21" s="178" customFormat="1" ht="49.5" hidden="1" customHeight="1">
      <c r="E51" s="264" t="s">
        <v>429</v>
      </c>
      <c r="F51" s="184" t="s">
        <v>430</v>
      </c>
      <c r="G51" s="185"/>
      <c r="H51" s="184" t="s">
        <v>431</v>
      </c>
      <c r="I51" s="185"/>
      <c r="J51" s="184" t="s">
        <v>432</v>
      </c>
      <c r="K51" s="185"/>
      <c r="L51" s="184" t="s">
        <v>433</v>
      </c>
      <c r="M51" s="185"/>
      <c r="N51" s="184" t="s">
        <v>434</v>
      </c>
      <c r="O51" s="185"/>
      <c r="Q51" s="182"/>
      <c r="R51" s="182"/>
      <c r="S51" s="182"/>
      <c r="T51" s="182"/>
      <c r="U51" s="182"/>
    </row>
    <row r="52" spans="3:21" s="178" customFormat="1" ht="33" hidden="1" customHeight="1">
      <c r="E52" s="264"/>
      <c r="F52" s="184"/>
      <c r="G52" s="185"/>
      <c r="H52" s="184" t="s">
        <v>435</v>
      </c>
      <c r="I52" s="185"/>
      <c r="J52" s="184" t="s">
        <v>436</v>
      </c>
      <c r="K52" s="185"/>
      <c r="L52" s="184"/>
      <c r="M52" s="185"/>
      <c r="N52" s="184"/>
      <c r="O52" s="185"/>
      <c r="Q52" s="182"/>
      <c r="R52" s="182"/>
      <c r="S52" s="182"/>
      <c r="T52" s="182"/>
      <c r="U52" s="182"/>
    </row>
    <row r="53" spans="3:21" s="178" customFormat="1" ht="82.5" hidden="1" customHeight="1">
      <c r="E53" s="264" t="s">
        <v>437</v>
      </c>
      <c r="F53" s="184" t="s">
        <v>438</v>
      </c>
      <c r="G53" s="185"/>
      <c r="H53" s="184" t="s">
        <v>439</v>
      </c>
      <c r="I53" s="185"/>
      <c r="J53" s="184" t="s">
        <v>440</v>
      </c>
      <c r="K53" s="185"/>
      <c r="L53" s="184" t="s">
        <v>441</v>
      </c>
      <c r="M53" s="185"/>
      <c r="N53" s="184" t="s">
        <v>442</v>
      </c>
      <c r="O53" s="185"/>
      <c r="Q53" s="182"/>
      <c r="R53" s="182"/>
      <c r="S53" s="182"/>
      <c r="T53" s="182"/>
      <c r="U53" s="182"/>
    </row>
    <row r="54" spans="3:21" s="178" customFormat="1" ht="33" hidden="1" customHeight="1">
      <c r="E54" s="264"/>
      <c r="F54" s="184" t="s">
        <v>443</v>
      </c>
      <c r="G54" s="185"/>
      <c r="H54" s="184"/>
      <c r="I54" s="185"/>
      <c r="J54" s="184"/>
      <c r="K54" s="185"/>
      <c r="L54" s="184" t="s">
        <v>444</v>
      </c>
      <c r="M54" s="185"/>
      <c r="N54" s="184"/>
      <c r="O54" s="185"/>
      <c r="Q54" s="182"/>
      <c r="R54" s="182"/>
      <c r="S54" s="182"/>
      <c r="T54" s="182"/>
      <c r="U54" s="182"/>
    </row>
    <row r="55" spans="3:21" s="178" customFormat="1" ht="49.5" hidden="1" customHeight="1">
      <c r="E55" s="264" t="s">
        <v>445</v>
      </c>
      <c r="F55" s="186"/>
      <c r="G55" s="183"/>
      <c r="H55" s="184" t="s">
        <v>446</v>
      </c>
      <c r="I55" s="185"/>
      <c r="J55" s="184"/>
      <c r="K55" s="185"/>
      <c r="L55" s="184"/>
      <c r="M55" s="185"/>
      <c r="N55" s="184"/>
      <c r="O55" s="185"/>
      <c r="Q55" s="182"/>
      <c r="R55" s="182"/>
      <c r="S55" s="182"/>
      <c r="T55" s="182"/>
      <c r="U55" s="182"/>
    </row>
    <row r="56" spans="3:21" s="178" customFormat="1" ht="49.5" hidden="1" customHeight="1">
      <c r="E56" s="264"/>
      <c r="F56" s="184"/>
      <c r="G56" s="185"/>
      <c r="H56" s="184"/>
      <c r="I56" s="185"/>
      <c r="J56" s="184" t="s">
        <v>447</v>
      </c>
      <c r="K56" s="185"/>
      <c r="L56" s="186"/>
      <c r="M56" s="183"/>
      <c r="N56" s="184" t="s">
        <v>448</v>
      </c>
      <c r="O56" s="185"/>
      <c r="Q56" s="182"/>
      <c r="R56" s="182"/>
      <c r="S56" s="182"/>
      <c r="T56" s="182"/>
      <c r="U56" s="182"/>
    </row>
    <row r="57" spans="3:21" s="178" customFormat="1" ht="49.5" hidden="1" customHeight="1">
      <c r="E57" s="264" t="s">
        <v>449</v>
      </c>
      <c r="F57" s="184" t="s">
        <v>450</v>
      </c>
      <c r="G57" s="185"/>
      <c r="H57" s="184" t="s">
        <v>451</v>
      </c>
      <c r="I57" s="185"/>
      <c r="J57" s="184" t="s">
        <v>452</v>
      </c>
      <c r="K57" s="185"/>
      <c r="L57" s="184" t="s">
        <v>453</v>
      </c>
      <c r="M57" s="185"/>
      <c r="N57" s="184" t="s">
        <v>454</v>
      </c>
      <c r="O57" s="185"/>
      <c r="Q57" s="182"/>
      <c r="R57" s="182"/>
      <c r="S57" s="182"/>
      <c r="T57" s="182"/>
      <c r="U57" s="182"/>
    </row>
    <row r="58" spans="3:21" ht="33" hidden="1" customHeight="1">
      <c r="E58" s="258"/>
      <c r="F58" s="187" t="s">
        <v>455</v>
      </c>
      <c r="G58" s="188"/>
      <c r="H58" s="187" t="s">
        <v>456</v>
      </c>
      <c r="I58" s="188"/>
      <c r="J58" s="187" t="s">
        <v>457</v>
      </c>
      <c r="K58" s="188"/>
      <c r="L58" s="187"/>
      <c r="M58" s="188"/>
      <c r="N58" s="187"/>
      <c r="O58" s="188"/>
    </row>
    <row r="59" spans="3:21" ht="49.5" hidden="1" customHeight="1">
      <c r="E59" s="258" t="s">
        <v>458</v>
      </c>
      <c r="F59" s="189" t="s">
        <v>459</v>
      </c>
      <c r="G59" s="190"/>
      <c r="H59" s="189" t="s">
        <v>460</v>
      </c>
      <c r="I59" s="190"/>
      <c r="J59" s="189" t="s">
        <v>461</v>
      </c>
      <c r="K59" s="190"/>
      <c r="L59" s="189" t="s">
        <v>462</v>
      </c>
      <c r="M59" s="190"/>
      <c r="N59" s="189" t="s">
        <v>463</v>
      </c>
      <c r="O59" s="190"/>
    </row>
    <row r="60" spans="3:21" ht="66" hidden="1" customHeight="1">
      <c r="E60" s="258"/>
      <c r="F60" s="189"/>
      <c r="G60" s="190"/>
      <c r="H60" s="189"/>
      <c r="I60" s="190"/>
      <c r="J60" s="189" t="s">
        <v>464</v>
      </c>
      <c r="K60" s="190"/>
      <c r="L60" s="189"/>
      <c r="M60" s="190"/>
      <c r="N60" s="189"/>
      <c r="O60" s="190"/>
    </row>
    <row r="61" spans="3:21">
      <c r="E61" s="258"/>
      <c r="F61" s="158"/>
      <c r="G61" s="164"/>
      <c r="H61" s="158"/>
      <c r="I61" s="164"/>
      <c r="J61" s="158"/>
      <c r="K61" s="164"/>
      <c r="L61" s="158"/>
      <c r="M61" s="164"/>
      <c r="N61" s="158"/>
      <c r="O61" s="164"/>
    </row>
  </sheetData>
  <mergeCells count="26">
    <mergeCell ref="C16:C19"/>
    <mergeCell ref="C20:C24"/>
    <mergeCell ref="C25:C27"/>
    <mergeCell ref="C28:C44"/>
    <mergeCell ref="H13:K13"/>
    <mergeCell ref="L13:M13"/>
    <mergeCell ref="P20:P24"/>
    <mergeCell ref="P16:P19"/>
    <mergeCell ref="P28:P44"/>
    <mergeCell ref="P25:P27"/>
    <mergeCell ref="C3:L6"/>
    <mergeCell ref="X13:X15"/>
    <mergeCell ref="Y13:Y15"/>
    <mergeCell ref="W13:W15"/>
    <mergeCell ref="Q13:Q15"/>
    <mergeCell ref="R13:V13"/>
    <mergeCell ref="N13:O13"/>
    <mergeCell ref="G14:G15"/>
    <mergeCell ref="I14:I15"/>
    <mergeCell ref="K14:K15"/>
    <mergeCell ref="M14:M15"/>
    <mergeCell ref="O14:O15"/>
    <mergeCell ref="F13:G13"/>
    <mergeCell ref="C13:C15"/>
    <mergeCell ref="D13:D15"/>
    <mergeCell ref="E13:E15"/>
  </mergeCells>
  <phoneticPr fontId="6"/>
  <conditionalFormatting sqref="G16:G47 I16:I47 K16:K47 M16:M47 O16:O47">
    <cfRule type="containsText" dxfId="14" priority="10" operator="containsText" text="No">
      <formula>NOT(ISERROR(SEARCH("No",G16)))</formula>
    </cfRule>
  </conditionalFormatting>
  <pageMargins left="0.25" right="0.25" top="0.75" bottom="0.75" header="0.3" footer="0.3"/>
  <pageSetup paperSize="8" scale="4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0391-FF53-4F3E-9A43-4734E6A5F3A5}">
  <sheetPr>
    <tabColor theme="9" tint="0.59999389629810485"/>
  </sheetPr>
  <dimension ref="B2:AA59"/>
  <sheetViews>
    <sheetView view="pageBreakPreview" topLeftCell="A6" zoomScale="82" zoomScaleNormal="62" zoomScaleSheetLayoutView="82" workbookViewId="0">
      <selection activeCell="C15" sqref="C15:C18"/>
    </sheetView>
  </sheetViews>
  <sheetFormatPr defaultColWidth="8.81640625" defaultRowHeight="14.5"/>
  <cols>
    <col min="1" max="1" width="1.7265625" customWidth="1"/>
    <col min="3" max="3" width="20.26953125" customWidth="1"/>
    <col min="4" max="4" width="21.1796875" customWidth="1"/>
    <col min="5" max="5" width="19.1796875" customWidth="1"/>
    <col min="6" max="6" width="7.453125" customWidth="1"/>
    <col min="7" max="7" width="16.1796875" style="45" customWidth="1"/>
    <col min="8" max="8" width="39.7265625" customWidth="1"/>
    <col min="9" max="9" width="10.1796875" style="22" customWidth="1"/>
    <col min="10" max="10" width="39.7265625" customWidth="1"/>
    <col min="11" max="11" width="10.1796875" style="22" customWidth="1"/>
    <col min="12" max="12" width="39.7265625" customWidth="1"/>
    <col min="13" max="13" width="10.1796875" style="22" customWidth="1"/>
    <col min="14" max="14" width="39.7265625" customWidth="1"/>
    <col min="15" max="15" width="10.1796875" style="22" customWidth="1"/>
    <col min="16" max="16" width="39.7265625" customWidth="1"/>
    <col min="17" max="17" width="10.1796875" style="22" customWidth="1"/>
    <col min="18" max="18" width="8.81640625" hidden="1" customWidth="1"/>
    <col min="19" max="28" width="0" hidden="1" customWidth="1"/>
  </cols>
  <sheetData>
    <row r="2" spans="2:27" ht="16.5">
      <c r="B2" s="1" t="s">
        <v>477</v>
      </c>
      <c r="C2" s="2"/>
      <c r="D2" s="2"/>
      <c r="E2" s="2"/>
      <c r="F2" s="540" t="s">
        <v>478</v>
      </c>
      <c r="G2" s="540"/>
      <c r="H2" s="540"/>
      <c r="I2" s="540"/>
      <c r="J2" s="540"/>
      <c r="K2" s="540"/>
      <c r="L2" s="540"/>
      <c r="M2" s="540"/>
      <c r="N2" s="540"/>
      <c r="O2" s="540"/>
      <c r="P2" s="3"/>
      <c r="Q2" s="30"/>
      <c r="R2" s="2"/>
    </row>
    <row r="3" spans="2:27" ht="16.5">
      <c r="B3" s="4"/>
      <c r="C3" s="2" t="s">
        <v>479</v>
      </c>
      <c r="D3" s="2"/>
      <c r="E3" s="2"/>
      <c r="F3" s="540"/>
      <c r="G3" s="540"/>
      <c r="H3" s="540"/>
      <c r="I3" s="540"/>
      <c r="J3" s="540"/>
      <c r="K3" s="540"/>
      <c r="L3" s="540"/>
      <c r="M3" s="540"/>
      <c r="N3" s="540"/>
      <c r="O3" s="540"/>
      <c r="P3" s="28"/>
      <c r="Q3" s="30"/>
      <c r="R3" s="2"/>
    </row>
    <row r="4" spans="2:27" ht="16.5">
      <c r="B4" s="5"/>
      <c r="C4" s="2" t="s">
        <v>480</v>
      </c>
      <c r="D4" s="2"/>
      <c r="E4" s="2"/>
      <c r="F4" s="540"/>
      <c r="G4" s="540"/>
      <c r="H4" s="540"/>
      <c r="I4" s="540"/>
      <c r="J4" s="540"/>
      <c r="K4" s="540"/>
      <c r="L4" s="540"/>
      <c r="M4" s="540"/>
      <c r="N4" s="540"/>
      <c r="O4" s="540"/>
      <c r="P4" s="3"/>
      <c r="Q4" s="30"/>
      <c r="R4" s="2"/>
    </row>
    <row r="5" spans="2:27" ht="16.5">
      <c r="G5" s="28"/>
      <c r="H5" s="26"/>
      <c r="I5" s="30"/>
    </row>
    <row r="6" spans="2:27" ht="16.5">
      <c r="B6" s="1" t="s">
        <v>481</v>
      </c>
      <c r="C6" s="2"/>
      <c r="D6" s="2"/>
      <c r="E6" s="2"/>
      <c r="F6" s="2"/>
      <c r="G6" s="30"/>
      <c r="H6" s="3"/>
      <c r="I6" s="30"/>
      <c r="J6" s="3"/>
      <c r="K6" s="30"/>
      <c r="L6" s="3"/>
      <c r="M6" s="30"/>
      <c r="N6" s="3"/>
      <c r="O6" s="30"/>
      <c r="P6" s="3"/>
      <c r="Q6" s="30"/>
      <c r="R6" s="2"/>
    </row>
    <row r="7" spans="2:27" ht="16.5">
      <c r="B7" s="2"/>
      <c r="C7" s="2" t="s">
        <v>204</v>
      </c>
      <c r="D7" s="2"/>
      <c r="E7" s="2"/>
      <c r="F7" s="2"/>
      <c r="G7" s="30"/>
      <c r="H7" s="3"/>
      <c r="I7" s="30"/>
      <c r="J7" s="3"/>
      <c r="K7" s="30"/>
      <c r="L7" s="3"/>
      <c r="M7" s="30"/>
      <c r="N7" s="3"/>
      <c r="O7" s="30"/>
      <c r="P7" s="3"/>
      <c r="Q7" s="30"/>
      <c r="R7" s="2"/>
    </row>
    <row r="8" spans="2:27" ht="16.5">
      <c r="B8" s="2"/>
      <c r="C8" s="2" t="s">
        <v>205</v>
      </c>
      <c r="D8" s="2"/>
      <c r="E8" s="2"/>
      <c r="F8" s="2"/>
      <c r="G8" s="30"/>
      <c r="H8" s="3"/>
      <c r="I8" s="30"/>
      <c r="J8" s="3"/>
      <c r="K8" s="30"/>
      <c r="L8" s="3"/>
      <c r="M8" s="30"/>
      <c r="N8" s="3"/>
      <c r="O8" s="30"/>
      <c r="P8" s="3"/>
      <c r="Q8" s="30"/>
      <c r="R8" s="2"/>
    </row>
    <row r="9" spans="2:27" ht="16.5">
      <c r="B9" s="2"/>
      <c r="C9" s="2" t="s">
        <v>206</v>
      </c>
      <c r="D9" s="2"/>
      <c r="H9" s="3"/>
      <c r="I9" s="30"/>
      <c r="J9" s="3"/>
      <c r="K9" s="30"/>
      <c r="L9" s="3"/>
      <c r="M9" s="30"/>
      <c r="N9" s="3"/>
      <c r="O9" s="30"/>
      <c r="P9" s="28"/>
      <c r="Q9" s="30"/>
      <c r="R9" s="2"/>
    </row>
    <row r="10" spans="2:27" ht="16.5">
      <c r="B10" s="2"/>
      <c r="C10" s="2" t="s">
        <v>207</v>
      </c>
      <c r="D10" s="27"/>
      <c r="H10" s="3"/>
      <c r="I10" s="30"/>
      <c r="J10" s="3"/>
      <c r="K10" s="30"/>
      <c r="L10" s="3"/>
      <c r="M10" s="30"/>
      <c r="N10" s="3"/>
      <c r="O10" s="30"/>
      <c r="P10" s="49"/>
      <c r="Q10" s="30"/>
      <c r="R10" s="2"/>
    </row>
    <row r="11" spans="2:27" ht="16.5">
      <c r="B11" s="2"/>
      <c r="C11" s="2"/>
      <c r="D11" s="2"/>
      <c r="E11" s="7"/>
      <c r="F11" s="7"/>
      <c r="G11" s="3"/>
      <c r="H11" s="3"/>
      <c r="I11" s="30"/>
      <c r="J11" s="3"/>
      <c r="K11" s="30"/>
      <c r="L11" s="3"/>
      <c r="M11" s="30"/>
      <c r="N11" s="3"/>
      <c r="O11" s="30"/>
      <c r="P11" s="49"/>
      <c r="Q11" s="30"/>
      <c r="R11" s="2"/>
    </row>
    <row r="12" spans="2:27" ht="18" customHeight="1">
      <c r="B12" s="2"/>
      <c r="C12" s="541" t="s">
        <v>40</v>
      </c>
      <c r="D12" s="544" t="s">
        <v>41</v>
      </c>
      <c r="E12" s="544" t="s">
        <v>42</v>
      </c>
      <c r="F12" s="547" t="s">
        <v>482</v>
      </c>
      <c r="G12" s="547" t="s">
        <v>483</v>
      </c>
      <c r="H12" s="550" t="s">
        <v>484</v>
      </c>
      <c r="I12" s="550"/>
      <c r="J12" s="550" t="s">
        <v>485</v>
      </c>
      <c r="K12" s="550"/>
      <c r="L12" s="550"/>
      <c r="M12" s="550"/>
      <c r="N12" s="550" t="s">
        <v>486</v>
      </c>
      <c r="O12" s="550"/>
      <c r="P12" s="550" t="s">
        <v>487</v>
      </c>
      <c r="Q12" s="550"/>
      <c r="R12" s="2"/>
      <c r="S12" s="550" t="s">
        <v>215</v>
      </c>
      <c r="T12" s="553" t="s">
        <v>488</v>
      </c>
      <c r="U12" s="553"/>
      <c r="V12" s="553"/>
      <c r="W12" s="553"/>
      <c r="X12" s="553"/>
      <c r="Y12" s="554" t="s">
        <v>217</v>
      </c>
      <c r="Z12" s="554" t="s">
        <v>218</v>
      </c>
      <c r="AA12" s="554" t="s">
        <v>219</v>
      </c>
    </row>
    <row r="13" spans="2:27" ht="16.5">
      <c r="B13" s="2"/>
      <c r="C13" s="542"/>
      <c r="D13" s="545"/>
      <c r="E13" s="545"/>
      <c r="F13" s="548"/>
      <c r="G13" s="548"/>
      <c r="H13" s="61">
        <v>1</v>
      </c>
      <c r="I13" s="551" t="s">
        <v>489</v>
      </c>
      <c r="J13" s="59">
        <v>2</v>
      </c>
      <c r="K13" s="551" t="s">
        <v>489</v>
      </c>
      <c r="L13" s="59">
        <v>3</v>
      </c>
      <c r="M13" s="551" t="s">
        <v>489</v>
      </c>
      <c r="N13" s="59">
        <v>4</v>
      </c>
      <c r="O13" s="551" t="s">
        <v>489</v>
      </c>
      <c r="P13" s="59">
        <v>5</v>
      </c>
      <c r="Q13" s="551" t="s">
        <v>489</v>
      </c>
      <c r="R13" s="2"/>
      <c r="S13" s="550"/>
      <c r="T13" s="23">
        <v>1</v>
      </c>
      <c r="U13" s="23">
        <v>2</v>
      </c>
      <c r="V13" s="23">
        <v>3</v>
      </c>
      <c r="W13" s="23">
        <v>4</v>
      </c>
      <c r="X13" s="23">
        <v>5</v>
      </c>
      <c r="Y13" s="554"/>
      <c r="Z13" s="554"/>
      <c r="AA13" s="554"/>
    </row>
    <row r="14" spans="2:27" ht="17" thickBot="1">
      <c r="B14" s="2"/>
      <c r="C14" s="543"/>
      <c r="D14" s="546"/>
      <c r="E14" s="546"/>
      <c r="F14" s="549"/>
      <c r="G14" s="549"/>
      <c r="H14" s="8" t="s">
        <v>226</v>
      </c>
      <c r="I14" s="552"/>
      <c r="J14" s="8" t="s">
        <v>227</v>
      </c>
      <c r="K14" s="552"/>
      <c r="L14" s="8" t="s">
        <v>228</v>
      </c>
      <c r="M14" s="552"/>
      <c r="N14" s="8" t="s">
        <v>229</v>
      </c>
      <c r="O14" s="552"/>
      <c r="P14" s="8" t="s">
        <v>230</v>
      </c>
      <c r="Q14" s="552"/>
      <c r="R14" s="2"/>
      <c r="S14" s="550"/>
      <c r="T14" s="23" t="s">
        <v>226</v>
      </c>
      <c r="U14" s="23" t="s">
        <v>227</v>
      </c>
      <c r="V14" s="23" t="s">
        <v>228</v>
      </c>
      <c r="W14" s="23" t="s">
        <v>229</v>
      </c>
      <c r="X14" s="23" t="s">
        <v>230</v>
      </c>
      <c r="Y14" s="554"/>
      <c r="Z14" s="554"/>
      <c r="AA14" s="554"/>
    </row>
    <row r="15" spans="2:27" ht="115.5">
      <c r="B15" s="2"/>
      <c r="C15" s="555" t="s">
        <v>231</v>
      </c>
      <c r="D15" s="555" t="s">
        <v>490</v>
      </c>
      <c r="E15" s="555" t="s">
        <v>56</v>
      </c>
      <c r="F15" s="51" t="s">
        <v>491</v>
      </c>
      <c r="G15" s="80" t="s">
        <v>57</v>
      </c>
      <c r="H15" s="81" t="s">
        <v>492</v>
      </c>
      <c r="I15" s="24"/>
      <c r="J15" s="9" t="s">
        <v>493</v>
      </c>
      <c r="K15" s="24"/>
      <c r="L15" s="9" t="s">
        <v>494</v>
      </c>
      <c r="M15" s="24"/>
      <c r="N15" s="9" t="s">
        <v>495</v>
      </c>
      <c r="O15" s="24"/>
      <c r="P15" s="9" t="s">
        <v>496</v>
      </c>
      <c r="Q15" s="24"/>
      <c r="R15" s="2"/>
      <c r="S15" s="34" t="s">
        <v>497</v>
      </c>
      <c r="T15" s="33">
        <f t="shared" ref="T15:T34" si="0">I15</f>
        <v>0</v>
      </c>
      <c r="U15" s="33">
        <f t="shared" ref="U15:U23" si="1">K15</f>
        <v>0</v>
      </c>
      <c r="V15" s="33">
        <f t="shared" ref="V15:V34" si="2">M15</f>
        <v>0</v>
      </c>
      <c r="W15" s="33">
        <f t="shared" ref="W15:W33" si="3">O15</f>
        <v>0</v>
      </c>
      <c r="X15" s="33">
        <f t="shared" ref="X15:X33" si="4">Q15</f>
        <v>0</v>
      </c>
      <c r="Y15" s="60">
        <f>IF(T15="No",1,IF(U15="No",1,IF(V15="No",2,IF(W15="No",3,IF(X15="No",4,5)))))</f>
        <v>5</v>
      </c>
      <c r="Z15" s="60" t="str">
        <f>IF(Y15&lt;2,"C",IF(Y15&lt;3,"B-",IF(Y15&lt;4,"B",IF(Y15&lt;5,"B+",IF(Y15=5,"A","")))))</f>
        <v>A</v>
      </c>
      <c r="AA15" s="66" t="s">
        <v>239</v>
      </c>
    </row>
    <row r="16" spans="2:27" ht="132">
      <c r="B16" s="2"/>
      <c r="C16" s="548"/>
      <c r="D16" s="548"/>
      <c r="E16" s="548"/>
      <c r="F16" s="51" t="s">
        <v>491</v>
      </c>
      <c r="G16" s="59" t="s">
        <v>64</v>
      </c>
      <c r="H16" s="82" t="s">
        <v>498</v>
      </c>
      <c r="I16" s="59"/>
      <c r="J16" s="9" t="s">
        <v>499</v>
      </c>
      <c r="K16" s="24"/>
      <c r="L16" s="9" t="s">
        <v>500</v>
      </c>
      <c r="M16" s="59"/>
      <c r="N16" s="9" t="s">
        <v>501</v>
      </c>
      <c r="O16" s="24"/>
      <c r="P16" s="9" t="s">
        <v>502</v>
      </c>
      <c r="Q16" s="59"/>
      <c r="R16" s="2"/>
      <c r="S16" s="34" t="s">
        <v>497</v>
      </c>
      <c r="T16" s="33">
        <f t="shared" si="0"/>
        <v>0</v>
      </c>
      <c r="U16" s="33">
        <f t="shared" si="1"/>
        <v>0</v>
      </c>
      <c r="V16" s="33">
        <f t="shared" si="2"/>
        <v>0</v>
      </c>
      <c r="W16" s="33">
        <f t="shared" si="3"/>
        <v>0</v>
      </c>
      <c r="X16" s="33">
        <f t="shared" si="4"/>
        <v>0</v>
      </c>
      <c r="Y16" s="60">
        <f t="shared" ref="Y16:Y40" si="5">IF(T16="No",1,IF(U16="No",1,IF(V16="No",2,IF(W16="No",3,IF(X16="No",4,5)))))</f>
        <v>5</v>
      </c>
      <c r="Z16" s="60" t="str">
        <f t="shared" ref="Z16:Z40" si="6">IF(Y16&lt;2,"C",IF(Y16&lt;3,"B-",IF(Y16&lt;4,"B",IF(Y16&lt;5,"B+",IF(Y16=5,"A","")))))</f>
        <v>A</v>
      </c>
      <c r="AA16" s="66" t="s">
        <v>245</v>
      </c>
    </row>
    <row r="17" spans="3:27" ht="198">
      <c r="C17" s="548"/>
      <c r="D17" s="548"/>
      <c r="E17" s="548"/>
      <c r="F17" s="51" t="s">
        <v>491</v>
      </c>
      <c r="G17" s="12" t="s">
        <v>503</v>
      </c>
      <c r="H17" s="11" t="s">
        <v>504</v>
      </c>
      <c r="I17" s="12"/>
      <c r="J17" s="11" t="s">
        <v>505</v>
      </c>
      <c r="K17" s="12"/>
      <c r="L17" s="11" t="s">
        <v>506</v>
      </c>
      <c r="M17" s="12"/>
      <c r="N17" s="11" t="s">
        <v>507</v>
      </c>
      <c r="O17" s="12"/>
      <c r="P17" s="11" t="s">
        <v>508</v>
      </c>
      <c r="Q17" s="12"/>
      <c r="S17" s="34" t="s">
        <v>497</v>
      </c>
      <c r="T17" s="33">
        <f t="shared" si="0"/>
        <v>0</v>
      </c>
      <c r="U17" s="33">
        <f t="shared" si="1"/>
        <v>0</v>
      </c>
      <c r="V17" s="33">
        <f t="shared" si="2"/>
        <v>0</v>
      </c>
      <c r="W17" s="33">
        <f t="shared" si="3"/>
        <v>0</v>
      </c>
      <c r="X17" s="33">
        <f t="shared" si="4"/>
        <v>0</v>
      </c>
      <c r="Y17" s="60">
        <f t="shared" si="5"/>
        <v>5</v>
      </c>
      <c r="Z17" s="60" t="str">
        <f t="shared" si="6"/>
        <v>A</v>
      </c>
      <c r="AA17" s="66" t="s">
        <v>239</v>
      </c>
    </row>
    <row r="18" spans="3:27" ht="99">
      <c r="C18" s="548"/>
      <c r="D18" s="548"/>
      <c r="E18" s="548"/>
      <c r="F18" s="51" t="s">
        <v>491</v>
      </c>
      <c r="G18" s="12" t="s">
        <v>509</v>
      </c>
      <c r="H18" s="13" t="s">
        <v>510</v>
      </c>
      <c r="I18" s="12"/>
      <c r="J18" s="13" t="s">
        <v>511</v>
      </c>
      <c r="K18" s="12"/>
      <c r="L18" s="13" t="s">
        <v>512</v>
      </c>
      <c r="M18" s="12"/>
      <c r="N18" s="13" t="s">
        <v>513</v>
      </c>
      <c r="O18" s="12"/>
      <c r="P18" s="13" t="s">
        <v>514</v>
      </c>
      <c r="Q18" s="12"/>
      <c r="S18" s="34" t="s">
        <v>497</v>
      </c>
      <c r="T18" s="33">
        <f t="shared" si="0"/>
        <v>0</v>
      </c>
      <c r="U18" s="33">
        <f t="shared" si="1"/>
        <v>0</v>
      </c>
      <c r="V18" s="33">
        <f t="shared" si="2"/>
        <v>0</v>
      </c>
      <c r="W18" s="33">
        <f t="shared" si="3"/>
        <v>0</v>
      </c>
      <c r="X18" s="33">
        <f t="shared" si="4"/>
        <v>0</v>
      </c>
      <c r="Y18" s="60">
        <f t="shared" si="5"/>
        <v>5</v>
      </c>
      <c r="Z18" s="60" t="str">
        <f t="shared" si="6"/>
        <v>A</v>
      </c>
      <c r="AA18" s="66" t="s">
        <v>245</v>
      </c>
    </row>
    <row r="19" spans="3:27" ht="99">
      <c r="C19" s="547" t="s">
        <v>78</v>
      </c>
      <c r="D19" s="547" t="s">
        <v>515</v>
      </c>
      <c r="E19" s="547" t="s">
        <v>139</v>
      </c>
      <c r="F19" s="51" t="s">
        <v>491</v>
      </c>
      <c r="G19" s="59" t="s">
        <v>80</v>
      </c>
      <c r="H19" s="9" t="s">
        <v>516</v>
      </c>
      <c r="I19" s="59"/>
      <c r="J19" s="9" t="s">
        <v>517</v>
      </c>
      <c r="K19" s="59"/>
      <c r="L19" s="9" t="s">
        <v>518</v>
      </c>
      <c r="M19" s="59"/>
      <c r="N19" s="9" t="s">
        <v>519</v>
      </c>
      <c r="O19" s="24"/>
      <c r="P19" s="9" t="s">
        <v>520</v>
      </c>
      <c r="Q19" s="59"/>
      <c r="S19" s="34" t="s">
        <v>497</v>
      </c>
      <c r="T19" s="33">
        <f t="shared" si="0"/>
        <v>0</v>
      </c>
      <c r="U19" s="33">
        <f t="shared" si="1"/>
        <v>0</v>
      </c>
      <c r="V19" s="33">
        <f t="shared" si="2"/>
        <v>0</v>
      </c>
      <c r="W19" s="33">
        <f t="shared" si="3"/>
        <v>0</v>
      </c>
      <c r="X19" s="33">
        <f t="shared" si="4"/>
        <v>0</v>
      </c>
      <c r="Y19" s="60">
        <f t="shared" si="5"/>
        <v>5</v>
      </c>
      <c r="Z19" s="60" t="str">
        <f t="shared" si="6"/>
        <v>A</v>
      </c>
      <c r="AA19" s="66" t="s">
        <v>245</v>
      </c>
    </row>
    <row r="20" spans="3:27" ht="151" customHeight="1">
      <c r="C20" s="548"/>
      <c r="D20" s="548"/>
      <c r="E20" s="548"/>
      <c r="F20" s="51" t="s">
        <v>491</v>
      </c>
      <c r="G20" s="12" t="s">
        <v>521</v>
      </c>
      <c r="H20" s="13" t="s">
        <v>522</v>
      </c>
      <c r="I20" s="12"/>
      <c r="J20" s="13" t="s">
        <v>523</v>
      </c>
      <c r="K20" s="12"/>
      <c r="L20" s="13" t="s">
        <v>524</v>
      </c>
      <c r="M20" s="12"/>
      <c r="N20" s="13" t="s">
        <v>525</v>
      </c>
      <c r="O20" s="12"/>
      <c r="P20" s="13" t="s">
        <v>526</v>
      </c>
      <c r="Q20" s="12"/>
      <c r="S20" s="34" t="s">
        <v>497</v>
      </c>
      <c r="T20" s="33">
        <f t="shared" si="0"/>
        <v>0</v>
      </c>
      <c r="U20" s="33">
        <f t="shared" si="1"/>
        <v>0</v>
      </c>
      <c r="V20" s="33">
        <f t="shared" si="2"/>
        <v>0</v>
      </c>
      <c r="W20" s="33">
        <f t="shared" si="3"/>
        <v>0</v>
      </c>
      <c r="X20" s="33">
        <f t="shared" si="4"/>
        <v>0</v>
      </c>
      <c r="Y20" s="60">
        <f t="shared" si="5"/>
        <v>5</v>
      </c>
      <c r="Z20" s="60" t="str">
        <f t="shared" si="6"/>
        <v>A</v>
      </c>
      <c r="AA20" s="66" t="s">
        <v>245</v>
      </c>
    </row>
    <row r="21" spans="3:27" ht="151" customHeight="1">
      <c r="C21" s="548"/>
      <c r="D21" s="548"/>
      <c r="E21" s="548"/>
      <c r="F21" s="51" t="s">
        <v>491</v>
      </c>
      <c r="G21" s="12" t="s">
        <v>527</v>
      </c>
      <c r="H21" s="13" t="s">
        <v>528</v>
      </c>
      <c r="I21" s="12"/>
      <c r="J21" s="13" t="s">
        <v>529</v>
      </c>
      <c r="K21" s="12"/>
      <c r="L21" s="13" t="s">
        <v>530</v>
      </c>
      <c r="M21" s="12"/>
      <c r="N21" s="13" t="s">
        <v>531</v>
      </c>
      <c r="O21" s="12"/>
      <c r="P21" s="13" t="s">
        <v>532</v>
      </c>
      <c r="Q21" s="12"/>
      <c r="S21" s="34" t="s">
        <v>497</v>
      </c>
      <c r="T21" s="33">
        <f t="shared" si="0"/>
        <v>0</v>
      </c>
      <c r="U21" s="33">
        <f t="shared" si="1"/>
        <v>0</v>
      </c>
      <c r="V21" s="33">
        <f t="shared" si="2"/>
        <v>0</v>
      </c>
      <c r="W21" s="33">
        <f t="shared" si="3"/>
        <v>0</v>
      </c>
      <c r="X21" s="33">
        <f t="shared" si="4"/>
        <v>0</v>
      </c>
      <c r="Y21" s="60">
        <f t="shared" si="5"/>
        <v>5</v>
      </c>
      <c r="Z21" s="60" t="str">
        <f t="shared" si="6"/>
        <v>A</v>
      </c>
      <c r="AA21" s="66" t="s">
        <v>245</v>
      </c>
    </row>
    <row r="22" spans="3:27" ht="115.5">
      <c r="C22" s="548"/>
      <c r="D22" s="548"/>
      <c r="E22" s="548"/>
      <c r="F22" s="51" t="s">
        <v>491</v>
      </c>
      <c r="G22" s="48" t="s">
        <v>93</v>
      </c>
      <c r="H22" s="13" t="s">
        <v>533</v>
      </c>
      <c r="I22" s="12"/>
      <c r="J22" s="13" t="s">
        <v>534</v>
      </c>
      <c r="K22" s="12"/>
      <c r="L22" s="55" t="s">
        <v>535</v>
      </c>
      <c r="M22" s="12"/>
      <c r="N22" s="55" t="s">
        <v>536</v>
      </c>
      <c r="O22" s="47"/>
      <c r="P22" s="13" t="s">
        <v>537</v>
      </c>
      <c r="Q22" s="12"/>
      <c r="S22" s="34" t="s">
        <v>497</v>
      </c>
      <c r="T22" s="33">
        <f t="shared" si="0"/>
        <v>0</v>
      </c>
      <c r="U22" s="33">
        <f t="shared" si="1"/>
        <v>0</v>
      </c>
      <c r="V22" s="33">
        <f t="shared" si="2"/>
        <v>0</v>
      </c>
      <c r="W22" s="33">
        <f t="shared" si="3"/>
        <v>0</v>
      </c>
      <c r="X22" s="33">
        <f t="shared" si="4"/>
        <v>0</v>
      </c>
      <c r="Y22" s="60">
        <f t="shared" si="5"/>
        <v>5</v>
      </c>
      <c r="Z22" s="60" t="str">
        <f t="shared" si="6"/>
        <v>A</v>
      </c>
      <c r="AA22" s="66" t="s">
        <v>320</v>
      </c>
    </row>
    <row r="23" spans="3:27" ht="82.5">
      <c r="C23" s="556"/>
      <c r="D23" s="556"/>
      <c r="E23" s="556"/>
      <c r="F23" s="51" t="s">
        <v>491</v>
      </c>
      <c r="G23" s="47" t="s">
        <v>98</v>
      </c>
      <c r="H23" s="83" t="s">
        <v>538</v>
      </c>
      <c r="I23" s="53"/>
      <c r="J23" s="55" t="s">
        <v>539</v>
      </c>
      <c r="K23" s="53"/>
      <c r="L23" s="55" t="s">
        <v>540</v>
      </c>
      <c r="M23" s="53"/>
      <c r="N23" s="55" t="s">
        <v>541</v>
      </c>
      <c r="O23" s="53"/>
      <c r="P23" s="55" t="s">
        <v>542</v>
      </c>
      <c r="Q23" s="53"/>
      <c r="S23" s="34" t="s">
        <v>497</v>
      </c>
      <c r="T23" s="33">
        <f t="shared" si="0"/>
        <v>0</v>
      </c>
      <c r="U23" s="33">
        <f t="shared" si="1"/>
        <v>0</v>
      </c>
      <c r="V23" s="33">
        <f t="shared" si="2"/>
        <v>0</v>
      </c>
      <c r="W23" s="33">
        <f t="shared" si="3"/>
        <v>0</v>
      </c>
      <c r="X23" s="33">
        <f t="shared" si="4"/>
        <v>0</v>
      </c>
      <c r="Y23" s="60">
        <f t="shared" si="5"/>
        <v>5</v>
      </c>
      <c r="Z23" s="60" t="str">
        <f t="shared" si="6"/>
        <v>A</v>
      </c>
      <c r="AA23" s="66" t="s">
        <v>320</v>
      </c>
    </row>
    <row r="24" spans="3:27" ht="66">
      <c r="C24" s="547" t="s">
        <v>101</v>
      </c>
      <c r="D24" s="547" t="s">
        <v>543</v>
      </c>
      <c r="E24" s="547" t="s">
        <v>103</v>
      </c>
      <c r="F24" s="51" t="s">
        <v>491</v>
      </c>
      <c r="G24" s="59" t="s">
        <v>290</v>
      </c>
      <c r="H24" s="14" t="s">
        <v>544</v>
      </c>
      <c r="I24" s="29"/>
      <c r="J24" s="15" t="s">
        <v>545</v>
      </c>
      <c r="K24" s="29"/>
      <c r="L24" s="15" t="s">
        <v>546</v>
      </c>
      <c r="M24" s="29"/>
      <c r="N24" s="15" t="s">
        <v>547</v>
      </c>
      <c r="O24" s="29"/>
      <c r="P24" s="15" t="s">
        <v>548</v>
      </c>
      <c r="Q24" s="59"/>
      <c r="S24" s="34" t="s">
        <v>497</v>
      </c>
      <c r="T24" s="33">
        <f t="shared" si="0"/>
        <v>0</v>
      </c>
      <c r="U24" s="33">
        <f t="shared" ref="U24:U40" si="7">K24</f>
        <v>0</v>
      </c>
      <c r="V24" s="33">
        <f t="shared" si="2"/>
        <v>0</v>
      </c>
      <c r="W24" s="33">
        <f t="shared" si="3"/>
        <v>0</v>
      </c>
      <c r="X24" s="33">
        <f t="shared" si="4"/>
        <v>0</v>
      </c>
      <c r="Y24" s="60">
        <f t="shared" si="5"/>
        <v>5</v>
      </c>
      <c r="Z24" s="60" t="str">
        <f t="shared" si="6"/>
        <v>A</v>
      </c>
      <c r="AA24" s="66" t="s">
        <v>239</v>
      </c>
    </row>
    <row r="25" spans="3:27" ht="165">
      <c r="C25" s="548"/>
      <c r="D25" s="548"/>
      <c r="E25" s="548"/>
      <c r="F25" s="51" t="s">
        <v>491</v>
      </c>
      <c r="G25" s="79" t="s">
        <v>296</v>
      </c>
      <c r="H25" s="14" t="s">
        <v>549</v>
      </c>
      <c r="I25" s="29"/>
      <c r="J25" s="15" t="s">
        <v>550</v>
      </c>
      <c r="K25" s="29"/>
      <c r="L25" s="15" t="s">
        <v>551</v>
      </c>
      <c r="M25" s="29"/>
      <c r="N25" s="15" t="s">
        <v>552</v>
      </c>
      <c r="O25" s="29"/>
      <c r="P25" s="15" t="s">
        <v>553</v>
      </c>
      <c r="Q25" s="29"/>
      <c r="S25" s="34" t="s">
        <v>497</v>
      </c>
      <c r="T25" s="33">
        <f t="shared" si="0"/>
        <v>0</v>
      </c>
      <c r="U25" s="33">
        <f t="shared" si="7"/>
        <v>0</v>
      </c>
      <c r="V25" s="33">
        <f t="shared" si="2"/>
        <v>0</v>
      </c>
      <c r="W25" s="33">
        <f t="shared" si="3"/>
        <v>0</v>
      </c>
      <c r="X25" s="33">
        <f t="shared" si="4"/>
        <v>0</v>
      </c>
      <c r="Y25" s="60">
        <f t="shared" si="5"/>
        <v>5</v>
      </c>
      <c r="Z25" s="60" t="str">
        <f t="shared" si="6"/>
        <v>A</v>
      </c>
      <c r="AA25" s="66" t="s">
        <v>239</v>
      </c>
    </row>
    <row r="26" spans="3:27" ht="82.5">
      <c r="C26" s="548"/>
      <c r="D26" s="548"/>
      <c r="E26" s="548"/>
      <c r="F26" s="51" t="s">
        <v>491</v>
      </c>
      <c r="G26" s="79" t="s">
        <v>114</v>
      </c>
      <c r="H26" s="15" t="s">
        <v>554</v>
      </c>
      <c r="I26" s="59"/>
      <c r="J26" s="15" t="s">
        <v>555</v>
      </c>
      <c r="K26" s="29"/>
      <c r="L26" s="15" t="s">
        <v>556</v>
      </c>
      <c r="M26" s="29"/>
      <c r="N26" s="15" t="s">
        <v>557</v>
      </c>
      <c r="O26" s="29"/>
      <c r="P26" s="15" t="s">
        <v>558</v>
      </c>
      <c r="Q26" s="29"/>
      <c r="S26" s="34" t="s">
        <v>497</v>
      </c>
      <c r="T26" s="33">
        <f t="shared" si="0"/>
        <v>0</v>
      </c>
      <c r="U26" s="33">
        <f t="shared" si="7"/>
        <v>0</v>
      </c>
      <c r="V26" s="33">
        <f t="shared" si="2"/>
        <v>0</v>
      </c>
      <c r="W26" s="33">
        <f t="shared" si="3"/>
        <v>0</v>
      </c>
      <c r="X26" s="33">
        <f t="shared" si="4"/>
        <v>0</v>
      </c>
      <c r="Y26" s="60">
        <f t="shared" si="5"/>
        <v>5</v>
      </c>
      <c r="Z26" s="60" t="str">
        <f t="shared" si="6"/>
        <v>A</v>
      </c>
      <c r="AA26" s="66" t="s">
        <v>239</v>
      </c>
    </row>
    <row r="27" spans="3:27" ht="160.5" customHeight="1">
      <c r="C27" s="547" t="s">
        <v>117</v>
      </c>
      <c r="D27" s="547" t="s">
        <v>118</v>
      </c>
      <c r="E27" s="547" t="s">
        <v>559</v>
      </c>
      <c r="F27" s="51" t="s">
        <v>491</v>
      </c>
      <c r="G27" s="53" t="s">
        <v>120</v>
      </c>
      <c r="H27" s="11" t="s">
        <v>560</v>
      </c>
      <c r="I27" s="12"/>
      <c r="J27" s="54" t="s">
        <v>561</v>
      </c>
      <c r="K27" s="12"/>
      <c r="L27" s="54" t="s">
        <v>562</v>
      </c>
      <c r="M27" s="12"/>
      <c r="N27" s="54" t="s">
        <v>563</v>
      </c>
      <c r="O27" s="12"/>
      <c r="P27" s="54" t="s">
        <v>564</v>
      </c>
      <c r="Q27" s="12"/>
      <c r="S27" s="34" t="s">
        <v>497</v>
      </c>
      <c r="T27" s="33">
        <f t="shared" si="0"/>
        <v>0</v>
      </c>
      <c r="U27" s="33">
        <f t="shared" si="7"/>
        <v>0</v>
      </c>
      <c r="V27" s="33">
        <f t="shared" si="2"/>
        <v>0</v>
      </c>
      <c r="W27" s="33">
        <f t="shared" si="3"/>
        <v>0</v>
      </c>
      <c r="X27" s="33">
        <f t="shared" si="4"/>
        <v>0</v>
      </c>
      <c r="Y27" s="60">
        <f t="shared" si="5"/>
        <v>5</v>
      </c>
      <c r="Z27" s="60" t="str">
        <f t="shared" si="6"/>
        <v>A</v>
      </c>
      <c r="AA27" s="66" t="s">
        <v>320</v>
      </c>
    </row>
    <row r="28" spans="3:27" ht="132">
      <c r="C28" s="548"/>
      <c r="D28" s="548"/>
      <c r="E28" s="548"/>
      <c r="F28" s="51" t="s">
        <v>491</v>
      </c>
      <c r="G28" s="59" t="s">
        <v>125</v>
      </c>
      <c r="H28" s="9" t="s">
        <v>565</v>
      </c>
      <c r="I28" s="24"/>
      <c r="J28" s="9" t="s">
        <v>566</v>
      </c>
      <c r="K28" s="29"/>
      <c r="L28" s="9" t="s">
        <v>567</v>
      </c>
      <c r="M28" s="24"/>
      <c r="N28" s="9" t="s">
        <v>568</v>
      </c>
      <c r="O28" s="24"/>
      <c r="P28" s="9" t="s">
        <v>569</v>
      </c>
      <c r="Q28" s="29"/>
      <c r="S28" s="34" t="s">
        <v>497</v>
      </c>
      <c r="T28" s="33">
        <f t="shared" si="0"/>
        <v>0</v>
      </c>
      <c r="U28" s="33">
        <f t="shared" si="7"/>
        <v>0</v>
      </c>
      <c r="V28" s="33">
        <f t="shared" si="2"/>
        <v>0</v>
      </c>
      <c r="W28" s="33">
        <f t="shared" si="3"/>
        <v>0</v>
      </c>
      <c r="X28" s="33">
        <f t="shared" si="4"/>
        <v>0</v>
      </c>
      <c r="Y28" s="60">
        <f t="shared" si="5"/>
        <v>5</v>
      </c>
      <c r="Z28" s="60" t="str">
        <f t="shared" si="6"/>
        <v>A</v>
      </c>
      <c r="AA28" s="66" t="s">
        <v>245</v>
      </c>
    </row>
    <row r="29" spans="3:27" ht="115.5">
      <c r="C29" s="548"/>
      <c r="D29" s="548"/>
      <c r="E29" s="548"/>
      <c r="F29" s="51" t="s">
        <v>491</v>
      </c>
      <c r="G29" s="59" t="s">
        <v>570</v>
      </c>
      <c r="H29" s="14" t="s">
        <v>571</v>
      </c>
      <c r="I29" s="29"/>
      <c r="J29" s="16" t="s">
        <v>572</v>
      </c>
      <c r="K29" s="29"/>
      <c r="L29" s="16" t="s">
        <v>573</v>
      </c>
      <c r="M29" s="29"/>
      <c r="N29" s="16" t="s">
        <v>574</v>
      </c>
      <c r="O29" s="29"/>
      <c r="P29" s="16" t="s">
        <v>575</v>
      </c>
      <c r="Q29" s="29"/>
      <c r="S29" s="34" t="s">
        <v>497</v>
      </c>
      <c r="T29" s="33">
        <f t="shared" si="0"/>
        <v>0</v>
      </c>
      <c r="U29" s="33">
        <f t="shared" si="7"/>
        <v>0</v>
      </c>
      <c r="V29" s="33">
        <f t="shared" si="2"/>
        <v>0</v>
      </c>
      <c r="W29" s="33">
        <f t="shared" si="3"/>
        <v>0</v>
      </c>
      <c r="X29" s="33">
        <f t="shared" si="4"/>
        <v>0</v>
      </c>
      <c r="Y29" s="60">
        <f t="shared" si="5"/>
        <v>5</v>
      </c>
      <c r="Z29" s="60" t="str">
        <f t="shared" si="6"/>
        <v>A</v>
      </c>
      <c r="AA29" s="66" t="s">
        <v>320</v>
      </c>
    </row>
    <row r="30" spans="3:27" ht="198">
      <c r="C30" s="548"/>
      <c r="D30" s="548"/>
      <c r="E30" s="548"/>
      <c r="F30" s="51" t="s">
        <v>491</v>
      </c>
      <c r="G30" s="12" t="s">
        <v>576</v>
      </c>
      <c r="H30" s="11" t="s">
        <v>577</v>
      </c>
      <c r="I30" s="12"/>
      <c r="J30" s="13" t="s">
        <v>578</v>
      </c>
      <c r="K30" s="12"/>
      <c r="L30" s="13" t="s">
        <v>579</v>
      </c>
      <c r="M30" s="12"/>
      <c r="N30" s="13" t="s">
        <v>580</v>
      </c>
      <c r="O30" s="12"/>
      <c r="P30" s="13" t="s">
        <v>581</v>
      </c>
      <c r="Q30" s="12"/>
      <c r="S30" s="34" t="s">
        <v>497</v>
      </c>
      <c r="T30" s="33">
        <f t="shared" si="0"/>
        <v>0</v>
      </c>
      <c r="U30" s="33">
        <f t="shared" si="7"/>
        <v>0</v>
      </c>
      <c r="V30" s="33">
        <f t="shared" si="2"/>
        <v>0</v>
      </c>
      <c r="W30" s="33">
        <f t="shared" si="3"/>
        <v>0</v>
      </c>
      <c r="X30" s="33">
        <f t="shared" si="4"/>
        <v>0</v>
      </c>
      <c r="Y30" s="60">
        <f t="shared" si="5"/>
        <v>5</v>
      </c>
      <c r="Z30" s="60" t="str">
        <f t="shared" si="6"/>
        <v>A</v>
      </c>
      <c r="AA30" s="66" t="s">
        <v>245</v>
      </c>
    </row>
    <row r="31" spans="3:27" ht="99">
      <c r="C31" s="548"/>
      <c r="D31" s="548"/>
      <c r="E31" s="548"/>
      <c r="F31" s="51" t="s">
        <v>491</v>
      </c>
      <c r="G31" s="59" t="s">
        <v>139</v>
      </c>
      <c r="H31" s="9" t="s">
        <v>582</v>
      </c>
      <c r="I31" s="24"/>
      <c r="J31" s="9" t="s">
        <v>583</v>
      </c>
      <c r="K31" s="24"/>
      <c r="L31" s="9" t="s">
        <v>584</v>
      </c>
      <c r="M31" s="24"/>
      <c r="N31" s="9" t="s">
        <v>585</v>
      </c>
      <c r="O31" s="24"/>
      <c r="P31" s="9" t="s">
        <v>496</v>
      </c>
      <c r="Q31" s="24"/>
      <c r="S31" s="34" t="s">
        <v>497</v>
      </c>
      <c r="T31" s="33">
        <f t="shared" si="0"/>
        <v>0</v>
      </c>
      <c r="U31" s="33">
        <f t="shared" si="7"/>
        <v>0</v>
      </c>
      <c r="V31" s="33">
        <f t="shared" si="2"/>
        <v>0</v>
      </c>
      <c r="W31" s="33">
        <f t="shared" si="3"/>
        <v>0</v>
      </c>
      <c r="X31" s="33">
        <f t="shared" si="4"/>
        <v>0</v>
      </c>
      <c r="Y31" s="60">
        <f t="shared" si="5"/>
        <v>5</v>
      </c>
      <c r="Z31" s="60" t="str">
        <f t="shared" si="6"/>
        <v>A</v>
      </c>
      <c r="AA31" s="66" t="s">
        <v>245</v>
      </c>
    </row>
    <row r="32" spans="3:27" ht="165">
      <c r="C32" s="548"/>
      <c r="D32" s="548"/>
      <c r="E32" s="548"/>
      <c r="F32" s="51" t="s">
        <v>491</v>
      </c>
      <c r="G32" s="79" t="s">
        <v>586</v>
      </c>
      <c r="H32" s="9" t="s">
        <v>587</v>
      </c>
      <c r="I32" s="24"/>
      <c r="J32" s="9" t="s">
        <v>588</v>
      </c>
      <c r="K32" s="59"/>
      <c r="L32" s="9" t="s">
        <v>589</v>
      </c>
      <c r="M32" s="24"/>
      <c r="N32" s="9" t="s">
        <v>590</v>
      </c>
      <c r="O32" s="59"/>
      <c r="P32" s="9" t="s">
        <v>591</v>
      </c>
      <c r="Q32" s="24"/>
      <c r="S32" s="34" t="s">
        <v>497</v>
      </c>
      <c r="T32" s="33">
        <f t="shared" si="0"/>
        <v>0</v>
      </c>
      <c r="U32" s="33">
        <f t="shared" si="7"/>
        <v>0</v>
      </c>
      <c r="V32" s="33">
        <f t="shared" si="2"/>
        <v>0</v>
      </c>
      <c r="W32" s="33">
        <f t="shared" si="3"/>
        <v>0</v>
      </c>
      <c r="X32" s="33">
        <f t="shared" si="4"/>
        <v>0</v>
      </c>
      <c r="Y32" s="60">
        <f t="shared" si="5"/>
        <v>5</v>
      </c>
      <c r="Z32" s="60" t="str">
        <f t="shared" si="6"/>
        <v>A</v>
      </c>
      <c r="AA32" s="66" t="s">
        <v>320</v>
      </c>
    </row>
    <row r="33" spans="3:27" ht="82.5">
      <c r="C33" s="548"/>
      <c r="D33" s="548"/>
      <c r="E33" s="548"/>
      <c r="F33" s="51" t="s">
        <v>491</v>
      </c>
      <c r="G33" s="53" t="s">
        <v>149</v>
      </c>
      <c r="H33" s="55" t="s">
        <v>592</v>
      </c>
      <c r="I33" s="62"/>
      <c r="J33" s="55" t="s">
        <v>593</v>
      </c>
      <c r="K33" s="53"/>
      <c r="L33" s="55" t="s">
        <v>594</v>
      </c>
      <c r="M33" s="62"/>
      <c r="N33" s="55" t="s">
        <v>595</v>
      </c>
      <c r="O33" s="53"/>
      <c r="P33" s="55" t="s">
        <v>596</v>
      </c>
      <c r="Q33" s="62"/>
      <c r="S33" s="34" t="s">
        <v>497</v>
      </c>
      <c r="T33" s="33">
        <f t="shared" si="0"/>
        <v>0</v>
      </c>
      <c r="U33" s="33">
        <f t="shared" si="7"/>
        <v>0</v>
      </c>
      <c r="V33" s="33">
        <f t="shared" si="2"/>
        <v>0</v>
      </c>
      <c r="W33" s="33">
        <f t="shared" si="3"/>
        <v>0</v>
      </c>
      <c r="X33" s="33">
        <f t="shared" si="4"/>
        <v>0</v>
      </c>
      <c r="Y33" s="60">
        <f t="shared" si="5"/>
        <v>5</v>
      </c>
      <c r="Z33" s="60" t="str">
        <f t="shared" si="6"/>
        <v>A</v>
      </c>
      <c r="AA33" s="66" t="s">
        <v>245</v>
      </c>
    </row>
    <row r="34" spans="3:27" ht="132">
      <c r="C34" s="548"/>
      <c r="D34" s="548"/>
      <c r="E34" s="547" t="s">
        <v>597</v>
      </c>
      <c r="F34" s="51" t="s">
        <v>491</v>
      </c>
      <c r="G34" s="12" t="s">
        <v>598</v>
      </c>
      <c r="H34" s="13" t="s">
        <v>599</v>
      </c>
      <c r="I34" s="12"/>
      <c r="J34" s="13" t="s">
        <v>600</v>
      </c>
      <c r="K34" s="12"/>
      <c r="L34" s="13" t="s">
        <v>601</v>
      </c>
      <c r="M34" s="12"/>
      <c r="N34" s="13" t="s">
        <v>602</v>
      </c>
      <c r="O34" s="12"/>
      <c r="P34" s="13" t="s">
        <v>603</v>
      </c>
      <c r="Q34" s="12"/>
      <c r="S34" s="34" t="s">
        <v>497</v>
      </c>
      <c r="T34" s="33">
        <f t="shared" si="0"/>
        <v>0</v>
      </c>
      <c r="U34" s="33">
        <f t="shared" si="7"/>
        <v>0</v>
      </c>
      <c r="V34" s="33">
        <f t="shared" si="2"/>
        <v>0</v>
      </c>
      <c r="W34" s="33">
        <f>O34</f>
        <v>0</v>
      </c>
      <c r="X34" s="33">
        <f>Q34</f>
        <v>0</v>
      </c>
      <c r="Y34" s="60">
        <f t="shared" si="5"/>
        <v>5</v>
      </c>
      <c r="Z34" s="60" t="str">
        <f t="shared" si="6"/>
        <v>A</v>
      </c>
      <c r="AA34" s="66" t="s">
        <v>239</v>
      </c>
    </row>
    <row r="35" spans="3:27" ht="115.5">
      <c r="C35" s="548"/>
      <c r="D35" s="548"/>
      <c r="E35" s="548"/>
      <c r="F35" s="51" t="s">
        <v>491</v>
      </c>
      <c r="G35" s="12" t="s">
        <v>604</v>
      </c>
      <c r="H35" s="13" t="s">
        <v>605</v>
      </c>
      <c r="I35" s="12"/>
      <c r="J35" s="13" t="s">
        <v>606</v>
      </c>
      <c r="K35" s="12"/>
      <c r="L35" s="13" t="s">
        <v>607</v>
      </c>
      <c r="M35" s="12"/>
      <c r="N35" s="13" t="s">
        <v>608</v>
      </c>
      <c r="O35" s="12"/>
      <c r="P35" s="13" t="s">
        <v>609</v>
      </c>
      <c r="Q35" s="12"/>
      <c r="S35" s="34" t="s">
        <v>497</v>
      </c>
      <c r="T35" s="33">
        <f t="shared" ref="T35:T40" si="8">I35</f>
        <v>0</v>
      </c>
      <c r="U35" s="33">
        <f t="shared" si="7"/>
        <v>0</v>
      </c>
      <c r="V35" s="33">
        <f>M35</f>
        <v>0</v>
      </c>
      <c r="W35" s="33">
        <f>O35</f>
        <v>0</v>
      </c>
      <c r="X35" s="33">
        <f>Q35</f>
        <v>0</v>
      </c>
      <c r="Y35" s="60">
        <f t="shared" si="5"/>
        <v>5</v>
      </c>
      <c r="Z35" s="60" t="str">
        <f t="shared" si="6"/>
        <v>A</v>
      </c>
      <c r="AA35" s="66" t="s">
        <v>239</v>
      </c>
    </row>
    <row r="36" spans="3:27" ht="99">
      <c r="C36" s="548"/>
      <c r="D36" s="548"/>
      <c r="E36" s="548"/>
      <c r="F36" s="51" t="s">
        <v>491</v>
      </c>
      <c r="G36" s="12" t="s">
        <v>610</v>
      </c>
      <c r="H36" s="13" t="s">
        <v>611</v>
      </c>
      <c r="I36" s="12"/>
      <c r="J36" s="13" t="s">
        <v>612</v>
      </c>
      <c r="K36" s="12"/>
      <c r="L36" s="13" t="s">
        <v>613</v>
      </c>
      <c r="M36" s="12"/>
      <c r="N36" s="13" t="s">
        <v>614</v>
      </c>
      <c r="O36" s="12"/>
      <c r="P36" s="13" t="s">
        <v>615</v>
      </c>
      <c r="Q36" s="12"/>
      <c r="S36" s="34" t="s">
        <v>497</v>
      </c>
      <c r="T36" s="33">
        <f t="shared" si="8"/>
        <v>0</v>
      </c>
      <c r="U36" s="33">
        <f t="shared" si="7"/>
        <v>0</v>
      </c>
      <c r="V36" s="33">
        <f>M36</f>
        <v>0</v>
      </c>
      <c r="W36" s="33">
        <f>O36</f>
        <v>0</v>
      </c>
      <c r="X36" s="33">
        <f>Q36</f>
        <v>0</v>
      </c>
      <c r="Y36" s="60">
        <f t="shared" si="5"/>
        <v>5</v>
      </c>
      <c r="Z36" s="60" t="str">
        <f t="shared" si="6"/>
        <v>A</v>
      </c>
      <c r="AA36" s="66" t="s">
        <v>239</v>
      </c>
    </row>
    <row r="37" spans="3:27" ht="132">
      <c r="C37" s="556"/>
      <c r="D37" s="556"/>
      <c r="E37" s="556"/>
      <c r="F37" s="51" t="s">
        <v>491</v>
      </c>
      <c r="G37" s="12" t="s">
        <v>616</v>
      </c>
      <c r="H37" s="13" t="s">
        <v>617</v>
      </c>
      <c r="I37" s="12"/>
      <c r="J37" s="13" t="s">
        <v>618</v>
      </c>
      <c r="K37" s="12"/>
      <c r="L37" s="13" t="s">
        <v>619</v>
      </c>
      <c r="M37" s="12"/>
      <c r="N37" s="13" t="s">
        <v>620</v>
      </c>
      <c r="O37" s="12"/>
      <c r="P37" s="13" t="s">
        <v>621</v>
      </c>
      <c r="Q37" s="12"/>
      <c r="S37" s="34" t="s">
        <v>497</v>
      </c>
      <c r="T37" s="33">
        <f t="shared" si="8"/>
        <v>0</v>
      </c>
      <c r="U37" s="33">
        <f t="shared" si="7"/>
        <v>0</v>
      </c>
      <c r="V37" s="33">
        <f>M37</f>
        <v>0</v>
      </c>
      <c r="W37" s="33">
        <f>O37</f>
        <v>0</v>
      </c>
      <c r="X37" s="33">
        <f>Q37</f>
        <v>0</v>
      </c>
      <c r="Y37" s="60">
        <f t="shared" si="5"/>
        <v>5</v>
      </c>
      <c r="Z37" s="60" t="str">
        <f t="shared" si="6"/>
        <v>A</v>
      </c>
      <c r="AA37" s="66" t="s">
        <v>239</v>
      </c>
    </row>
    <row r="38" spans="3:27" ht="115.5">
      <c r="C38" s="550" t="s">
        <v>172</v>
      </c>
      <c r="D38" s="550" t="s">
        <v>173</v>
      </c>
      <c r="E38" s="550" t="s">
        <v>174</v>
      </c>
      <c r="F38" s="51" t="s">
        <v>491</v>
      </c>
      <c r="G38" s="53" t="s">
        <v>175</v>
      </c>
      <c r="H38" s="54" t="s">
        <v>622</v>
      </c>
      <c r="I38" s="53"/>
      <c r="J38" s="54" t="s">
        <v>623</v>
      </c>
      <c r="K38" s="53"/>
      <c r="L38" s="54" t="s">
        <v>624</v>
      </c>
      <c r="M38" s="53"/>
      <c r="N38" s="54" t="s">
        <v>625</v>
      </c>
      <c r="O38" s="53"/>
      <c r="P38" s="54" t="s">
        <v>626</v>
      </c>
      <c r="Q38" s="53"/>
      <c r="S38" s="34" t="s">
        <v>497</v>
      </c>
      <c r="T38" s="33">
        <f t="shared" si="8"/>
        <v>0</v>
      </c>
      <c r="U38" s="33">
        <f t="shared" si="7"/>
        <v>0</v>
      </c>
      <c r="V38" s="33">
        <f t="shared" ref="V38:V40" si="9">M38</f>
        <v>0</v>
      </c>
      <c r="W38" s="33">
        <f t="shared" ref="W38:W40" si="10">O38</f>
        <v>0</v>
      </c>
      <c r="X38" s="33">
        <f t="shared" ref="X38:X40" si="11">Q38</f>
        <v>0</v>
      </c>
      <c r="Y38" s="60">
        <f t="shared" si="5"/>
        <v>5</v>
      </c>
      <c r="Z38" s="60" t="str">
        <f t="shared" si="6"/>
        <v>A</v>
      </c>
      <c r="AA38" s="66" t="s">
        <v>239</v>
      </c>
    </row>
    <row r="39" spans="3:27" ht="49.5">
      <c r="C39" s="550"/>
      <c r="D39" s="550"/>
      <c r="E39" s="550"/>
      <c r="F39" s="51" t="s">
        <v>491</v>
      </c>
      <c r="G39" s="12" t="s">
        <v>178</v>
      </c>
      <c r="H39" s="11" t="s">
        <v>627</v>
      </c>
      <c r="I39" s="12"/>
      <c r="J39" s="11" t="s">
        <v>628</v>
      </c>
      <c r="K39" s="12"/>
      <c r="L39" s="11" t="s">
        <v>629</v>
      </c>
      <c r="M39" s="12"/>
      <c r="N39" s="11" t="s">
        <v>630</v>
      </c>
      <c r="O39" s="12"/>
      <c r="P39" s="11" t="s">
        <v>631</v>
      </c>
      <c r="Q39" s="12"/>
      <c r="S39" s="34" t="s">
        <v>497</v>
      </c>
      <c r="T39" s="33">
        <f t="shared" si="8"/>
        <v>0</v>
      </c>
      <c r="U39" s="33">
        <f t="shared" si="7"/>
        <v>0</v>
      </c>
      <c r="V39" s="33">
        <f t="shared" si="9"/>
        <v>0</v>
      </c>
      <c r="W39" s="33">
        <f t="shared" si="10"/>
        <v>0</v>
      </c>
      <c r="X39" s="33">
        <f t="shared" si="11"/>
        <v>0</v>
      </c>
      <c r="Y39" s="60">
        <f t="shared" si="5"/>
        <v>5</v>
      </c>
      <c r="Z39" s="60" t="str">
        <f t="shared" si="6"/>
        <v>A</v>
      </c>
      <c r="AA39" s="66" t="s">
        <v>239</v>
      </c>
    </row>
    <row r="40" spans="3:27" ht="115.5">
      <c r="C40" s="550"/>
      <c r="D40" s="550"/>
      <c r="E40" s="550"/>
      <c r="F40" s="51" t="s">
        <v>491</v>
      </c>
      <c r="G40" s="12" t="s">
        <v>184</v>
      </c>
      <c r="H40" s="11" t="s">
        <v>632</v>
      </c>
      <c r="I40" s="12"/>
      <c r="J40" s="11" t="s">
        <v>633</v>
      </c>
      <c r="K40" s="12"/>
      <c r="L40" s="11" t="s">
        <v>634</v>
      </c>
      <c r="M40" s="12"/>
      <c r="N40" s="11" t="s">
        <v>635</v>
      </c>
      <c r="O40" s="12"/>
      <c r="P40" s="11" t="s">
        <v>636</v>
      </c>
      <c r="Q40" s="12"/>
      <c r="S40" s="34" t="s">
        <v>497</v>
      </c>
      <c r="T40" s="33">
        <f t="shared" si="8"/>
        <v>0</v>
      </c>
      <c r="U40" s="33">
        <f t="shared" si="7"/>
        <v>0</v>
      </c>
      <c r="V40" s="33">
        <f t="shared" si="9"/>
        <v>0</v>
      </c>
      <c r="W40" s="33">
        <f t="shared" si="10"/>
        <v>0</v>
      </c>
      <c r="X40" s="33">
        <f t="shared" si="11"/>
        <v>0</v>
      </c>
      <c r="Y40" s="60">
        <f t="shared" si="5"/>
        <v>5</v>
      </c>
      <c r="Z40" s="60" t="str">
        <f t="shared" si="6"/>
        <v>A</v>
      </c>
      <c r="AA40" s="66" t="s">
        <v>239</v>
      </c>
    </row>
    <row r="41" spans="3:27" ht="16.5">
      <c r="C41" s="2"/>
      <c r="D41" s="2"/>
      <c r="E41" s="2"/>
      <c r="F41" s="2"/>
      <c r="G41" s="30"/>
      <c r="H41" s="3"/>
      <c r="I41" s="30"/>
      <c r="J41" s="3"/>
      <c r="K41" s="30"/>
      <c r="L41" s="3"/>
      <c r="M41" s="30"/>
      <c r="N41" s="3"/>
      <c r="O41" s="30"/>
      <c r="P41" s="3"/>
      <c r="Q41" s="30"/>
    </row>
    <row r="42" spans="3:27" ht="66" hidden="1">
      <c r="C42" s="6" t="s">
        <v>637</v>
      </c>
      <c r="D42" s="2"/>
      <c r="E42" s="2"/>
      <c r="F42" s="52" t="s">
        <v>497</v>
      </c>
      <c r="G42" s="12" t="s">
        <v>638</v>
      </c>
      <c r="H42" s="54" t="s">
        <v>639</v>
      </c>
      <c r="I42" s="53"/>
      <c r="J42" s="54" t="s">
        <v>640</v>
      </c>
      <c r="K42" s="53"/>
      <c r="L42" s="54" t="s">
        <v>641</v>
      </c>
      <c r="M42" s="53"/>
      <c r="N42" s="54" t="s">
        <v>642</v>
      </c>
      <c r="O42" s="53"/>
      <c r="P42" s="54" t="s">
        <v>643</v>
      </c>
      <c r="Q42" s="53"/>
    </row>
    <row r="43" spans="3:27" ht="16.5">
      <c r="C43" s="2"/>
      <c r="D43" s="2"/>
      <c r="E43" s="2"/>
      <c r="F43" s="2"/>
      <c r="G43" s="30"/>
      <c r="H43" s="3"/>
      <c r="I43" s="30"/>
      <c r="J43" s="3"/>
      <c r="K43" s="30"/>
      <c r="L43" s="3"/>
      <c r="M43" s="30"/>
      <c r="N43" s="3"/>
      <c r="O43" s="30"/>
      <c r="P43" s="3"/>
      <c r="Q43" s="30"/>
    </row>
    <row r="44" spans="3:27" ht="16.5">
      <c r="C44" s="2"/>
      <c r="D44" s="2"/>
      <c r="E44" s="2"/>
      <c r="F44" s="2"/>
      <c r="G44" s="30"/>
      <c r="H44" s="3"/>
      <c r="I44" s="30"/>
      <c r="J44" s="3"/>
      <c r="K44" s="30"/>
      <c r="L44" s="3"/>
      <c r="M44" s="30"/>
      <c r="N44" s="3"/>
      <c r="O44" s="30"/>
      <c r="P44" s="3"/>
      <c r="Q44" s="30"/>
    </row>
    <row r="45" spans="3:27" ht="16.5">
      <c r="C45" s="2"/>
      <c r="D45" s="2"/>
      <c r="E45" s="2"/>
      <c r="F45" s="2"/>
      <c r="G45" s="30"/>
      <c r="H45" s="3"/>
      <c r="I45" s="30"/>
      <c r="J45" s="3"/>
      <c r="K45" s="30"/>
      <c r="L45" s="3"/>
      <c r="M45" s="30"/>
      <c r="N45" s="3"/>
      <c r="O45" s="30"/>
      <c r="P45" s="3"/>
      <c r="Q45" s="30"/>
    </row>
    <row r="46" spans="3:27" ht="16.5">
      <c r="C46" s="2"/>
      <c r="D46" s="2"/>
      <c r="E46" s="2"/>
      <c r="F46" s="2"/>
      <c r="G46" s="30"/>
      <c r="H46" s="3"/>
      <c r="I46" s="30"/>
      <c r="J46" s="3"/>
      <c r="K46" s="30"/>
      <c r="L46" s="3"/>
      <c r="M46" s="30"/>
      <c r="N46" s="3"/>
      <c r="O46" s="30"/>
      <c r="P46" s="3"/>
      <c r="Q46" s="30"/>
    </row>
    <row r="47" spans="3:27" ht="16.5">
      <c r="C47" s="2"/>
      <c r="D47" s="2"/>
      <c r="E47" s="2"/>
      <c r="F47" s="2"/>
      <c r="G47" s="30"/>
      <c r="H47" s="3"/>
      <c r="I47" s="30"/>
      <c r="J47" s="3"/>
      <c r="K47" s="30"/>
      <c r="L47" s="3"/>
      <c r="M47" s="30"/>
      <c r="N47" s="3"/>
      <c r="O47" s="30"/>
      <c r="P47" s="3"/>
      <c r="Q47" s="30"/>
    </row>
    <row r="48" spans="3:27" ht="16.5">
      <c r="G48" s="30"/>
      <c r="H48" s="3"/>
      <c r="I48" s="30"/>
      <c r="J48" s="3"/>
      <c r="K48" s="30"/>
      <c r="L48" s="3"/>
      <c r="M48" s="30"/>
      <c r="N48" s="3"/>
      <c r="O48" s="30"/>
      <c r="P48" s="3"/>
      <c r="Q48" s="30"/>
    </row>
    <row r="49" spans="7:17" ht="66" hidden="1">
      <c r="G49" s="31" t="s">
        <v>429</v>
      </c>
      <c r="H49" s="18" t="s">
        <v>430</v>
      </c>
      <c r="I49" s="31"/>
      <c r="J49" s="18" t="s">
        <v>431</v>
      </c>
      <c r="K49" s="31"/>
      <c r="L49" s="18" t="s">
        <v>432</v>
      </c>
      <c r="M49" s="31"/>
      <c r="N49" s="18" t="s">
        <v>433</v>
      </c>
      <c r="O49" s="31"/>
      <c r="P49" s="18" t="s">
        <v>434</v>
      </c>
      <c r="Q49" s="31"/>
    </row>
    <row r="50" spans="7:17" ht="33" hidden="1">
      <c r="G50" s="31"/>
      <c r="H50" s="18"/>
      <c r="I50" s="31"/>
      <c r="J50" s="18" t="s">
        <v>435</v>
      </c>
      <c r="K50" s="31"/>
      <c r="L50" s="18" t="s">
        <v>436</v>
      </c>
      <c r="M50" s="31"/>
      <c r="N50" s="18"/>
      <c r="O50" s="31"/>
      <c r="P50" s="18"/>
      <c r="Q50" s="31"/>
    </row>
    <row r="51" spans="7:17" ht="82.5" hidden="1">
      <c r="G51" s="31" t="s">
        <v>437</v>
      </c>
      <c r="H51" s="18" t="s">
        <v>438</v>
      </c>
      <c r="I51" s="31"/>
      <c r="J51" s="18" t="s">
        <v>439</v>
      </c>
      <c r="K51" s="31"/>
      <c r="L51" s="18" t="s">
        <v>440</v>
      </c>
      <c r="M51" s="31"/>
      <c r="N51" s="18" t="s">
        <v>441</v>
      </c>
      <c r="O51" s="31"/>
      <c r="P51" s="18" t="s">
        <v>442</v>
      </c>
      <c r="Q51" s="31"/>
    </row>
    <row r="52" spans="7:17" ht="33" hidden="1">
      <c r="G52" s="31"/>
      <c r="H52" s="18" t="s">
        <v>443</v>
      </c>
      <c r="I52" s="31"/>
      <c r="J52" s="18"/>
      <c r="K52" s="31"/>
      <c r="L52" s="18"/>
      <c r="M52" s="31"/>
      <c r="N52" s="18" t="s">
        <v>444</v>
      </c>
      <c r="O52" s="31"/>
      <c r="P52" s="18"/>
      <c r="Q52" s="31"/>
    </row>
    <row r="53" spans="7:17" ht="49.5" hidden="1">
      <c r="G53" s="31" t="s">
        <v>445</v>
      </c>
      <c r="H53" s="19"/>
      <c r="I53" s="17"/>
      <c r="J53" s="18" t="s">
        <v>446</v>
      </c>
      <c r="K53" s="31"/>
      <c r="L53" s="18"/>
      <c r="M53" s="31"/>
      <c r="N53" s="18"/>
      <c r="O53" s="31"/>
      <c r="P53" s="18"/>
      <c r="Q53" s="31"/>
    </row>
    <row r="54" spans="7:17" ht="49.5" hidden="1">
      <c r="G54" s="31"/>
      <c r="H54" s="18"/>
      <c r="I54" s="31"/>
      <c r="J54" s="18"/>
      <c r="K54" s="31"/>
      <c r="L54" s="18" t="s">
        <v>447</v>
      </c>
      <c r="M54" s="31"/>
      <c r="N54" s="19"/>
      <c r="O54" s="17"/>
      <c r="P54" s="18" t="s">
        <v>448</v>
      </c>
      <c r="Q54" s="31"/>
    </row>
    <row r="55" spans="7:17" ht="66" hidden="1">
      <c r="G55" s="31" t="s">
        <v>449</v>
      </c>
      <c r="H55" s="18" t="s">
        <v>450</v>
      </c>
      <c r="I55" s="31"/>
      <c r="J55" s="18" t="s">
        <v>451</v>
      </c>
      <c r="K55" s="31"/>
      <c r="L55" s="18" t="s">
        <v>452</v>
      </c>
      <c r="M55" s="31"/>
      <c r="N55" s="18" t="s">
        <v>453</v>
      </c>
      <c r="O55" s="31"/>
      <c r="P55" s="18" t="s">
        <v>454</v>
      </c>
      <c r="Q55" s="31"/>
    </row>
    <row r="56" spans="7:17" ht="33" hidden="1">
      <c r="G56" s="31"/>
      <c r="H56" s="18" t="s">
        <v>455</v>
      </c>
      <c r="I56" s="31"/>
      <c r="J56" s="18" t="s">
        <v>456</v>
      </c>
      <c r="K56" s="31"/>
      <c r="L56" s="18" t="s">
        <v>457</v>
      </c>
      <c r="M56" s="31"/>
      <c r="N56" s="18"/>
      <c r="O56" s="31"/>
      <c r="P56" s="18"/>
      <c r="Q56" s="31"/>
    </row>
    <row r="57" spans="7:17" ht="49.5" hidden="1">
      <c r="G57" s="32" t="s">
        <v>458</v>
      </c>
      <c r="H57" s="21" t="s">
        <v>459</v>
      </c>
      <c r="I57" s="32"/>
      <c r="J57" s="21" t="s">
        <v>460</v>
      </c>
      <c r="K57" s="32"/>
      <c r="L57" s="21" t="s">
        <v>461</v>
      </c>
      <c r="M57" s="32"/>
      <c r="N57" s="21" t="s">
        <v>462</v>
      </c>
      <c r="O57" s="32"/>
      <c r="P57" s="21" t="s">
        <v>463</v>
      </c>
      <c r="Q57" s="32"/>
    </row>
    <row r="58" spans="7:17" ht="66" hidden="1">
      <c r="G58" s="32"/>
      <c r="H58" s="21"/>
      <c r="I58" s="32"/>
      <c r="J58" s="21"/>
      <c r="K58" s="32"/>
      <c r="L58" s="21" t="s">
        <v>464</v>
      </c>
      <c r="M58" s="32"/>
      <c r="N58" s="21"/>
      <c r="O58" s="32"/>
      <c r="P58" s="21"/>
      <c r="Q58" s="32"/>
    </row>
    <row r="59" spans="7:17" ht="16.5">
      <c r="G59" s="30"/>
      <c r="H59" s="3"/>
      <c r="I59" s="30"/>
      <c r="J59" s="3"/>
      <c r="K59" s="30"/>
      <c r="L59" s="3"/>
      <c r="M59" s="30"/>
      <c r="N59" s="3"/>
      <c r="O59" s="30"/>
      <c r="P59" s="3"/>
      <c r="Q59" s="30"/>
    </row>
  </sheetData>
  <mergeCells count="36">
    <mergeCell ref="C38:C40"/>
    <mergeCell ref="D38:D40"/>
    <mergeCell ref="E38:E40"/>
    <mergeCell ref="C15:C18"/>
    <mergeCell ref="D15:D18"/>
    <mergeCell ref="E15:E18"/>
    <mergeCell ref="C27:C37"/>
    <mergeCell ref="D27:D37"/>
    <mergeCell ref="E27:E33"/>
    <mergeCell ref="C24:C26"/>
    <mergeCell ref="D24:D26"/>
    <mergeCell ref="E24:E26"/>
    <mergeCell ref="E34:E37"/>
    <mergeCell ref="E19:E23"/>
    <mergeCell ref="D19:D23"/>
    <mergeCell ref="C19:C23"/>
    <mergeCell ref="S12:S14"/>
    <mergeCell ref="T12:X12"/>
    <mergeCell ref="Y12:Y14"/>
    <mergeCell ref="AA12:AA14"/>
    <mergeCell ref="Z12:Z14"/>
    <mergeCell ref="P12:Q12"/>
    <mergeCell ref="K13:K14"/>
    <mergeCell ref="M13:M14"/>
    <mergeCell ref="O13:O14"/>
    <mergeCell ref="Q13:Q14"/>
    <mergeCell ref="F2:O4"/>
    <mergeCell ref="C12:C14"/>
    <mergeCell ref="D12:D14"/>
    <mergeCell ref="E12:E14"/>
    <mergeCell ref="F12:F14"/>
    <mergeCell ref="G12:G14"/>
    <mergeCell ref="H12:I12"/>
    <mergeCell ref="I13:I14"/>
    <mergeCell ref="J12:M12"/>
    <mergeCell ref="N12:O12"/>
  </mergeCells>
  <phoneticPr fontId="6"/>
  <conditionalFormatting sqref="I15:I40 K15:K40 M15:M40 O15:O40 Q15:Q40">
    <cfRule type="containsText" dxfId="13" priority="2" operator="containsText" text="No">
      <formula>NOT(ISERROR(SEARCH("No",I15)))</formula>
    </cfRule>
  </conditionalFormatting>
  <conditionalFormatting sqref="I42 K42 M42 O42 Q42">
    <cfRule type="containsText" dxfId="12" priority="1" operator="containsText" text="No">
      <formula>NOT(ISERROR(SEARCH("No",I42)))</formula>
    </cfRule>
  </conditionalFormatting>
  <conditionalFormatting sqref="S15:X40 AA15:AA40">
    <cfRule type="containsText" dxfId="10" priority="17" operator="containsText" text="No">
      <formula>NOT(ISERROR(SEARCH("No",S15)))</formula>
    </cfRule>
  </conditionalFormatting>
  <pageMargins left="0.70866141732283472" right="0.70866141732283472" top="0.74803149606299213" bottom="0.74803149606299213" header="0.31496062992125984" footer="0.31496062992125984"/>
  <pageSetup paperSize="8" scale="43" orientation="landscape" r:id="rId1"/>
  <rowBreaks count="1" manualBreakCount="1">
    <brk id="26" max="16" man="1"/>
  </rowBreaks>
  <extLst>
    <ext xmlns:x14="http://schemas.microsoft.com/office/spreadsheetml/2009/9/main" uri="{78C0D931-6437-407d-A8EE-F0AAD7539E65}">
      <x14:conditionalFormattings>
        <x14:conditionalFormatting xmlns:xm="http://schemas.microsoft.com/office/excel/2006/main">
          <x14:cfRule type="containsText" priority="10" operator="containsText" id="{A841468A-14CE-4B40-87BC-8866A8B6EFC0}">
            <xm:f>NOT(ISERROR(SEARCH("-",S15)))</xm:f>
            <xm:f>"-"</xm:f>
            <x14:dxf>
              <fill>
                <patternFill>
                  <bgColor theme="0" tint="-0.24994659260841701"/>
                </patternFill>
              </fill>
            </x14:dxf>
          </x14:cfRule>
          <xm:sqref>S15:X40 AA15:AA40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6201-8541-4174-BBED-8E2735A7EB96}">
  <sheetPr>
    <tabColor theme="9" tint="0.59999389629810485"/>
  </sheetPr>
  <dimension ref="B2:K64"/>
  <sheetViews>
    <sheetView topLeftCell="B1" zoomScale="71" zoomScaleNormal="70" workbookViewId="0">
      <selection activeCell="N32" sqref="N32"/>
    </sheetView>
  </sheetViews>
  <sheetFormatPr defaultColWidth="8.81640625" defaultRowHeight="14.5"/>
  <cols>
    <col min="1" max="1" width="1.7265625" customWidth="1"/>
    <col min="3" max="3" width="15.1796875" bestFit="1" customWidth="1"/>
    <col min="4" max="4" width="32.453125" hidden="1" customWidth="1"/>
    <col min="5" max="5" width="22.1796875" hidden="1" customWidth="1"/>
    <col min="6" max="6" width="14.453125" customWidth="1"/>
    <col min="7" max="8" width="12" customWidth="1"/>
    <col min="9" max="9" width="94.1796875" customWidth="1"/>
    <col min="10" max="10" width="10.1796875" style="22" customWidth="1"/>
    <col min="11" max="11" width="8.81640625" customWidth="1"/>
  </cols>
  <sheetData>
    <row r="2" spans="2:11" ht="16.5">
      <c r="B2" s="1" t="s">
        <v>644</v>
      </c>
      <c r="C2" s="2"/>
      <c r="D2" s="2"/>
      <c r="E2" s="2"/>
      <c r="F2" s="2"/>
      <c r="G2" s="2"/>
      <c r="H2" s="2"/>
      <c r="I2" s="3"/>
      <c r="J2" s="30"/>
      <c r="K2" s="2"/>
    </row>
    <row r="3" spans="2:11" ht="16.5">
      <c r="B3" s="4"/>
      <c r="C3" s="2" t="s">
        <v>479</v>
      </c>
      <c r="D3" s="2"/>
      <c r="E3" s="2"/>
      <c r="F3" s="2"/>
      <c r="G3" s="2"/>
      <c r="H3" s="2"/>
      <c r="I3" s="3"/>
      <c r="J3" s="30"/>
      <c r="K3" s="2"/>
    </row>
    <row r="4" spans="2:11" ht="16.5">
      <c r="B4" s="5"/>
      <c r="C4" s="2" t="s">
        <v>480</v>
      </c>
      <c r="D4" s="2"/>
      <c r="E4" s="2"/>
      <c r="F4" s="7"/>
      <c r="G4" s="7"/>
      <c r="H4" s="7"/>
      <c r="I4" s="25"/>
      <c r="J4" s="6"/>
      <c r="K4" s="2"/>
    </row>
    <row r="5" spans="2:11" ht="16.5">
      <c r="B5" s="2"/>
      <c r="C5" s="2"/>
      <c r="D5" s="2"/>
      <c r="E5" s="7"/>
      <c r="F5" s="3"/>
      <c r="G5" s="3"/>
      <c r="H5" s="3"/>
      <c r="I5" s="3"/>
      <c r="J5" s="30"/>
      <c r="K5" s="2"/>
    </row>
    <row r="6" spans="2:11" ht="36.65" customHeight="1">
      <c r="B6" s="2"/>
      <c r="C6" s="59" t="s">
        <v>40</v>
      </c>
      <c r="D6" s="58" t="s">
        <v>645</v>
      </c>
      <c r="E6" s="58" t="s">
        <v>646</v>
      </c>
      <c r="F6" s="59" t="s">
        <v>43</v>
      </c>
      <c r="G6" s="58" t="s">
        <v>9</v>
      </c>
      <c r="H6" s="58" t="s">
        <v>647</v>
      </c>
      <c r="I6" s="59" t="s">
        <v>648</v>
      </c>
      <c r="J6" s="59" t="s">
        <v>489</v>
      </c>
      <c r="K6" s="2"/>
    </row>
    <row r="7" spans="2:11" ht="74.5" customHeight="1">
      <c r="C7" s="547" t="s">
        <v>54</v>
      </c>
      <c r="D7" s="547" t="s">
        <v>649</v>
      </c>
      <c r="E7" s="547" t="s">
        <v>650</v>
      </c>
      <c r="F7" s="558" t="s">
        <v>57</v>
      </c>
      <c r="G7" s="47" t="str">
        <f>IF(H7=1,"C",IF(H7=2,"B-",IF(H7=3,"B",IF(H7=4,"B+",IF(H7=5,"A")))))</f>
        <v>C</v>
      </c>
      <c r="H7" s="10">
        <v>1</v>
      </c>
      <c r="I7" s="11" t="str">
        <f>'Safety cal.'!H17</f>
        <v>Issuing injury report with SBU's support.
(Safety Manager)</v>
      </c>
      <c r="J7" s="12"/>
    </row>
    <row r="8" spans="2:11" ht="74.5" customHeight="1">
      <c r="C8" s="548"/>
      <c r="D8" s="548"/>
      <c r="E8" s="548"/>
      <c r="F8" s="558"/>
      <c r="G8" s="10" t="str">
        <f t="shared" ref="G8:G47" si="0">IF(H8=1,"C",IF(H8=2,"B-",IF(H8=3,"B",IF(H8=4,"B+",IF(H8=5,"A")))))</f>
        <v>B-</v>
      </c>
      <c r="H8" s="10">
        <v>2</v>
      </c>
      <c r="I8" s="11" t="str">
        <f>'Safety cal.'!J17</f>
        <v>Injury report is issued by plant, but there was a delay in the due date in the guideline.
(Safety Manager)</v>
      </c>
      <c r="J8" s="12"/>
    </row>
    <row r="9" spans="2:11" ht="74.5" customHeight="1">
      <c r="C9" s="548"/>
      <c r="D9" s="548"/>
      <c r="E9" s="548"/>
      <c r="F9" s="558"/>
      <c r="G9" s="10" t="str">
        <f t="shared" si="0"/>
        <v>B</v>
      </c>
      <c r="H9" s="10">
        <v>3</v>
      </c>
      <c r="I9" s="11" t="str">
        <f>'Safety cal.'!L17</f>
        <v>Injury report is issued by plant, within the due date that is standardized in the guideline. 
And root cause analysis and its countermeasure has been completed and these report is issued within the due date as the guideline.
(Safety Manager)</v>
      </c>
      <c r="J9" s="12"/>
    </row>
    <row r="10" spans="2:11" ht="74.5" customHeight="1">
      <c r="C10" s="548"/>
      <c r="D10" s="548"/>
      <c r="E10" s="548"/>
      <c r="F10" s="558"/>
      <c r="G10" s="10" t="str">
        <f t="shared" si="0"/>
        <v>B+</v>
      </c>
      <c r="H10" s="10">
        <v>4</v>
      </c>
      <c r="I10" s="11" t="str">
        <f>'Safety cal.'!N17</f>
        <v>Injury report is issued by plant, within the due date that is standardized in the guideline. 
And root cause analysis and its countermeasure has been completed and these report is issued within the due date as the guideline.
Also, the countermeasure has been spreaded to similar machines/tasks. After the countermeasure is compleated, the report to SBU has been issued. 
(Safety Manager)</v>
      </c>
      <c r="J10" s="12"/>
    </row>
    <row r="11" spans="2:11" ht="74.5" customHeight="1">
      <c r="C11" s="548"/>
      <c r="D11" s="548"/>
      <c r="E11" s="548"/>
      <c r="F11" s="558"/>
      <c r="G11" s="10" t="str">
        <f t="shared" si="0"/>
        <v>A</v>
      </c>
      <c r="H11" s="10">
        <v>5</v>
      </c>
      <c r="I11" s="11" t="str">
        <f>'Safety cal.'!P17</f>
        <v>Past countermeasures have been re-checked its implementation status periodically.
 *At least, need to check its progress within 1 year.
(Safety Manager)</v>
      </c>
      <c r="J11" s="12" t="s">
        <v>651</v>
      </c>
    </row>
    <row r="12" spans="2:11" ht="49.5">
      <c r="C12" s="548"/>
      <c r="D12" s="548"/>
      <c r="E12" s="548"/>
      <c r="F12" s="558" t="s">
        <v>75</v>
      </c>
      <c r="G12" s="12" t="str">
        <f t="shared" si="0"/>
        <v>C</v>
      </c>
      <c r="H12" s="12">
        <v>1</v>
      </c>
      <c r="I12" s="13" t="str">
        <f>'Safety cal.'!H18</f>
        <v>There is no plan for countermeasures from outside of plant.
 *"Countermeasure" in this part means that is issued from BSJ7310
(Safety Manager)</v>
      </c>
      <c r="J12" s="12"/>
    </row>
    <row r="13" spans="2:11" ht="49.5">
      <c r="C13" s="548"/>
      <c r="D13" s="548"/>
      <c r="E13" s="548"/>
      <c r="F13" s="558"/>
      <c r="G13" s="12" t="str">
        <f t="shared" si="0"/>
        <v>B-</v>
      </c>
      <c r="H13" s="12">
        <v>2</v>
      </c>
      <c r="I13" s="13" t="str">
        <f>'Safety cal.'!J18</f>
        <v>There is a plan for contermeasure, but there is a delay in the plan. 
 *No corrective plan for delay.
(Safety Manager)</v>
      </c>
      <c r="J13" s="12"/>
    </row>
    <row r="14" spans="2:11" ht="49.5">
      <c r="C14" s="548"/>
      <c r="D14" s="548"/>
      <c r="E14" s="548"/>
      <c r="F14" s="558"/>
      <c r="G14" s="12" t="str">
        <f t="shared" si="0"/>
        <v>B</v>
      </c>
      <c r="H14" s="12">
        <v>3</v>
      </c>
      <c r="I14" s="13" t="str">
        <f>'Safety cal.'!L18</f>
        <v>There is a plan for contermeasure, and it is on-going to the plan, but not yet completed.
Or, there is a delay but corrective plan has been made for it, and it is on-going.
(Safety Manager)</v>
      </c>
      <c r="J14" s="12"/>
    </row>
    <row r="15" spans="2:11" ht="33">
      <c r="C15" s="548"/>
      <c r="D15" s="548"/>
      <c r="E15" s="548"/>
      <c r="F15" s="558"/>
      <c r="G15" s="12" t="str">
        <f t="shared" si="0"/>
        <v>B+</v>
      </c>
      <c r="H15" s="12">
        <v>4</v>
      </c>
      <c r="I15" s="13" t="str">
        <f>'Safety cal.'!N18</f>
        <v>There is a plan for contermeasure, and progressing ahead of the plan, but not yet completed.
(Safety Manager)</v>
      </c>
      <c r="J15" s="12"/>
    </row>
    <row r="16" spans="2:11" ht="33">
      <c r="C16" s="556"/>
      <c r="D16" s="556"/>
      <c r="E16" s="556"/>
      <c r="F16" s="558"/>
      <c r="G16" s="12" t="str">
        <f t="shared" si="0"/>
        <v>A</v>
      </c>
      <c r="H16" s="12">
        <v>5</v>
      </c>
      <c r="I16" s="13" t="str">
        <f>'Safety cal.'!P18</f>
        <v>All contermeasures have been completed.
(Safety Manager)</v>
      </c>
      <c r="J16" s="12"/>
    </row>
    <row r="17" spans="3:11" ht="33">
      <c r="C17" s="550" t="s">
        <v>101</v>
      </c>
      <c r="D17" s="550" t="s">
        <v>652</v>
      </c>
      <c r="E17" s="550" t="s">
        <v>653</v>
      </c>
      <c r="F17" s="550" t="s">
        <v>104</v>
      </c>
      <c r="G17" s="59" t="str">
        <f t="shared" si="0"/>
        <v>C</v>
      </c>
      <c r="H17" s="59">
        <v>1</v>
      </c>
      <c r="I17" s="14" t="str">
        <f>'Safety cal.'!H24</f>
        <v>Safety policy/target has not been issued.
(Safety Manager)</v>
      </c>
      <c r="J17" s="29"/>
    </row>
    <row r="18" spans="3:11" ht="33">
      <c r="C18" s="550"/>
      <c r="D18" s="550"/>
      <c r="E18" s="550"/>
      <c r="F18" s="550"/>
      <c r="G18" s="59" t="str">
        <f t="shared" si="0"/>
        <v>A</v>
      </c>
      <c r="H18" s="59">
        <v>5</v>
      </c>
      <c r="I18" s="15" t="str">
        <f>'Safety cal.'!P24</f>
        <v>There is evidence of OH&amp;S benchmarking with other sites.
(System: Safety Manager: No.123)</v>
      </c>
      <c r="J18" s="29"/>
    </row>
    <row r="19" spans="3:11" ht="49.5">
      <c r="C19" s="550"/>
      <c r="D19" s="550"/>
      <c r="E19" s="550"/>
      <c r="F19" s="59" t="s">
        <v>109</v>
      </c>
      <c r="G19" s="59" t="str">
        <f t="shared" si="0"/>
        <v>C</v>
      </c>
      <c r="H19" s="59">
        <v>1</v>
      </c>
      <c r="I19" s="14" t="str">
        <f>'Safety cal.'!H25</f>
        <v>There is no implementation plan for safety.
(Safety Manager)</v>
      </c>
      <c r="J19" s="29"/>
    </row>
    <row r="20" spans="3:11" ht="33">
      <c r="C20" s="550"/>
      <c r="D20" s="550"/>
      <c r="E20" s="550"/>
      <c r="F20" s="550" t="s">
        <v>114</v>
      </c>
      <c r="G20" s="59" t="str">
        <f t="shared" si="0"/>
        <v>C</v>
      </c>
      <c r="H20" s="59">
        <v>1</v>
      </c>
      <c r="I20" s="15" t="str">
        <f>'Safety cal.'!H26</f>
        <v>Internal/external audit has not been conducted.
(Safety Manager)</v>
      </c>
      <c r="J20" s="59"/>
    </row>
    <row r="21" spans="3:11" ht="49.5">
      <c r="C21" s="550"/>
      <c r="D21" s="550"/>
      <c r="E21" s="550"/>
      <c r="F21" s="550"/>
      <c r="G21" s="59" t="str">
        <f t="shared" si="0"/>
        <v>B-</v>
      </c>
      <c r="H21" s="59">
        <v>2</v>
      </c>
      <c r="I21" s="15" t="str">
        <f>'Safety cal.'!J26</f>
        <v>Internal audit has been conducted, and its report could be found. But, it is not enough to follow up the findings.
(System: Safety Manager: No.47)</v>
      </c>
      <c r="J21" s="59"/>
    </row>
    <row r="22" spans="3:11" ht="33">
      <c r="C22" s="550"/>
      <c r="D22" s="550"/>
      <c r="E22" s="550"/>
      <c r="F22" s="550"/>
      <c r="G22" s="59" t="str">
        <f t="shared" si="0"/>
        <v>B</v>
      </c>
      <c r="H22" s="59">
        <v>3</v>
      </c>
      <c r="I22" s="15" t="str">
        <f>'Safety cal.'!L26</f>
        <v>Items/Non-Conformities pointed out at the internal audits were improved or planed to improve them.
(System: Safety Manager: No.77)</v>
      </c>
      <c r="J22" s="59"/>
    </row>
    <row r="23" spans="3:11" ht="33">
      <c r="C23" s="550"/>
      <c r="D23" s="550"/>
      <c r="E23" s="550"/>
      <c r="F23" s="550"/>
      <c r="G23" s="59" t="str">
        <f t="shared" si="0"/>
        <v>B+</v>
      </c>
      <c r="H23" s="59">
        <v>4</v>
      </c>
      <c r="I23" s="15" t="str">
        <f>'Safety cal.'!N26</f>
        <v>OFIs found at last internal audit have been improved or have been planed to improve.
(System: Safety Manager: No.106)</v>
      </c>
      <c r="J23" s="59"/>
    </row>
    <row r="24" spans="3:11" ht="49.5">
      <c r="C24" s="550"/>
      <c r="D24" s="550"/>
      <c r="E24" s="550"/>
      <c r="F24" s="550"/>
      <c r="G24" s="59" t="str">
        <f t="shared" si="0"/>
        <v>A</v>
      </c>
      <c r="H24" s="59">
        <v>5</v>
      </c>
      <c r="I24" s="15" t="str">
        <f>'Safety cal.'!P26</f>
        <v>Regarding the safety management system in the plant, the H&amp;S manager can explain evaluation results by third party, feedback, and the actions.
(Organization: Safety Manager: No.20)</v>
      </c>
      <c r="J24" s="59"/>
    </row>
    <row r="25" spans="3:11" ht="33">
      <c r="C25" s="550" t="s">
        <v>117</v>
      </c>
      <c r="D25" s="557" t="s">
        <v>655</v>
      </c>
      <c r="E25" s="547" t="s">
        <v>656</v>
      </c>
      <c r="F25" s="559" t="s">
        <v>120</v>
      </c>
      <c r="G25" s="53" t="str">
        <f t="shared" si="0"/>
        <v>B-</v>
      </c>
      <c r="H25" s="53">
        <v>2</v>
      </c>
      <c r="I25" s="54" t="str">
        <f>'Safety cal.'!J27</f>
        <v>All teammates are taking BSFA training more than annually, but the material is not the latest version.
(Safety Manager)</v>
      </c>
      <c r="J25" s="12"/>
    </row>
    <row r="26" spans="3:11" ht="82.5">
      <c r="C26" s="550"/>
      <c r="D26" s="557"/>
      <c r="E26" s="548"/>
      <c r="F26" s="559"/>
      <c r="G26" s="53" t="str">
        <f t="shared" si="0"/>
        <v>B</v>
      </c>
      <c r="H26" s="53">
        <v>3</v>
      </c>
      <c r="I26" s="54" t="str">
        <f>'Safety cal.'!L27</f>
        <v>All teammates are taking BSFA training more than annually, and the material is the latest version.
 *Confirm the the material and training records
 *In case that the material is not updated, if the site have a plan for the training, this item could be judged "Yes".
(Safety Manager)</v>
      </c>
      <c r="J26" s="12"/>
    </row>
    <row r="27" spans="3:11" ht="49.5">
      <c r="C27" s="550"/>
      <c r="D27" s="557"/>
      <c r="E27" s="548"/>
      <c r="F27" s="559"/>
      <c r="G27" s="53" t="str">
        <f t="shared" si="0"/>
        <v>B+</v>
      </c>
      <c r="H27" s="53">
        <v>4</v>
      </c>
      <c r="I27" s="54" t="str">
        <f>'Safety cal.'!N27</f>
        <v>After the BSFA training, all teammates' understandings are validated in GENBA situation by manager or supervisor.
(Safety Manager)</v>
      </c>
      <c r="J27" s="12"/>
    </row>
    <row r="28" spans="3:11" ht="49.5">
      <c r="C28" s="550"/>
      <c r="D28" s="557"/>
      <c r="E28" s="548"/>
      <c r="F28" s="559"/>
      <c r="G28" s="53" t="str">
        <f t="shared" si="0"/>
        <v>A</v>
      </c>
      <c r="H28" s="53">
        <v>5</v>
      </c>
      <c r="I28" s="54" t="str">
        <f>'Safety cal.'!P27</f>
        <v>After the BSFA training, all teammates' understandings are validated in GENBA situation by manager or supervisor, and all teammates could answer correctly. 
(Safety Manager)</v>
      </c>
      <c r="J28" s="12"/>
    </row>
    <row r="29" spans="3:11" ht="49.5">
      <c r="C29" s="550"/>
      <c r="D29" s="557"/>
      <c r="E29" s="548"/>
      <c r="F29" s="59" t="s">
        <v>125</v>
      </c>
      <c r="G29" s="59" t="str">
        <f t="shared" si="0"/>
        <v>A</v>
      </c>
      <c r="H29" s="59">
        <v>5</v>
      </c>
      <c r="I29" s="9" t="str">
        <f>'Safety cal.'!P28</f>
        <v>The best practices on 3S have been gathered from other plants/industry, and it has been incorporated into the site procedure. or There is a evidence of the comparison with other plants.
(System: Safety Manager: No.133)</v>
      </c>
      <c r="J29" s="24"/>
      <c r="K29" t="s">
        <v>657</v>
      </c>
    </row>
    <row r="30" spans="3:11" ht="33">
      <c r="C30" s="550"/>
      <c r="D30" s="557"/>
      <c r="E30" s="548"/>
      <c r="F30" s="559" t="s">
        <v>149</v>
      </c>
      <c r="G30" s="53" t="str">
        <f t="shared" si="0"/>
        <v>C</v>
      </c>
      <c r="H30" s="53">
        <v>1</v>
      </c>
      <c r="I30" s="55" t="str">
        <f>'Safety cal.'!H33</f>
        <v>4M change process is standardized/documented at the site.
(Safety Manager)</v>
      </c>
      <c r="J30" s="62"/>
    </row>
    <row r="31" spans="3:11" ht="49.5">
      <c r="C31" s="550"/>
      <c r="D31" s="557"/>
      <c r="E31" s="548"/>
      <c r="F31" s="559"/>
      <c r="G31" s="53" t="str">
        <f t="shared" si="0"/>
        <v>B-</v>
      </c>
      <c r="H31" s="53">
        <v>2</v>
      </c>
      <c r="I31" s="55" t="str">
        <f>'Safety cal.'!J33</f>
        <v>4M change process is standardized/documented at the site, and EHS manager confirm/approve it as a system.
(Safety Manager)</v>
      </c>
      <c r="J31" s="62"/>
    </row>
    <row r="32" spans="3:11" ht="66">
      <c r="C32" s="550"/>
      <c r="D32" s="557"/>
      <c r="E32" s="548"/>
      <c r="F32" s="559"/>
      <c r="G32" s="53" t="str">
        <f t="shared" si="0"/>
        <v>B</v>
      </c>
      <c r="H32" s="53">
        <v>3</v>
      </c>
      <c r="I32" s="55" t="str">
        <f>'Safety cal.'!L33</f>
        <v>In 4M change process, RA before/after the change by EHS team is standardized, and could see the evidence.
 *at leastt one example should be validated
(Safety Manager)</v>
      </c>
      <c r="J32" s="62"/>
    </row>
    <row r="33" spans="3:10" ht="49.5">
      <c r="C33" s="550"/>
      <c r="D33" s="557"/>
      <c r="E33" s="548"/>
      <c r="F33" s="559"/>
      <c r="G33" s="53" t="str">
        <f t="shared" si="0"/>
        <v>B+</v>
      </c>
      <c r="H33" s="53">
        <v>4</v>
      </c>
      <c r="I33" s="55" t="str">
        <f>'Safety cal.'!N33</f>
        <v>The changing point is valiadted not only by documents documents or pictures, but by GENBA validation.
(Safety Manager)</v>
      </c>
      <c r="J33" s="62"/>
    </row>
    <row r="34" spans="3:10" ht="33">
      <c r="C34" s="550"/>
      <c r="D34" s="557"/>
      <c r="E34" s="556"/>
      <c r="F34" s="559"/>
      <c r="G34" s="53" t="str">
        <f t="shared" si="0"/>
        <v>A</v>
      </c>
      <c r="H34" s="53">
        <v>5</v>
      </c>
      <c r="I34" s="55" t="str">
        <f>'Safety cal.'!P33</f>
        <v>After the change, EHS team confirm whether there is any problem or not as intial management.
(Safety manager)</v>
      </c>
      <c r="J34" s="62"/>
    </row>
    <row r="35" spans="3:10" ht="33">
      <c r="C35" s="550"/>
      <c r="D35" s="557"/>
      <c r="E35" s="550" t="s">
        <v>658</v>
      </c>
      <c r="F35" s="558" t="s">
        <v>152</v>
      </c>
      <c r="G35" s="12" t="str">
        <f t="shared" si="0"/>
        <v>C</v>
      </c>
      <c r="H35" s="12">
        <v>1</v>
      </c>
      <c r="I35" s="13" t="str">
        <f>'Safety cal.'!H34</f>
        <v>There is no IIP for Safety.
(Safety Manager)</v>
      </c>
      <c r="J35" s="12"/>
    </row>
    <row r="36" spans="3:10" ht="49.5">
      <c r="C36" s="550"/>
      <c r="D36" s="557"/>
      <c r="E36" s="550"/>
      <c r="F36" s="558"/>
      <c r="G36" s="12" t="str">
        <f t="shared" si="0"/>
        <v>B-</v>
      </c>
      <c r="H36" s="12">
        <v>2</v>
      </c>
      <c r="I36" s="13" t="str">
        <f>'Safety cal.'!J34</f>
        <v>Safety IIP is issued only by top-management  and safety committee, and the plan is deployed in plant. 
Or, the plan is approved by plant manager and issued in plant, but it was deployed not all department.
(Safety Manager)</v>
      </c>
      <c r="J36" s="12"/>
    </row>
    <row r="37" spans="3:10" ht="49.5">
      <c r="C37" s="550"/>
      <c r="D37" s="557"/>
      <c r="E37" s="550"/>
      <c r="F37" s="558"/>
      <c r="G37" s="12" t="str">
        <f t="shared" si="0"/>
        <v>B</v>
      </c>
      <c r="H37" s="12">
        <v>3</v>
      </c>
      <c r="I37" s="13" t="str">
        <f>'Safety cal.'!L34</f>
        <v>Safety IIP is approved by plant manager and safety committee, and it was deployed into all department.
(Safety Manager)</v>
      </c>
      <c r="J37" s="12"/>
    </row>
    <row r="38" spans="3:10" ht="33">
      <c r="C38" s="550" t="s">
        <v>172</v>
      </c>
      <c r="D38" s="550" t="s">
        <v>659</v>
      </c>
      <c r="E38" s="550" t="s">
        <v>660</v>
      </c>
      <c r="F38" s="559" t="s">
        <v>175</v>
      </c>
      <c r="G38" s="53" t="str">
        <f t="shared" si="0"/>
        <v>C</v>
      </c>
      <c r="H38" s="53">
        <v>1</v>
      </c>
      <c r="I38" s="54" t="str">
        <f>'Safety cal.'!H38</f>
        <v>There is a EHS manager.
(Safety manager)</v>
      </c>
      <c r="J38" s="12"/>
    </row>
    <row r="39" spans="3:10" ht="33">
      <c r="C39" s="550"/>
      <c r="D39" s="550"/>
      <c r="E39" s="550"/>
      <c r="F39" s="559"/>
      <c r="G39" s="53" t="str">
        <f t="shared" si="0"/>
        <v>B-</v>
      </c>
      <c r="H39" s="53">
        <v>2</v>
      </c>
      <c r="I39" s="54" t="str">
        <f>'Safety cal.'!J38</f>
        <v>There is a EHS manager but he/she has multiple role.
(Safety manager)</v>
      </c>
      <c r="J39" s="12"/>
    </row>
    <row r="40" spans="3:10" ht="66">
      <c r="C40" s="550"/>
      <c r="D40" s="550"/>
      <c r="E40" s="550"/>
      <c r="F40" s="559"/>
      <c r="G40" s="53" t="str">
        <f t="shared" si="0"/>
        <v>B</v>
      </c>
      <c r="H40" s="53">
        <v>3</v>
      </c>
      <c r="I40" s="54" t="str">
        <f>'Safety cal.'!L38</f>
        <v>Safety/DP Manager's role is exclusive duty in plant. (Safety/DP Manager is managing only safety and DP, and no any other jobs are assigned.)
And, a safety staff is asigned in plant.
(Safety Manager)</v>
      </c>
      <c r="J40" s="12"/>
    </row>
    <row r="41" spans="3:10" ht="66">
      <c r="C41" s="550"/>
      <c r="D41" s="550"/>
      <c r="E41" s="550"/>
      <c r="F41" s="559"/>
      <c r="G41" s="53" t="str">
        <f t="shared" si="0"/>
        <v>B+</v>
      </c>
      <c r="H41" s="53">
        <v>4</v>
      </c>
      <c r="I41" s="54" t="str">
        <f>'Safety cal.'!N38</f>
        <v>Safety/DP Manager's role is exclusive duty in plant. (Safety/DP Manager is managing only safety and DP, and no any other jobs are assigned.)
And, a safety staff's role also exclusive duty.
(Safety Manager)</v>
      </c>
      <c r="J41" s="12"/>
    </row>
    <row r="42" spans="3:10" ht="66">
      <c r="C42" s="550"/>
      <c r="D42" s="550"/>
      <c r="E42" s="550"/>
      <c r="F42" s="559"/>
      <c r="G42" s="53" t="str">
        <f t="shared" si="0"/>
        <v>A</v>
      </c>
      <c r="H42" s="53">
        <v>5</v>
      </c>
      <c r="I42" s="54" t="str">
        <f>'Safety cal.'!P38</f>
        <v>Safety/DP Manager's role is exclusive duty in plant. (Safety/DP Manager is managing only safety and DP, and no any other jobs are assigned.)
And, his/her experiece is more than three years.
(Safety Manager)</v>
      </c>
      <c r="J42" s="12"/>
    </row>
    <row r="43" spans="3:10" ht="33">
      <c r="C43" s="550"/>
      <c r="D43" s="550"/>
      <c r="E43" s="550"/>
      <c r="F43" s="558" t="s">
        <v>178</v>
      </c>
      <c r="G43" s="12" t="str">
        <f t="shared" si="0"/>
        <v>C</v>
      </c>
      <c r="H43" s="12">
        <v>1</v>
      </c>
      <c r="I43" s="11" t="str">
        <f>'Safety cal.'!H39</f>
        <v>There is no Safety Engineer (SE).
(Safety Manager)</v>
      </c>
      <c r="J43" s="12"/>
    </row>
    <row r="44" spans="3:10" ht="33">
      <c r="C44" s="550"/>
      <c r="D44" s="550"/>
      <c r="E44" s="550"/>
      <c r="F44" s="558"/>
      <c r="G44" s="12" t="str">
        <f t="shared" si="0"/>
        <v>B-</v>
      </c>
      <c r="H44" s="12">
        <v>2</v>
      </c>
      <c r="I44" s="11" t="str">
        <f>'Safety cal.'!J39</f>
        <v>SE has multiple roles.
(Safety Manager)</v>
      </c>
      <c r="J44" s="12"/>
    </row>
    <row r="45" spans="3:10" ht="33">
      <c r="C45" s="550"/>
      <c r="D45" s="550"/>
      <c r="E45" s="550"/>
      <c r="F45" s="558"/>
      <c r="G45" s="12" t="str">
        <f t="shared" si="0"/>
        <v>B</v>
      </c>
      <c r="H45" s="12">
        <v>3</v>
      </c>
      <c r="I45" s="11" t="str">
        <f>'Safety cal.'!L39</f>
        <v>There is a SE exclusive staff.
(Safety Manager)</v>
      </c>
      <c r="J45" s="12"/>
    </row>
    <row r="46" spans="3:10" ht="33">
      <c r="C46" s="550"/>
      <c r="D46" s="550"/>
      <c r="E46" s="550"/>
      <c r="F46" s="558"/>
      <c r="G46" s="12" t="str">
        <f t="shared" si="0"/>
        <v>B+</v>
      </c>
      <c r="H46" s="12">
        <v>4</v>
      </c>
      <c r="I46" s="11" t="str">
        <f>'Safety cal.'!N39</f>
        <v>SE has a official license certified by government.
(Safety Manager)</v>
      </c>
      <c r="J46" s="12"/>
    </row>
    <row r="47" spans="3:10" ht="33">
      <c r="C47" s="550"/>
      <c r="D47" s="550"/>
      <c r="E47" s="550"/>
      <c r="F47" s="558"/>
      <c r="G47" s="12" t="str">
        <f t="shared" si="0"/>
        <v>A</v>
      </c>
      <c r="H47" s="12">
        <v>5</v>
      </c>
      <c r="I47" s="11" t="str">
        <f>'Safety cal.'!P39</f>
        <v xml:space="preserve">There are SEs (two or more), and they do not have multiple role.
(Safety Manager) </v>
      </c>
      <c r="J47" s="12"/>
    </row>
    <row r="48" spans="3:10" ht="16.5">
      <c r="C48" s="2"/>
      <c r="D48" s="2"/>
      <c r="E48" s="2"/>
      <c r="F48" s="6"/>
      <c r="G48" s="6"/>
      <c r="H48" s="6"/>
      <c r="I48" s="3"/>
      <c r="J48" s="30"/>
    </row>
    <row r="49" spans="3:10" ht="16.5">
      <c r="C49" s="2"/>
      <c r="D49" s="2"/>
      <c r="E49" s="2"/>
      <c r="F49" s="6"/>
      <c r="G49" s="6"/>
      <c r="H49" s="6"/>
      <c r="I49" s="3"/>
      <c r="J49" s="30"/>
    </row>
    <row r="50" spans="3:10" ht="16.5">
      <c r="C50" s="2"/>
      <c r="D50" s="2"/>
      <c r="E50" s="2"/>
      <c r="F50" s="6"/>
      <c r="G50" s="6"/>
      <c r="H50" s="6"/>
      <c r="I50" s="3"/>
      <c r="J50" s="30"/>
    </row>
    <row r="51" spans="3:10" ht="16.5">
      <c r="C51" s="2"/>
      <c r="D51" s="2"/>
      <c r="E51" s="2"/>
      <c r="F51" s="6"/>
      <c r="G51" s="6"/>
      <c r="H51" s="6"/>
      <c r="I51" s="3"/>
      <c r="J51" s="30"/>
    </row>
    <row r="52" spans="3:10" ht="16.5">
      <c r="C52" s="2"/>
      <c r="D52" s="2"/>
      <c r="E52" s="2"/>
      <c r="F52" s="6"/>
      <c r="G52" s="6"/>
      <c r="H52" s="6"/>
      <c r="I52" s="3"/>
      <c r="J52" s="30"/>
    </row>
    <row r="53" spans="3:10" ht="16.5">
      <c r="F53" s="6"/>
      <c r="G53" s="6"/>
      <c r="H53" s="6"/>
      <c r="I53" s="3"/>
      <c r="J53" s="30"/>
    </row>
    <row r="54" spans="3:10" ht="16.5" hidden="1">
      <c r="F54" s="17" t="s">
        <v>429</v>
      </c>
      <c r="G54" s="17"/>
      <c r="H54" s="17"/>
      <c r="I54" s="18" t="s">
        <v>430</v>
      </c>
      <c r="J54" s="31"/>
    </row>
    <row r="55" spans="3:10" ht="16.5" hidden="1">
      <c r="F55" s="17"/>
      <c r="G55" s="17"/>
      <c r="H55" s="17"/>
      <c r="I55" s="18"/>
      <c r="J55" s="31"/>
    </row>
    <row r="56" spans="3:10" ht="16.5" hidden="1">
      <c r="F56" s="17" t="s">
        <v>437</v>
      </c>
      <c r="G56" s="17"/>
      <c r="H56" s="17"/>
      <c r="I56" s="18" t="s">
        <v>438</v>
      </c>
      <c r="J56" s="31"/>
    </row>
    <row r="57" spans="3:10" ht="16.5" hidden="1">
      <c r="F57" s="17"/>
      <c r="G57" s="17"/>
      <c r="H57" s="17"/>
      <c r="I57" s="18" t="s">
        <v>443</v>
      </c>
      <c r="J57" s="31"/>
    </row>
    <row r="58" spans="3:10" ht="16.5" hidden="1">
      <c r="F58" s="17" t="s">
        <v>445</v>
      </c>
      <c r="G58" s="17"/>
      <c r="H58" s="17"/>
      <c r="I58" s="19"/>
      <c r="J58" s="17"/>
    </row>
    <row r="59" spans="3:10" ht="16.5" hidden="1">
      <c r="F59" s="17"/>
      <c r="G59" s="17"/>
      <c r="H59" s="17"/>
      <c r="I59" s="18"/>
      <c r="J59" s="31"/>
    </row>
    <row r="60" spans="3:10" ht="16.5" hidden="1">
      <c r="F60" s="17" t="s">
        <v>449</v>
      </c>
      <c r="G60" s="17"/>
      <c r="H60" s="17"/>
      <c r="I60" s="18" t="s">
        <v>450</v>
      </c>
      <c r="J60" s="31"/>
    </row>
    <row r="61" spans="3:10" ht="16.5" hidden="1">
      <c r="F61" s="17"/>
      <c r="G61" s="17"/>
      <c r="H61" s="17"/>
      <c r="I61" s="18" t="s">
        <v>455</v>
      </c>
      <c r="J61" s="31"/>
    </row>
    <row r="62" spans="3:10" ht="33" hidden="1">
      <c r="F62" s="20" t="s">
        <v>458</v>
      </c>
      <c r="G62" s="20"/>
      <c r="H62" s="20"/>
      <c r="I62" s="21" t="s">
        <v>459</v>
      </c>
      <c r="J62" s="32"/>
    </row>
    <row r="63" spans="3:10" ht="16.5" hidden="1">
      <c r="F63" s="20"/>
      <c r="G63" s="20"/>
      <c r="H63" s="20"/>
      <c r="I63" s="21"/>
      <c r="J63" s="32"/>
    </row>
    <row r="64" spans="3:10" ht="16.5">
      <c r="F64" s="6"/>
      <c r="G64" s="6"/>
      <c r="H64" s="6"/>
      <c r="I64" s="3"/>
      <c r="J64" s="30"/>
    </row>
  </sheetData>
  <mergeCells count="22">
    <mergeCell ref="F35:F37"/>
    <mergeCell ref="F38:F42"/>
    <mergeCell ref="F43:F47"/>
    <mergeCell ref="F25:F28"/>
    <mergeCell ref="F30:F34"/>
    <mergeCell ref="E17:E24"/>
    <mergeCell ref="D17:D24"/>
    <mergeCell ref="C17:C24"/>
    <mergeCell ref="F7:F11"/>
    <mergeCell ref="F12:F16"/>
    <mergeCell ref="F17:F18"/>
    <mergeCell ref="F20:F24"/>
    <mergeCell ref="C7:C16"/>
    <mergeCell ref="D7:D16"/>
    <mergeCell ref="E7:E16"/>
    <mergeCell ref="E35:E37"/>
    <mergeCell ref="C38:C47"/>
    <mergeCell ref="D38:D47"/>
    <mergeCell ref="E38:E47"/>
    <mergeCell ref="C25:C37"/>
    <mergeCell ref="D25:D37"/>
    <mergeCell ref="E25:E34"/>
  </mergeCells>
  <phoneticPr fontId="6"/>
  <conditionalFormatting sqref="L7:L47 J7:J47">
    <cfRule type="containsText" dxfId="9" priority="10" operator="containsText" text="No">
      <formula>NOT(ISERROR(SEARCH("No",J7)))</formula>
    </cfRule>
  </conditionalFormatting>
  <pageMargins left="0.7" right="0.7" top="0.75" bottom="0.75" header="0.3" footer="0.3"/>
  <pageSetup paperSize="8" scale="48" orientation="landscape" r:id="rId1"/>
  <rowBreaks count="1" manualBreakCount="1">
    <brk id="24" max="44" man="1"/>
  </rowBreaks>
  <extLst>
    <ext xmlns:x14="http://schemas.microsoft.com/office/spreadsheetml/2009/9/main" uri="{78C0D931-6437-407d-A8EE-F0AAD7539E65}">
      <x14:conditionalFormattings>
        <x14:conditionalFormatting xmlns:xm="http://schemas.microsoft.com/office/excel/2006/main">
          <x14:cfRule type="containsText" priority="9" operator="containsText" id="{3489DE8D-86CC-4EE6-9DEC-D8E6A4577A04}">
            <xm:f>NOT(ISERROR(SEARCH("-",L7)))</xm:f>
            <xm:f>"-"</xm:f>
            <x14:dxf>
              <fill>
                <patternFill>
                  <bgColor theme="0" tint="-0.24994659260841701"/>
                </patternFill>
              </fill>
            </x14:dxf>
          </x14:cfRule>
          <xm:sqref>L7:L47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93210-B812-43DA-ABDE-0C1D90DBF18E}">
  <sheetPr>
    <tabColor theme="9" tint="0.59999389629810485"/>
  </sheetPr>
  <dimension ref="B2:J51"/>
  <sheetViews>
    <sheetView topLeftCell="A12" zoomScale="80" zoomScaleNormal="70" workbookViewId="0">
      <selection activeCell="N32" sqref="N32"/>
    </sheetView>
  </sheetViews>
  <sheetFormatPr defaultColWidth="8.81640625" defaultRowHeight="14.5"/>
  <cols>
    <col min="1" max="1" width="1.7265625" customWidth="1"/>
    <col min="3" max="3" width="15.1796875" bestFit="1" customWidth="1"/>
    <col min="4" max="4" width="32.453125" hidden="1" customWidth="1"/>
    <col min="5" max="5" width="22.1796875" hidden="1" customWidth="1"/>
    <col min="6" max="6" width="14.54296875" customWidth="1"/>
    <col min="7" max="8" width="12" customWidth="1"/>
    <col min="9" max="9" width="84.54296875" customWidth="1"/>
    <col min="10" max="10" width="10.1796875" style="22" customWidth="1"/>
  </cols>
  <sheetData>
    <row r="2" spans="2:10" ht="16.5">
      <c r="B2" s="1" t="s">
        <v>644</v>
      </c>
      <c r="C2" s="2"/>
      <c r="D2" s="2"/>
      <c r="E2" s="2"/>
      <c r="F2" s="2"/>
      <c r="G2" s="2"/>
      <c r="H2" s="2"/>
      <c r="I2" s="3"/>
      <c r="J2" s="30"/>
    </row>
    <row r="3" spans="2:10" ht="16.5">
      <c r="B3" s="4"/>
      <c r="C3" s="2" t="s">
        <v>479</v>
      </c>
      <c r="D3" s="2"/>
      <c r="E3" s="2"/>
      <c r="F3" s="2"/>
      <c r="G3" s="2"/>
      <c r="H3" s="2"/>
      <c r="I3" s="3"/>
      <c r="J3" s="30"/>
    </row>
    <row r="4" spans="2:10" ht="16.5">
      <c r="B4" s="5"/>
      <c r="C4" s="2" t="s">
        <v>480</v>
      </c>
      <c r="D4" s="2"/>
      <c r="E4" s="2"/>
      <c r="F4" s="7"/>
      <c r="G4" s="7"/>
      <c r="H4" s="7"/>
      <c r="I4" s="25"/>
      <c r="J4" s="6"/>
    </row>
    <row r="5" spans="2:10" ht="16.5">
      <c r="B5" s="2"/>
      <c r="C5" s="2"/>
      <c r="D5" s="2"/>
      <c r="E5" s="7"/>
      <c r="F5" s="3"/>
      <c r="G5" s="3"/>
      <c r="H5" s="3"/>
      <c r="I5" s="3"/>
      <c r="J5" s="30"/>
    </row>
    <row r="6" spans="2:10" ht="38.5" customHeight="1">
      <c r="B6" s="2"/>
      <c r="C6" s="59" t="s">
        <v>40</v>
      </c>
      <c r="D6" s="58" t="s">
        <v>645</v>
      </c>
      <c r="E6" s="58" t="s">
        <v>646</v>
      </c>
      <c r="F6" s="59" t="s">
        <v>43</v>
      </c>
      <c r="G6" s="58" t="s">
        <v>9</v>
      </c>
      <c r="H6" s="58" t="s">
        <v>647</v>
      </c>
      <c r="I6" s="59" t="s">
        <v>648</v>
      </c>
      <c r="J6" s="59" t="s">
        <v>489</v>
      </c>
    </row>
    <row r="7" spans="2:10" ht="33">
      <c r="C7" s="550" t="s">
        <v>101</v>
      </c>
      <c r="D7" s="550" t="s">
        <v>652</v>
      </c>
      <c r="E7" s="550" t="s">
        <v>653</v>
      </c>
      <c r="F7" s="550" t="s">
        <v>104</v>
      </c>
      <c r="G7" s="59" t="str">
        <f>IF(H7=1,"C",IF(H7=2,"B-",IF(H7=3,"B",IF(H7=4,"B+",IF(H7=5,"A")))))</f>
        <v>B-</v>
      </c>
      <c r="H7" s="59">
        <v>2</v>
      </c>
      <c r="I7" s="15" t="str">
        <f>'Safety cal.'!J24</f>
        <v>OH&amp;S policy has been established at site. And the manager can explain it.
(System: Plant Manager: No.9)</v>
      </c>
      <c r="J7" s="29" t="s">
        <v>651</v>
      </c>
    </row>
    <row r="8" spans="2:10" ht="33">
      <c r="C8" s="550"/>
      <c r="D8" s="550"/>
      <c r="E8" s="550"/>
      <c r="F8" s="550"/>
      <c r="G8" s="59" t="str">
        <f t="shared" ref="G8:G35" si="0">IF(H8=1,"C",IF(H8=2,"B-",IF(H8=3,"B",IF(H8=4,"B+",IF(H8=5,"A")))))</f>
        <v>B</v>
      </c>
      <c r="H8" s="59">
        <v>3</v>
      </c>
      <c r="I8" s="15" t="str">
        <f>'Safety cal.'!L24</f>
        <v>Management can describe and explain the site's OH&amp;S objectives and goals.
(System: Manager: No.66)</v>
      </c>
      <c r="J8" s="29" t="s">
        <v>651</v>
      </c>
    </row>
    <row r="9" spans="2:10" ht="49.5">
      <c r="C9" s="550"/>
      <c r="D9" s="550"/>
      <c r="E9" s="550"/>
      <c r="F9" s="550"/>
      <c r="G9" s="59" t="str">
        <f t="shared" si="0"/>
        <v>B+</v>
      </c>
      <c r="H9" s="59">
        <v>4</v>
      </c>
      <c r="I9" s="15" t="str">
        <f>'Safety cal.'!N24</f>
        <v>The plan contains goals to be achieved which are relevant to the incidents and risks identified by the SBU.
(System: Manager: No.98)</v>
      </c>
      <c r="J9" s="29" t="s">
        <v>651</v>
      </c>
    </row>
    <row r="10" spans="2:10" ht="33">
      <c r="C10" s="550"/>
      <c r="D10" s="550"/>
      <c r="E10" s="550"/>
      <c r="F10" s="550" t="s">
        <v>109</v>
      </c>
      <c r="G10" s="59" t="str">
        <f t="shared" si="0"/>
        <v>B-</v>
      </c>
      <c r="H10" s="59">
        <v>2</v>
      </c>
      <c r="I10" s="15" t="str">
        <f>'Safety cal.'!J25</f>
        <v>There are documented OH&amp;S action plans and evidence of OH&amp;S results tracking.
(System: Plant Manager: No.10)</v>
      </c>
      <c r="J10" s="29"/>
    </row>
    <row r="11" spans="2:10" ht="66">
      <c r="C11" s="550"/>
      <c r="D11" s="550"/>
      <c r="E11" s="550"/>
      <c r="F11" s="550"/>
      <c r="G11" s="59" t="str">
        <f t="shared" si="0"/>
        <v>B</v>
      </c>
      <c r="H11" s="59">
        <v>3</v>
      </c>
      <c r="I11" s="15" t="str">
        <f>'Safety cal.'!L25</f>
        <v>Safety KPIs are tracked at plant, department and line level.
To solve issues on H&amp;S, site leadership follow safety KPIs, and give directions to review the safety program if necessary.
(Leadership: Plant Manager: No.6)</v>
      </c>
      <c r="J11" s="29"/>
    </row>
    <row r="12" spans="2:10" ht="82.5">
      <c r="C12" s="550"/>
      <c r="D12" s="550"/>
      <c r="E12" s="550"/>
      <c r="F12" s="550"/>
      <c r="G12" s="59" t="str">
        <f t="shared" si="0"/>
        <v>B+</v>
      </c>
      <c r="H12" s="59">
        <v>4</v>
      </c>
      <c r="I12" s="15" t="str">
        <f>'Safety cal.'!N25</f>
        <v>Safety KPIs are tracked positively at plant, department and line level - using "Leading indicators"(e.g. Progress of RA, KPI for 3S activity, etc.)
Site leadership follow not only lagging indicator(e.g. # of injuries), but also leading indicators, and give directions to review and/or improve safety programs if necessary.
(Leadership: Plant Manager: No.14)</v>
      </c>
      <c r="J12" s="29"/>
    </row>
    <row r="13" spans="2:10" ht="82.5">
      <c r="C13" s="550"/>
      <c r="D13" s="550"/>
      <c r="E13" s="550"/>
      <c r="F13" s="550"/>
      <c r="G13" s="59" t="str">
        <f t="shared" si="0"/>
        <v>A</v>
      </c>
      <c r="H13" s="59">
        <v>5</v>
      </c>
      <c r="I13" s="15" t="str">
        <f>'Safety cal.'!P25</f>
        <v>The Plant Manager can describe his/her OH&amp;S strategy and its goals, and how it will be implemented and the goals achieved.
And, the strategy has been reviewed quarterly - its progress, validity. Also, revision/instruction for the starategy result have been implemented by plant manager.
(Leadership: Plant manager: No.21)</v>
      </c>
      <c r="J13" s="29"/>
    </row>
    <row r="14" spans="2:10" ht="66">
      <c r="C14" s="550" t="s">
        <v>117</v>
      </c>
      <c r="D14" s="550" t="s">
        <v>655</v>
      </c>
      <c r="E14" s="550" t="s">
        <v>658</v>
      </c>
      <c r="F14" s="558" t="s">
        <v>152</v>
      </c>
      <c r="G14" s="12" t="str">
        <f t="shared" si="0"/>
        <v>B+</v>
      </c>
      <c r="H14" s="12">
        <v>4</v>
      </c>
      <c r="I14" s="13" t="str">
        <f>'Safety cal.'!N34</f>
        <v>Safety IIP is approved by plant manager and safety committee, and it was deployed into all department, and all department shared it in team. (Each department has each safety IIP)
(Safety Manager)
 *Ask Manager (not safety)</v>
      </c>
      <c r="J14" s="12"/>
    </row>
    <row r="15" spans="2:10" ht="82.5">
      <c r="C15" s="550"/>
      <c r="D15" s="550"/>
      <c r="E15" s="550"/>
      <c r="F15" s="558"/>
      <c r="G15" s="12" t="str">
        <f t="shared" si="0"/>
        <v>A</v>
      </c>
      <c r="H15" s="12">
        <v>5</v>
      </c>
      <c r="I15" s="13" t="str">
        <f>'Safety cal.'!P34</f>
        <v>Before Safety IIP is approved by plant manager and safety committee, the plan has been discussed and built a consensus by all team.
And, all teammates has been explained it and confirmed its understandings.
(Safety Manager)
 *Ask Manager (not safety)</v>
      </c>
      <c r="J15" s="12"/>
    </row>
    <row r="16" spans="2:10" ht="49.5">
      <c r="C16" s="550"/>
      <c r="D16" s="550"/>
      <c r="E16" s="550"/>
      <c r="F16" s="558" t="s">
        <v>157</v>
      </c>
      <c r="G16" s="12" t="str">
        <f t="shared" si="0"/>
        <v>C</v>
      </c>
      <c r="H16" s="12">
        <v>1</v>
      </c>
      <c r="I16" s="13" t="str">
        <f>'Safety cal.'!H35</f>
        <v>Safety activities have not been conducted as the IIP in plant.
(Safety Manager)
 *Ask Manager (not safety)</v>
      </c>
      <c r="J16" s="12"/>
    </row>
    <row r="17" spans="3:10" ht="66">
      <c r="C17" s="550"/>
      <c r="D17" s="550"/>
      <c r="E17" s="550"/>
      <c r="F17" s="558"/>
      <c r="G17" s="12" t="str">
        <f t="shared" si="0"/>
        <v>B-</v>
      </c>
      <c r="H17" s="12">
        <v>2</v>
      </c>
      <c r="I17" s="13" t="str">
        <f>'Safety cal.'!J35</f>
        <v>Almost of Safety activities have been conducted as the IIP in plant, but some activities have not.
(Safety Manager)
 *Ask Manager (not safety)</v>
      </c>
      <c r="J17" s="12"/>
    </row>
    <row r="18" spans="3:10" ht="49.5">
      <c r="C18" s="550"/>
      <c r="D18" s="550"/>
      <c r="E18" s="550"/>
      <c r="F18" s="558"/>
      <c r="G18" s="12" t="str">
        <f t="shared" si="0"/>
        <v>B</v>
      </c>
      <c r="H18" s="12">
        <v>3</v>
      </c>
      <c r="I18" s="13" t="str">
        <f>'Safety cal.'!L35</f>
        <v>Safety activities have been conducted as the IIP in plant.
(Safety Manager)
 *Ask Manager (not safety)</v>
      </c>
      <c r="J18" s="12"/>
    </row>
    <row r="19" spans="3:10" ht="49.5">
      <c r="C19" s="550"/>
      <c r="D19" s="550"/>
      <c r="E19" s="550"/>
      <c r="F19" s="558"/>
      <c r="G19" s="12" t="str">
        <f t="shared" si="0"/>
        <v>B+</v>
      </c>
      <c r="H19" s="12">
        <v>4</v>
      </c>
      <c r="I19" s="13" t="str">
        <f>'Safety cal.'!N35</f>
        <v>Safety activities have been conducted as the IIP in plant, but it is only for direct employee. 
(Safety Manager)
 *Ask Manager (not safety)</v>
      </c>
      <c r="J19" s="12"/>
    </row>
    <row r="20" spans="3:10" ht="66">
      <c r="C20" s="550"/>
      <c r="D20" s="550"/>
      <c r="E20" s="550"/>
      <c r="F20" s="558"/>
      <c r="G20" s="12" t="str">
        <f t="shared" si="0"/>
        <v>A</v>
      </c>
      <c r="H20" s="12">
        <v>5</v>
      </c>
      <c r="I20" s="13" t="str">
        <f>'Safety cal.'!P35</f>
        <v>Managers lead/self-implement/follow-up/instruct  safety activities as safety IIP, and 
all workers in plant have implemented these.
(Safety Manager)
 *Ask Manager (not safety)</v>
      </c>
      <c r="J20" s="12"/>
    </row>
    <row r="21" spans="3:10" ht="49.5">
      <c r="C21" s="550"/>
      <c r="D21" s="550"/>
      <c r="E21" s="550"/>
      <c r="F21" s="558" t="s">
        <v>162</v>
      </c>
      <c r="G21" s="12" t="str">
        <f t="shared" si="0"/>
        <v>C</v>
      </c>
      <c r="H21" s="12">
        <v>1</v>
      </c>
      <c r="I21" s="13" t="str">
        <f>'Safety cal.'!H36</f>
        <v>Progress of safety IIP have not been followed-up.
(Safety Manager)
 *Ask Manager (not safety)</v>
      </c>
      <c r="J21" s="12"/>
    </row>
    <row r="22" spans="3:10" ht="49.5">
      <c r="C22" s="550"/>
      <c r="D22" s="550"/>
      <c r="E22" s="550"/>
      <c r="F22" s="558"/>
      <c r="G22" s="12" t="str">
        <f t="shared" si="0"/>
        <v>B-</v>
      </c>
      <c r="H22" s="12">
        <v>2</v>
      </c>
      <c r="I22" s="13" t="str">
        <f>'Safety cal.'!J36</f>
        <v>Progress of safety IIP have been followed-up almost, but not all items.
(Safety Manager)
 *Ask Manager (not safety)</v>
      </c>
      <c r="J22" s="12"/>
    </row>
    <row r="23" spans="3:10" ht="66">
      <c r="C23" s="550"/>
      <c r="D23" s="550"/>
      <c r="E23" s="550"/>
      <c r="F23" s="558"/>
      <c r="G23" s="12" t="str">
        <f t="shared" si="0"/>
        <v>B</v>
      </c>
      <c r="H23" s="12">
        <v>3</v>
      </c>
      <c r="I23" s="13" t="str">
        <f>'Safety cal.'!L36</f>
        <v>All items in Safety IIP have been followed-up.
(At least once a month)
(Safety Manager)
 *Ask Manager (not safety)</v>
      </c>
      <c r="J23" s="12"/>
    </row>
    <row r="24" spans="3:10" ht="82.5">
      <c r="C24" s="550"/>
      <c r="D24" s="550"/>
      <c r="E24" s="550"/>
      <c r="F24" s="558"/>
      <c r="G24" s="12" t="str">
        <f t="shared" si="0"/>
        <v>B+</v>
      </c>
      <c r="H24" s="12">
        <v>4</v>
      </c>
      <c r="I24" s="13" t="str">
        <f>'Safety cal.'!N36</f>
        <v>All items in Safety IIP have been followed-up more than once a month, but it is not enough to check/confirm it in GENBA.
 *No evidence to check/confirm in GENBA
(Safety Manager)
 *Ask Manager (not safety)</v>
      </c>
      <c r="J24" s="12"/>
    </row>
    <row r="25" spans="3:10" ht="66">
      <c r="C25" s="550"/>
      <c r="D25" s="550"/>
      <c r="E25" s="550"/>
      <c r="F25" s="558"/>
      <c r="G25" s="12" t="str">
        <f t="shared" si="0"/>
        <v>A</v>
      </c>
      <c r="H25" s="12">
        <v>5</v>
      </c>
      <c r="I25" s="13" t="str">
        <f>'Safety cal.'!P36</f>
        <v>Progress of Safety IIP have been followed-up by management team, including SVs, and it has been checked/confirmed in GENBA.
(Manager, SV)
 *Ask Manager (not safety)</v>
      </c>
      <c r="J25" s="12"/>
    </row>
    <row r="26" spans="3:10" ht="66">
      <c r="C26" s="550"/>
      <c r="D26" s="550"/>
      <c r="E26" s="550"/>
      <c r="F26" s="558" t="s">
        <v>167</v>
      </c>
      <c r="G26" s="12" t="str">
        <f t="shared" si="0"/>
        <v>C</v>
      </c>
      <c r="H26" s="12">
        <v>1</v>
      </c>
      <c r="I26" s="13" t="str">
        <f>'Safety cal.'!H37</f>
        <v>Safety IIP has been followed-up but review/re-thinking has not been done, issued/OFI have not been extracted.
(Safety Manager)
 *Ask Manager (not safety)</v>
      </c>
      <c r="J26" s="12"/>
    </row>
    <row r="27" spans="3:10" ht="66">
      <c r="C27" s="550"/>
      <c r="D27" s="550"/>
      <c r="E27" s="550"/>
      <c r="F27" s="558"/>
      <c r="G27" s="12" t="str">
        <f t="shared" si="0"/>
        <v>B-</v>
      </c>
      <c r="H27" s="12">
        <v>2</v>
      </c>
      <c r="I27" s="13" t="str">
        <f>'Safety cal.'!J37</f>
        <v>Safety IIP has been followed-up, and review/re-thinking has not been done, also, issued/OFI have been extracted, but not for all item.
(Safety Manager)
 *Ask Manager (not safety)</v>
      </c>
      <c r="J27" s="12"/>
    </row>
    <row r="28" spans="3:10" ht="82.5">
      <c r="C28" s="550"/>
      <c r="D28" s="550"/>
      <c r="E28" s="550"/>
      <c r="F28" s="558"/>
      <c r="G28" s="12" t="str">
        <f t="shared" si="0"/>
        <v>B</v>
      </c>
      <c r="H28" s="12">
        <v>3</v>
      </c>
      <c r="I28" s="13" t="str">
        <f>'Safety cal.'!L37</f>
        <v>Safety IIP has been followed-up, and review/re-thinking has not been done, also, issued/OFI have been extracted, but safety activities have not evolved. (just backing-up or revise frequency)
(Safety Manager)
 *Ask Manager (not safety)</v>
      </c>
      <c r="J28" s="12"/>
    </row>
    <row r="29" spans="3:10" ht="93" customHeight="1">
      <c r="C29" s="550"/>
      <c r="D29" s="550"/>
      <c r="E29" s="550"/>
      <c r="F29" s="558"/>
      <c r="G29" s="12" t="str">
        <f t="shared" si="0"/>
        <v>B+</v>
      </c>
      <c r="H29" s="12">
        <v>4</v>
      </c>
      <c r="I29" s="13" t="str">
        <f>'Safety cal.'!N37</f>
        <v>Safety IIP has been followed-up, and review/re-thinking has not been done, also, issued/OFI have been extracted, resulting in safety activities have evolved. But, these activities have not been standardized.
(Safety Manager)
 *Ask Manager (not safety)</v>
      </c>
      <c r="J29" s="12"/>
    </row>
    <row r="30" spans="3:10" ht="93" customHeight="1">
      <c r="C30" s="550"/>
      <c r="D30" s="550"/>
      <c r="E30" s="550"/>
      <c r="F30" s="558"/>
      <c r="G30" s="12" t="str">
        <f t="shared" si="0"/>
        <v>A</v>
      </c>
      <c r="H30" s="12">
        <v>5</v>
      </c>
      <c r="I30" s="13" t="str">
        <f>'Safety cal.'!P37</f>
        <v>Safety IIP has been followed-up, and review/re-thinking has not been done, also, issued/OFI have been extracted, resulting in safety activities have evolved. And, these activities have been standardized to keep it going.
(Safety Manager)
 *Ask Manager (not safety)</v>
      </c>
      <c r="J30" s="12"/>
    </row>
    <row r="31" spans="3:10" ht="66">
      <c r="C31" s="550" t="s">
        <v>172</v>
      </c>
      <c r="D31" s="550" t="s">
        <v>659</v>
      </c>
      <c r="E31" s="550" t="s">
        <v>660</v>
      </c>
      <c r="F31" s="560" t="s">
        <v>184</v>
      </c>
      <c r="G31" s="10" t="str">
        <f t="shared" si="0"/>
        <v>C</v>
      </c>
      <c r="H31" s="12">
        <v>1</v>
      </c>
      <c r="I31" s="11" t="str">
        <f>'Safety cal.'!H40</f>
        <v>Budget for recurrence prevention, RA countermeasure, and working hours (human resource) is not enough.
(Safety Manager)
 *Ask Manager (not safety)</v>
      </c>
      <c r="J31" s="12"/>
    </row>
    <row r="32" spans="3:10" ht="49.5">
      <c r="C32" s="550"/>
      <c r="D32" s="550"/>
      <c r="E32" s="550"/>
      <c r="F32" s="560"/>
      <c r="G32" s="12" t="str">
        <f t="shared" si="0"/>
        <v>B-</v>
      </c>
      <c r="H32" s="12">
        <v>2</v>
      </c>
      <c r="I32" s="11" t="str">
        <f>'Safety cal.'!J40</f>
        <v>There is a lack of budget for either recurrence prevention, RA countermeasure, and working hours(human resource).
(Safety Manager)</v>
      </c>
      <c r="J32" s="12"/>
    </row>
    <row r="33" spans="3:10" ht="66">
      <c r="C33" s="550"/>
      <c r="D33" s="550"/>
      <c r="E33" s="550"/>
      <c r="F33" s="560"/>
      <c r="G33" s="12" t="str">
        <f t="shared" si="0"/>
        <v>B</v>
      </c>
      <c r="H33" s="12">
        <v>3</v>
      </c>
      <c r="I33" s="11" t="str">
        <f>'Safety cal.'!L40</f>
        <v>Budget for recurrence prevention, RA countermeasure, and working hours (human resource) is prepared enough as plan.
(Safety Manager)
 *Ask Manager (not safety)</v>
      </c>
      <c r="J33" s="12"/>
    </row>
    <row r="34" spans="3:10" ht="66">
      <c r="C34" s="550"/>
      <c r="D34" s="550"/>
      <c r="E34" s="550"/>
      <c r="F34" s="560"/>
      <c r="G34" s="12" t="str">
        <f t="shared" si="0"/>
        <v>B+</v>
      </c>
      <c r="H34" s="12">
        <v>4</v>
      </c>
      <c r="I34" s="11" t="str">
        <f>'Safety cal.'!N40</f>
        <v>Budget is used for recurrence prevention, RA countermeasure, and any other activities as planed.
(Safety Manager)
 *Ask Manager (not safety)</v>
      </c>
      <c r="J34" s="12"/>
    </row>
    <row r="35" spans="3:10" ht="66">
      <c r="C35" s="550"/>
      <c r="D35" s="550"/>
      <c r="E35" s="550"/>
      <c r="F35" s="560"/>
      <c r="G35" s="12" t="str">
        <f t="shared" si="0"/>
        <v>A</v>
      </c>
      <c r="H35" s="12">
        <v>5</v>
      </c>
      <c r="I35" s="11" t="str">
        <f>'Safety cal.'!P40</f>
        <v>Budget is prepared even for sudden accidents. Or, in case of sudden accidents, additional budget is obtained, and recurrence prevention, RA countermeasure, and any other activities are implemented ahead of schedule.
(Safety Manager)</v>
      </c>
      <c r="J35" s="12"/>
    </row>
    <row r="36" spans="3:10" ht="16.5">
      <c r="C36" s="2"/>
      <c r="D36" s="2"/>
      <c r="E36" s="2"/>
      <c r="F36" s="6"/>
      <c r="G36" s="6"/>
      <c r="H36" s="6"/>
      <c r="I36" s="3"/>
      <c r="J36" s="30"/>
    </row>
    <row r="37" spans="3:10" ht="16.5">
      <c r="C37" s="2"/>
      <c r="D37" s="2"/>
      <c r="E37" s="2"/>
      <c r="F37" s="6"/>
      <c r="G37" s="6"/>
      <c r="H37" s="6"/>
      <c r="I37" s="3"/>
      <c r="J37" s="30"/>
    </row>
    <row r="38" spans="3:10" ht="16.5">
      <c r="C38" s="2"/>
      <c r="D38" s="2"/>
      <c r="E38" s="2"/>
      <c r="F38" s="6"/>
      <c r="G38" s="6"/>
      <c r="H38" s="6"/>
      <c r="I38" s="3"/>
      <c r="J38" s="30"/>
    </row>
    <row r="39" spans="3:10" ht="16.5">
      <c r="C39" s="2"/>
      <c r="D39" s="2"/>
      <c r="E39" s="2"/>
      <c r="F39" s="6"/>
      <c r="G39" s="6"/>
      <c r="H39" s="6"/>
      <c r="I39" s="3"/>
      <c r="J39" s="30"/>
    </row>
    <row r="40" spans="3:10" ht="16.5">
      <c r="F40" s="6"/>
      <c r="G40" s="6"/>
      <c r="H40" s="6"/>
      <c r="I40" s="3"/>
      <c r="J40" s="30"/>
    </row>
    <row r="41" spans="3:10" ht="16.5" hidden="1">
      <c r="F41" s="17" t="s">
        <v>429</v>
      </c>
      <c r="G41" s="17"/>
      <c r="H41" s="17"/>
      <c r="I41" s="18" t="s">
        <v>430</v>
      </c>
      <c r="J41" s="31"/>
    </row>
    <row r="42" spans="3:10" ht="16.5" hidden="1">
      <c r="F42" s="17"/>
      <c r="G42" s="17"/>
      <c r="H42" s="17"/>
      <c r="I42" s="18"/>
      <c r="J42" s="31"/>
    </row>
    <row r="43" spans="3:10" ht="16.5" hidden="1">
      <c r="F43" s="17" t="s">
        <v>437</v>
      </c>
      <c r="G43" s="17"/>
      <c r="H43" s="17"/>
      <c r="I43" s="18" t="s">
        <v>438</v>
      </c>
      <c r="J43" s="31"/>
    </row>
    <row r="44" spans="3:10" ht="16.5" hidden="1">
      <c r="F44" s="17"/>
      <c r="G44" s="17"/>
      <c r="H44" s="17"/>
      <c r="I44" s="18" t="s">
        <v>443</v>
      </c>
      <c r="J44" s="31"/>
    </row>
    <row r="45" spans="3:10" ht="16.5" hidden="1">
      <c r="F45" s="17" t="s">
        <v>445</v>
      </c>
      <c r="G45" s="17"/>
      <c r="H45" s="17"/>
      <c r="I45" s="19"/>
      <c r="J45" s="17"/>
    </row>
    <row r="46" spans="3:10" ht="16.5" hidden="1">
      <c r="F46" s="17"/>
      <c r="G46" s="17"/>
      <c r="H46" s="17"/>
      <c r="I46" s="18"/>
      <c r="J46" s="31"/>
    </row>
    <row r="47" spans="3:10" ht="16.5" hidden="1">
      <c r="F47" s="17" t="s">
        <v>449</v>
      </c>
      <c r="G47" s="17"/>
      <c r="H47" s="17"/>
      <c r="I47" s="18" t="s">
        <v>450</v>
      </c>
      <c r="J47" s="31"/>
    </row>
    <row r="48" spans="3:10" ht="16.5" hidden="1">
      <c r="F48" s="17"/>
      <c r="G48" s="17"/>
      <c r="H48" s="17"/>
      <c r="I48" s="18" t="s">
        <v>455</v>
      </c>
      <c r="J48" s="31"/>
    </row>
    <row r="49" spans="6:10" ht="33" hidden="1">
      <c r="F49" s="20" t="s">
        <v>458</v>
      </c>
      <c r="G49" s="20"/>
      <c r="H49" s="20"/>
      <c r="I49" s="21" t="s">
        <v>459</v>
      </c>
      <c r="J49" s="32"/>
    </row>
    <row r="50" spans="6:10" ht="16.5" hidden="1">
      <c r="F50" s="20"/>
      <c r="G50" s="20"/>
      <c r="H50" s="20"/>
      <c r="I50" s="21"/>
      <c r="J50" s="32"/>
    </row>
    <row r="51" spans="6:10" ht="16.5">
      <c r="F51" s="6"/>
      <c r="G51" s="6"/>
      <c r="H51" s="6"/>
      <c r="I51" s="3"/>
      <c r="J51" s="30"/>
    </row>
  </sheetData>
  <mergeCells count="16">
    <mergeCell ref="C7:C13"/>
    <mergeCell ref="D7:D13"/>
    <mergeCell ref="E7:E13"/>
    <mergeCell ref="F7:F9"/>
    <mergeCell ref="F10:F13"/>
    <mergeCell ref="D31:D35"/>
    <mergeCell ref="C14:C30"/>
    <mergeCell ref="E14:E30"/>
    <mergeCell ref="D14:D30"/>
    <mergeCell ref="F26:F30"/>
    <mergeCell ref="C31:C35"/>
    <mergeCell ref="F14:F15"/>
    <mergeCell ref="F16:F20"/>
    <mergeCell ref="F21:F25"/>
    <mergeCell ref="F31:F35"/>
    <mergeCell ref="E31:E35"/>
  </mergeCells>
  <phoneticPr fontId="6"/>
  <conditionalFormatting sqref="J7:J35">
    <cfRule type="containsText" dxfId="7" priority="10" operator="containsText" text="No">
      <formula>NOT(ISERROR(SEARCH("No",J7)))</formula>
    </cfRule>
  </conditionalFormatting>
  <pageMargins left="0.7" right="0.7" top="0.75" bottom="0.75" header="0.3" footer="0.3"/>
  <pageSetup paperSize="8" scale="4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D31BC-B804-485F-88D3-7F4E5F47E7D9}">
  <sheetPr>
    <tabColor theme="9" tint="0.59999389629810485"/>
  </sheetPr>
  <dimension ref="B2:J56"/>
  <sheetViews>
    <sheetView topLeftCell="B21" zoomScale="83" zoomScaleNormal="70" workbookViewId="0">
      <selection activeCell="N32" sqref="N32"/>
    </sheetView>
  </sheetViews>
  <sheetFormatPr defaultColWidth="8.81640625" defaultRowHeight="14.5"/>
  <cols>
    <col min="1" max="1" width="1.7265625" customWidth="1"/>
    <col min="3" max="3" width="15.1796875" bestFit="1" customWidth="1"/>
    <col min="4" max="4" width="32.453125" hidden="1" customWidth="1"/>
    <col min="5" max="5" width="22.1796875" hidden="1" customWidth="1"/>
    <col min="6" max="8" width="12" customWidth="1"/>
    <col min="9" max="9" width="102.81640625" customWidth="1"/>
    <col min="10" max="10" width="10.1796875" style="22" customWidth="1"/>
  </cols>
  <sheetData>
    <row r="2" spans="2:10" ht="16.5">
      <c r="B2" s="2"/>
      <c r="C2" s="2"/>
      <c r="D2" s="2"/>
      <c r="E2" s="7"/>
      <c r="F2" s="3"/>
      <c r="G2" s="3"/>
      <c r="H2" s="3"/>
      <c r="I2" s="3"/>
      <c r="J2" s="30"/>
    </row>
    <row r="3" spans="2:10" ht="33">
      <c r="B3" s="2"/>
      <c r="C3" s="59" t="s">
        <v>40</v>
      </c>
      <c r="D3" s="58" t="s">
        <v>645</v>
      </c>
      <c r="E3" s="58" t="s">
        <v>646</v>
      </c>
      <c r="F3" s="59" t="s">
        <v>43</v>
      </c>
      <c r="G3" s="58" t="s">
        <v>9</v>
      </c>
      <c r="H3" s="58" t="s">
        <v>647</v>
      </c>
      <c r="I3" s="59" t="s">
        <v>648</v>
      </c>
      <c r="J3" s="59" t="s">
        <v>489</v>
      </c>
    </row>
    <row r="4" spans="2:10" ht="66">
      <c r="B4" s="2"/>
      <c r="C4" s="550" t="s">
        <v>54</v>
      </c>
      <c r="D4" s="550" t="s">
        <v>661</v>
      </c>
      <c r="E4" s="550" t="s">
        <v>650</v>
      </c>
      <c r="F4" s="550" t="s">
        <v>64</v>
      </c>
      <c r="G4" s="61" t="str">
        <f>IF(H4=1,"C",IF(H4=2,"B-",IF(H4=3,"B",IF(H4=4,"B+",IF(H4=5,"A")))))</f>
        <v>C</v>
      </c>
      <c r="H4" s="59">
        <v>1</v>
      </c>
      <c r="I4" s="9" t="str">
        <f>'Safety cal.'!H16</f>
        <v>There is evidence that actions have been taken to prevent recurring incidents. And SVs can explain it.
And also, confirm at least one example at GENBA.
(System: Safety Manager: No.30)
 *Ask SVs</v>
      </c>
      <c r="J4" s="59"/>
    </row>
    <row r="5" spans="2:10" ht="49.5">
      <c r="B5" s="2"/>
      <c r="C5" s="550"/>
      <c r="D5" s="550"/>
      <c r="E5" s="550"/>
      <c r="F5" s="550"/>
      <c r="G5" s="59" t="str">
        <f t="shared" ref="G5:G40" si="0">IF(H5=1,"C",IF(H5=2,"B-",IF(H5=3,"B",IF(H5=4,"B+",IF(H5=5,"A")))))</f>
        <v>B</v>
      </c>
      <c r="H5" s="59">
        <v>3</v>
      </c>
      <c r="I5" s="9" t="str">
        <f>'Safety cal.'!L16</f>
        <v>The safety manager can explain what actions are required for recurrence prevention when occuring a safety accicdent.
(System: Safety Manager: No.86)</v>
      </c>
      <c r="J5" s="59"/>
    </row>
    <row r="6" spans="2:10" ht="66">
      <c r="B6" s="2"/>
      <c r="C6" s="550"/>
      <c r="D6" s="550"/>
      <c r="E6" s="550"/>
      <c r="F6" s="550"/>
      <c r="G6" s="59" t="str">
        <f t="shared" si="0"/>
        <v>A</v>
      </c>
      <c r="H6" s="59">
        <v>5</v>
      </c>
      <c r="I6" s="9" t="str">
        <f>'Safety cal.'!P16</f>
        <v>The safety leader can explain how such reviews are completed and why that method(s) is effective, providing feedback to SBU and assisting in determining countermeasures. (Example: Share more valid safety measreus than measures proposed by GBS/SBU)
(System: Safety Manager: No.140)</v>
      </c>
      <c r="J6" s="59"/>
    </row>
    <row r="7" spans="2:10" ht="49.5">
      <c r="C7" s="550"/>
      <c r="D7" s="550"/>
      <c r="E7" s="550"/>
      <c r="F7" s="12" t="s">
        <v>70</v>
      </c>
      <c r="G7" s="10" t="str">
        <f t="shared" si="0"/>
        <v>A</v>
      </c>
      <c r="H7" s="10">
        <v>5</v>
      </c>
      <c r="I7" s="11" t="str">
        <f>'Safety cal.'!P17</f>
        <v>Past countermeasures have been re-checked its implementation status periodically.
 *At least, need to check its progress within 1 year.
(Safety Manager)</v>
      </c>
      <c r="J7" s="12"/>
    </row>
    <row r="8" spans="2:10" ht="33">
      <c r="C8" s="550" t="s">
        <v>78</v>
      </c>
      <c r="D8" s="550" t="s">
        <v>662</v>
      </c>
      <c r="E8" s="550" t="s">
        <v>663</v>
      </c>
      <c r="F8" s="550" t="s">
        <v>80</v>
      </c>
      <c r="G8" s="59" t="str">
        <f t="shared" si="0"/>
        <v>C</v>
      </c>
      <c r="H8" s="59">
        <v>1</v>
      </c>
      <c r="I8" s="9" t="str">
        <f>'Safety cal.'!H19</f>
        <v>There is evidence that the required risk assessments have been done or there is a plan to complete.
(System: Safety Manager: No.28)</v>
      </c>
      <c r="J8" s="59"/>
    </row>
    <row r="9" spans="2:10" ht="33">
      <c r="C9" s="550"/>
      <c r="D9" s="550"/>
      <c r="E9" s="550"/>
      <c r="F9" s="550"/>
      <c r="G9" s="59" t="str">
        <f t="shared" si="0"/>
        <v>B-</v>
      </c>
      <c r="H9" s="59">
        <v>2</v>
      </c>
      <c r="I9" s="9" t="str">
        <f>'Safety cal.'!J19</f>
        <v>There is a risk tracking that lists specific risks on site.
(System: Safety Manager: No.53)</v>
      </c>
      <c r="J9" s="59"/>
    </row>
    <row r="10" spans="2:10" ht="49.5">
      <c r="C10" s="550"/>
      <c r="D10" s="550"/>
      <c r="E10" s="550"/>
      <c r="F10" s="550"/>
      <c r="G10" s="59" t="str">
        <f t="shared" si="0"/>
        <v>B</v>
      </c>
      <c r="H10" s="59">
        <v>3</v>
      </c>
      <c r="I10" s="9" t="str">
        <f>'Safety cal.'!L19</f>
        <v>There is at least one control prescribed for each risk identified. These controls are either administrative or technical by nature. The remaining risks are written in the work standard.
(System: Safety Manager: No.85)</v>
      </c>
      <c r="J10" s="59"/>
    </row>
    <row r="11" spans="2:10" ht="49.5">
      <c r="C11" s="550"/>
      <c r="D11" s="550"/>
      <c r="E11" s="550"/>
      <c r="F11" s="550"/>
      <c r="G11" s="59" t="str">
        <f t="shared" si="0"/>
        <v>A</v>
      </c>
      <c r="H11" s="59">
        <v>5</v>
      </c>
      <c r="I11" s="9" t="str">
        <f>'Safety cal.'!P19</f>
        <v>The respondent can show evidence of at least one review performed in the past 12 months where the risk assessment result/process was improved based on external best practice. 
(System: Safety Manager: No.139)</v>
      </c>
      <c r="J11" s="59"/>
    </row>
    <row r="12" spans="2:10" ht="33">
      <c r="C12" s="550"/>
      <c r="D12" s="550"/>
      <c r="E12" s="550"/>
      <c r="F12" s="558" t="s">
        <v>83</v>
      </c>
      <c r="G12" s="12" t="str">
        <f t="shared" si="0"/>
        <v>C</v>
      </c>
      <c r="H12" s="12">
        <v>1</v>
      </c>
      <c r="I12" s="13" t="str">
        <f>'Safety cal.'!H20</f>
        <v>There is a plan for Machine RA.
(Safety Manager)</v>
      </c>
      <c r="J12" s="12"/>
    </row>
    <row r="13" spans="2:10" ht="49.5">
      <c r="C13" s="550"/>
      <c r="D13" s="550"/>
      <c r="E13" s="550"/>
      <c r="F13" s="558"/>
      <c r="G13" s="12" t="str">
        <f t="shared" si="0"/>
        <v>B-</v>
      </c>
      <c r="H13" s="12">
        <v>2</v>
      </c>
      <c r="I13" s="13" t="str">
        <f>'Safety cal.'!J20</f>
        <v>There is a plan for hardware countermeasures, but there is a delay in the plan. 
 *No corrective plan for the delay.
(Safety Manager)</v>
      </c>
      <c r="J13" s="12"/>
    </row>
    <row r="14" spans="2:10" ht="49.5">
      <c r="C14" s="550"/>
      <c r="D14" s="550"/>
      <c r="E14" s="550"/>
      <c r="F14" s="558"/>
      <c r="G14" s="12" t="str">
        <f t="shared" si="0"/>
        <v>B</v>
      </c>
      <c r="H14" s="12">
        <v>3</v>
      </c>
      <c r="I14" s="13" t="str">
        <f>'Safety cal.'!L20</f>
        <v>There is a plan for hardware countermeasures , and it is on-going to the plan.
Or, there is a delay but corrective plan has been made for it, and it is on-going.
(Safety Manager)</v>
      </c>
      <c r="J14" s="12"/>
    </row>
    <row r="15" spans="2:10" ht="33">
      <c r="C15" s="550"/>
      <c r="D15" s="550"/>
      <c r="E15" s="550"/>
      <c r="F15" s="558"/>
      <c r="G15" s="12" t="str">
        <f t="shared" si="0"/>
        <v>B+</v>
      </c>
      <c r="H15" s="12">
        <v>4</v>
      </c>
      <c r="I15" s="13" t="str">
        <f>'Safety cal.'!N20</f>
        <v>There is a plan for hardware contermeasures, and progressing ahead of the plan, but not yet completed.
(Safety Manager)</v>
      </c>
      <c r="J15" s="12"/>
    </row>
    <row r="16" spans="2:10" ht="49.5">
      <c r="C16" s="550"/>
      <c r="D16" s="550"/>
      <c r="E16" s="550"/>
      <c r="F16" s="558"/>
      <c r="G16" s="12" t="str">
        <f t="shared" si="0"/>
        <v>A</v>
      </c>
      <c r="H16" s="12">
        <v>5</v>
      </c>
      <c r="I16" s="13" t="str">
        <f>'Safety cal.'!P20</f>
        <v>All contermeasures have been completed.
 *all risks that could be countered by hardware have been reduced by hardware.
(Safety Manager)</v>
      </c>
      <c r="J16" s="12"/>
    </row>
    <row r="17" spans="3:10" ht="33">
      <c r="C17" s="550"/>
      <c r="D17" s="550"/>
      <c r="E17" s="550"/>
      <c r="F17" s="558" t="s">
        <v>88</v>
      </c>
      <c r="G17" s="12" t="str">
        <f t="shared" si="0"/>
        <v>C</v>
      </c>
      <c r="H17" s="12">
        <v>1</v>
      </c>
      <c r="I17" s="13" t="str">
        <f>'Safety cal.'!H21</f>
        <v>There is a plan for Task RA.
(Safety Manager)</v>
      </c>
      <c r="J17" s="12"/>
    </row>
    <row r="18" spans="3:10" ht="49.5">
      <c r="C18" s="550"/>
      <c r="D18" s="550"/>
      <c r="E18" s="550"/>
      <c r="F18" s="558"/>
      <c r="G18" s="12" t="str">
        <f t="shared" si="0"/>
        <v>B-</v>
      </c>
      <c r="H18" s="12">
        <v>2</v>
      </c>
      <c r="I18" s="13" t="str">
        <f>'Safety cal.'!J21</f>
        <v>There is a plan for Task RA, but there is a delay in the plan. 
 *No corrective plan for the delay.
(Safety Manager)</v>
      </c>
      <c r="J18" s="12"/>
    </row>
    <row r="19" spans="3:10" ht="49.5">
      <c r="C19" s="550"/>
      <c r="D19" s="550"/>
      <c r="E19" s="550"/>
      <c r="F19" s="558"/>
      <c r="G19" s="12" t="str">
        <f t="shared" si="0"/>
        <v>B</v>
      </c>
      <c r="H19" s="12">
        <v>3</v>
      </c>
      <c r="I19" s="13" t="str">
        <f>'Safety cal.'!L21</f>
        <v>There is a plan for Task RA, and it is on-going to the plan.
Or, there is a delay but corrective plan has been made for it, and it is on-going.
(Safety Manager)</v>
      </c>
      <c r="J19" s="12"/>
    </row>
    <row r="20" spans="3:10" ht="33">
      <c r="C20" s="550"/>
      <c r="D20" s="550"/>
      <c r="E20" s="550"/>
      <c r="F20" s="558"/>
      <c r="G20" s="12" t="str">
        <f t="shared" si="0"/>
        <v>B+</v>
      </c>
      <c r="H20" s="12">
        <v>4</v>
      </c>
      <c r="I20" s="13" t="str">
        <f>'Safety cal.'!N21</f>
        <v>There is a plan for Task RA, and progressing ahead of the plan, but not yet completed.
(Safety Manager)</v>
      </c>
      <c r="J20" s="12"/>
    </row>
    <row r="21" spans="3:10" ht="33">
      <c r="C21" s="550"/>
      <c r="D21" s="550"/>
      <c r="E21" s="550"/>
      <c r="F21" s="558"/>
      <c r="G21" s="12" t="str">
        <f t="shared" si="0"/>
        <v>A</v>
      </c>
      <c r="H21" s="12">
        <v>5</v>
      </c>
      <c r="I21" s="13" t="str">
        <f>'Safety cal.'!P21</f>
        <v>All task RA have been completed.
(Safety Manager)</v>
      </c>
      <c r="J21" s="12"/>
    </row>
    <row r="22" spans="3:10" ht="33">
      <c r="C22" s="550"/>
      <c r="D22" s="550"/>
      <c r="E22" s="550"/>
      <c r="F22" s="561" t="s">
        <v>93</v>
      </c>
      <c r="G22" s="48" t="str">
        <f t="shared" si="0"/>
        <v>B</v>
      </c>
      <c r="H22" s="48">
        <v>3</v>
      </c>
      <c r="I22" s="13" t="str">
        <f>'Safety cal.'!L22</f>
        <v>SVs can explain what operation needs LOTO in their own process, and SOP has been already prepared.
(SVs)</v>
      </c>
      <c r="J22" s="12"/>
    </row>
    <row r="23" spans="3:10" ht="66">
      <c r="C23" s="550"/>
      <c r="D23" s="550"/>
      <c r="E23" s="550"/>
      <c r="F23" s="561"/>
      <c r="G23" s="48" t="str">
        <f t="shared" si="0"/>
        <v>A</v>
      </c>
      <c r="H23" s="48">
        <v>5</v>
      </c>
      <c r="I23" s="13" t="str">
        <f>'Safety cal.'!P22</f>
        <v>LOTO method is standardized as the site's rule, and managers and/or SVs confirm its compliance by patrol or something.(GENBA)
 In case of instruction is needed, they could instruct it.
(SVs)</v>
      </c>
      <c r="J23" s="12"/>
    </row>
    <row r="24" spans="3:10" ht="33">
      <c r="C24" s="550"/>
      <c r="D24" s="550"/>
      <c r="E24" s="550"/>
      <c r="F24" s="561" t="s">
        <v>98</v>
      </c>
      <c r="G24" s="48" t="str">
        <f t="shared" si="0"/>
        <v>C</v>
      </c>
      <c r="H24" s="48">
        <v>1</v>
      </c>
      <c r="I24" s="13" t="str">
        <f>'Safety cal.'!H23</f>
        <v>Safety trainings have been given to workers when new hired and/or trasfered. 
(SVs)</v>
      </c>
      <c r="J24" s="53"/>
    </row>
    <row r="25" spans="3:10" ht="33">
      <c r="C25" s="550"/>
      <c r="D25" s="550"/>
      <c r="E25" s="550"/>
      <c r="F25" s="561"/>
      <c r="G25" s="48" t="str">
        <f t="shared" si="0"/>
        <v>B-</v>
      </c>
      <c r="H25" s="48">
        <v>2</v>
      </c>
      <c r="I25" s="55" t="str">
        <f>'Safety cal.'!J23</f>
        <v>Safety training meets regional legal requirement.
(SVs)</v>
      </c>
      <c r="J25" s="53"/>
    </row>
    <row r="26" spans="3:10" ht="33">
      <c r="C26" s="550"/>
      <c r="D26" s="550"/>
      <c r="E26" s="550"/>
      <c r="F26" s="561"/>
      <c r="G26" s="48" t="str">
        <f t="shared" si="0"/>
        <v>B</v>
      </c>
      <c r="H26" s="48">
        <v>3</v>
      </c>
      <c r="I26" s="55" t="str">
        <f>'Safety cal.'!L23</f>
        <v>Operators can work alone after their skill/knowledge is validated by the site's criteria.
(SVs)</v>
      </c>
      <c r="J26" s="53"/>
    </row>
    <row r="27" spans="3:10" ht="49.5">
      <c r="C27" s="550"/>
      <c r="D27" s="550"/>
      <c r="E27" s="550"/>
      <c r="F27" s="561"/>
      <c r="G27" s="48" t="str">
        <f t="shared" si="0"/>
        <v>B+</v>
      </c>
      <c r="H27" s="48">
        <v>4</v>
      </c>
      <c r="I27" s="55" t="str">
        <f>'Safety cal.'!N23</f>
        <v>Skill/knowledge training is managed by IIP for all operaters, and its criteria is clear.
Also, their skill/knowledge is followed up until they achieve 100%
(SVs)</v>
      </c>
      <c r="J27" s="53"/>
    </row>
    <row r="28" spans="3:10" ht="33">
      <c r="C28" s="550"/>
      <c r="D28" s="550"/>
      <c r="E28" s="550"/>
      <c r="F28" s="561"/>
      <c r="G28" s="48" t="str">
        <f t="shared" si="0"/>
        <v>A</v>
      </c>
      <c r="H28" s="48">
        <v>5</v>
      </c>
      <c r="I28" s="55" t="str">
        <f>'Safety cal.'!P23</f>
        <v>All operators understanding is confirmed periodically, and the confirmation step is standardized.
(SVs)</v>
      </c>
      <c r="J28" s="53"/>
    </row>
    <row r="29" spans="3:10" ht="33">
      <c r="C29" s="550" t="s">
        <v>101</v>
      </c>
      <c r="D29" s="550" t="s">
        <v>652</v>
      </c>
      <c r="E29" s="550" t="s">
        <v>653</v>
      </c>
      <c r="F29" s="550" t="s">
        <v>104</v>
      </c>
      <c r="G29" s="59" t="str">
        <f t="shared" si="0"/>
        <v>B-</v>
      </c>
      <c r="H29" s="59">
        <v>2</v>
      </c>
      <c r="I29" s="15" t="str">
        <f>'Safety cal.'!J24</f>
        <v>OH&amp;S policy has been established at site. And the manager can explain it.
(System: Plant Manager: No.9)</v>
      </c>
      <c r="J29" s="29"/>
    </row>
    <row r="30" spans="3:10" ht="33">
      <c r="C30" s="550"/>
      <c r="D30" s="550"/>
      <c r="E30" s="550"/>
      <c r="F30" s="550"/>
      <c r="G30" s="59" t="str">
        <f t="shared" si="0"/>
        <v>B</v>
      </c>
      <c r="H30" s="59">
        <v>3</v>
      </c>
      <c r="I30" s="15" t="str">
        <f>'Safety cal.'!L24</f>
        <v>Management can describe and explain the site's OH&amp;S objectives and goals.
(System: Manager: No.66)</v>
      </c>
      <c r="J30" s="29"/>
    </row>
    <row r="31" spans="3:10" ht="33">
      <c r="C31" s="550"/>
      <c r="D31" s="550"/>
      <c r="E31" s="550"/>
      <c r="F31" s="550"/>
      <c r="G31" s="59" t="str">
        <f t="shared" si="0"/>
        <v>B+</v>
      </c>
      <c r="H31" s="59">
        <v>4</v>
      </c>
      <c r="I31" s="15" t="str">
        <f>'Safety cal.'!N24</f>
        <v>The plan contains goals to be achieved which are relevant to the incidents and risks identified by the SBU.
(System: Manager: No.98)</v>
      </c>
      <c r="J31" s="59"/>
    </row>
    <row r="32" spans="3:10" ht="49.5">
      <c r="C32" s="550" t="s">
        <v>117</v>
      </c>
      <c r="D32" s="550" t="s">
        <v>655</v>
      </c>
      <c r="E32" s="550" t="s">
        <v>656</v>
      </c>
      <c r="F32" s="59" t="s">
        <v>125</v>
      </c>
      <c r="G32" s="59" t="str">
        <f t="shared" si="0"/>
        <v>B-</v>
      </c>
      <c r="H32" s="59">
        <v>2</v>
      </c>
      <c r="I32" s="9" t="str">
        <f>'Safety cal.'!J28</f>
        <v>There is an officially appointed 3S leader on site. There is evidence of 3S inspections and recommended actions to improve 3S. 
(System: Safety Manager: No.44+45)</v>
      </c>
      <c r="J32" s="24"/>
    </row>
    <row r="33" spans="3:10" ht="33">
      <c r="C33" s="550"/>
      <c r="D33" s="550"/>
      <c r="E33" s="550"/>
      <c r="F33" s="59" t="s">
        <v>664</v>
      </c>
      <c r="G33" s="59" t="s">
        <v>18</v>
      </c>
      <c r="H33" s="59">
        <v>1</v>
      </c>
      <c r="I33" s="9" t="str">
        <f>'Safety cal.'!H30</f>
        <v>Autonomously KY has not been conducted.
(SVs)</v>
      </c>
      <c r="J33" s="24" t="s">
        <v>651</v>
      </c>
    </row>
    <row r="34" spans="3:10" ht="49.5">
      <c r="C34" s="550"/>
      <c r="D34" s="550"/>
      <c r="E34" s="550"/>
      <c r="F34" s="550" t="s">
        <v>131</v>
      </c>
      <c r="G34" s="59" t="str">
        <f t="shared" si="0"/>
        <v>C</v>
      </c>
      <c r="H34" s="59">
        <v>1</v>
      </c>
      <c r="I34" s="14" t="str">
        <f>'Safety cal.'!H29</f>
        <v>KYT has not been implemented.
(Safety Manager)
　*Ask SVs</v>
      </c>
      <c r="J34" s="29"/>
    </row>
    <row r="35" spans="3:10" ht="33">
      <c r="C35" s="550"/>
      <c r="D35" s="550"/>
      <c r="E35" s="550"/>
      <c r="F35" s="550"/>
      <c r="G35" s="59" t="str">
        <f t="shared" si="0"/>
        <v>B-</v>
      </c>
      <c r="H35" s="59">
        <v>2</v>
      </c>
      <c r="I35" s="16" t="str">
        <f>'Safety cal.'!J29</f>
        <v>There is evidence of a defined KY process that been communicated with all staff at least once in the past year.
(System: Manager: No.26)</v>
      </c>
      <c r="J35" s="29"/>
    </row>
    <row r="36" spans="3:10" ht="33">
      <c r="C36" s="550"/>
      <c r="D36" s="550"/>
      <c r="E36" s="550"/>
      <c r="F36" s="550"/>
      <c r="G36" s="59" t="str">
        <f t="shared" si="0"/>
        <v>B</v>
      </c>
      <c r="H36" s="59">
        <v>3</v>
      </c>
      <c r="I36" s="16" t="str">
        <f>'Safety cal.'!L29</f>
        <v>There is an officially appointed KY leader and KY representatives on site.
(System: Manager: No.55)</v>
      </c>
      <c r="J36" s="29"/>
    </row>
    <row r="37" spans="3:10" ht="66">
      <c r="C37" s="550"/>
      <c r="D37" s="550"/>
      <c r="E37" s="550"/>
      <c r="F37" s="550"/>
      <c r="G37" s="59" t="str">
        <f t="shared" si="0"/>
        <v>B+</v>
      </c>
      <c r="H37" s="59">
        <v>4</v>
      </c>
      <c r="I37" s="16" t="str">
        <f>'Safety cal.'!N29</f>
        <v>KYT records show that all teammates and temporary staff have submitted a KYT within the last 3 months.
KYT records indicate that KYT is completed periodically in accordance with SBU and/or site standard by everyone on site. 
(System: Safety Manager: No.83+112)</v>
      </c>
      <c r="J37" s="29"/>
    </row>
    <row r="38" spans="3:10" ht="33">
      <c r="C38" s="550"/>
      <c r="D38" s="550"/>
      <c r="E38" s="550"/>
      <c r="F38" s="550"/>
      <c r="G38" s="59" t="str">
        <f t="shared" si="0"/>
        <v>A</v>
      </c>
      <c r="H38" s="59">
        <v>5</v>
      </c>
      <c r="I38" s="16" t="str">
        <f>'Safety cal.'!P29</f>
        <v>The KYT activity is evaluated and opportunity for inprovement is discussed with the plant manager annually. 
(System: Safety Manager: No.113)</v>
      </c>
      <c r="J38" s="29"/>
    </row>
    <row r="39" spans="3:10" ht="33">
      <c r="C39" s="550"/>
      <c r="D39" s="550"/>
      <c r="E39" s="550"/>
      <c r="F39" s="550" t="s">
        <v>144</v>
      </c>
      <c r="G39" s="59" t="str">
        <f t="shared" si="0"/>
        <v>B-</v>
      </c>
      <c r="H39" s="59">
        <v>2</v>
      </c>
      <c r="I39" s="9" t="str">
        <f>'Safety cal.'!J32</f>
        <v>The respondent can clearly indicate how Site Safety Rules are reviewed and improved.
(System: Safety Manager: No.41)</v>
      </c>
      <c r="J39" s="29"/>
    </row>
    <row r="40" spans="3:10" ht="49.5">
      <c r="C40" s="550"/>
      <c r="D40" s="550"/>
      <c r="E40" s="550"/>
      <c r="F40" s="550"/>
      <c r="G40" s="59" t="str">
        <f t="shared" si="0"/>
        <v>B+</v>
      </c>
      <c r="H40" s="59">
        <v>4</v>
      </c>
      <c r="I40" s="9" t="str">
        <f>'Safety cal.'!N32</f>
        <v>Line-management conducts floor observations(e.g. site tours) and provide feedbacks to teammates to ensure adherence to safety rules, such as procedures, standards, etc. 
(Leadership: SVs: No.9)</v>
      </c>
      <c r="J40" s="24"/>
    </row>
    <row r="41" spans="3:10" ht="16.5">
      <c r="C41" s="2"/>
      <c r="D41" s="2"/>
      <c r="E41" s="2"/>
      <c r="F41" s="6"/>
      <c r="G41" s="6"/>
      <c r="H41" s="6"/>
      <c r="I41" s="3"/>
      <c r="J41" s="30"/>
    </row>
    <row r="42" spans="3:10" ht="16.5">
      <c r="C42" s="2"/>
      <c r="D42" s="2"/>
      <c r="E42" s="2"/>
      <c r="F42" s="6"/>
      <c r="G42" s="6"/>
      <c r="H42" s="6"/>
      <c r="I42" s="3"/>
      <c r="J42" s="30"/>
    </row>
    <row r="43" spans="3:10" ht="16.5">
      <c r="C43" s="2"/>
      <c r="D43" s="2"/>
      <c r="E43" s="2"/>
      <c r="F43" s="6"/>
      <c r="G43" s="6"/>
      <c r="H43" s="6"/>
      <c r="I43" s="3"/>
      <c r="J43" s="30"/>
    </row>
    <row r="44" spans="3:10" ht="16.5">
      <c r="C44" s="2"/>
      <c r="D44" s="2"/>
      <c r="E44" s="2"/>
      <c r="F44" s="6"/>
      <c r="G44" s="6"/>
      <c r="H44" s="6"/>
      <c r="I44" s="3"/>
      <c r="J44" s="30"/>
    </row>
    <row r="45" spans="3:10" ht="16.5">
      <c r="F45" s="6"/>
      <c r="G45" s="6"/>
      <c r="H45" s="6"/>
      <c r="I45" s="3"/>
      <c r="J45" s="30"/>
    </row>
    <row r="46" spans="3:10" ht="16.5" hidden="1">
      <c r="F46" s="17" t="s">
        <v>429</v>
      </c>
      <c r="G46" s="17"/>
      <c r="H46" s="17"/>
      <c r="I46" s="18" t="s">
        <v>430</v>
      </c>
      <c r="J46" s="31"/>
    </row>
    <row r="47" spans="3:10" ht="16.5" hidden="1">
      <c r="F47" s="17"/>
      <c r="G47" s="17"/>
      <c r="H47" s="17"/>
      <c r="I47" s="18"/>
      <c r="J47" s="31"/>
    </row>
    <row r="48" spans="3:10" ht="16.5" hidden="1">
      <c r="F48" s="17" t="s">
        <v>437</v>
      </c>
      <c r="G48" s="17"/>
      <c r="H48" s="17"/>
      <c r="I48" s="18" t="s">
        <v>438</v>
      </c>
      <c r="J48" s="31"/>
    </row>
    <row r="49" spans="6:10" ht="16.5" hidden="1">
      <c r="F49" s="17"/>
      <c r="G49" s="17"/>
      <c r="H49" s="17"/>
      <c r="I49" s="18" t="s">
        <v>443</v>
      </c>
      <c r="J49" s="31"/>
    </row>
    <row r="50" spans="6:10" ht="16.5" hidden="1">
      <c r="F50" s="17" t="s">
        <v>445</v>
      </c>
      <c r="G50" s="17"/>
      <c r="H50" s="17"/>
      <c r="I50" s="19"/>
      <c r="J50" s="17"/>
    </row>
    <row r="51" spans="6:10" ht="16.5" hidden="1">
      <c r="F51" s="17"/>
      <c r="G51" s="17"/>
      <c r="H51" s="17"/>
      <c r="I51" s="18"/>
      <c r="J51" s="31"/>
    </row>
    <row r="52" spans="6:10" ht="16.5" hidden="1">
      <c r="F52" s="17" t="s">
        <v>449</v>
      </c>
      <c r="G52" s="17"/>
      <c r="H52" s="17"/>
      <c r="I52" s="18" t="s">
        <v>450</v>
      </c>
      <c r="J52" s="31"/>
    </row>
    <row r="53" spans="6:10" ht="16.5" hidden="1">
      <c r="F53" s="17"/>
      <c r="G53" s="17"/>
      <c r="H53" s="17"/>
      <c r="I53" s="18" t="s">
        <v>455</v>
      </c>
      <c r="J53" s="31"/>
    </row>
    <row r="54" spans="6:10" ht="33" hidden="1">
      <c r="F54" s="20" t="s">
        <v>458</v>
      </c>
      <c r="G54" s="20"/>
      <c r="H54" s="20"/>
      <c r="I54" s="21" t="s">
        <v>459</v>
      </c>
      <c r="J54" s="32"/>
    </row>
    <row r="55" spans="6:10" ht="16.5" hidden="1">
      <c r="F55" s="20"/>
      <c r="G55" s="20"/>
      <c r="H55" s="20"/>
      <c r="I55" s="21"/>
      <c r="J55" s="32"/>
    </row>
    <row r="56" spans="6:10" ht="16.5">
      <c r="F56" s="6"/>
      <c r="G56" s="6"/>
      <c r="H56" s="6"/>
      <c r="I56" s="3"/>
      <c r="J56" s="30"/>
    </row>
  </sheetData>
  <mergeCells count="21">
    <mergeCell ref="F4:F6"/>
    <mergeCell ref="F8:F11"/>
    <mergeCell ref="F12:F16"/>
    <mergeCell ref="F17:F21"/>
    <mergeCell ref="C4:C7"/>
    <mergeCell ref="D4:D7"/>
    <mergeCell ref="E4:E7"/>
    <mergeCell ref="C8:C28"/>
    <mergeCell ref="D8:D28"/>
    <mergeCell ref="E8:E28"/>
    <mergeCell ref="C32:C40"/>
    <mergeCell ref="D32:D40"/>
    <mergeCell ref="E32:E40"/>
    <mergeCell ref="F22:F23"/>
    <mergeCell ref="F24:F28"/>
    <mergeCell ref="F29:F31"/>
    <mergeCell ref="F34:F38"/>
    <mergeCell ref="F39:F40"/>
    <mergeCell ref="C29:C31"/>
    <mergeCell ref="D29:D31"/>
    <mergeCell ref="E29:E31"/>
  </mergeCells>
  <phoneticPr fontId="6"/>
  <conditionalFormatting sqref="J4:J40">
    <cfRule type="containsText" dxfId="6" priority="7" operator="containsText" text="No">
      <formula>NOT(ISERROR(SEARCH("No",J4)))</formula>
    </cfRule>
  </conditionalFormatting>
  <pageMargins left="0.7" right="0.7" top="0.75" bottom="0.75" header="0.3" footer="0.3"/>
  <pageSetup paperSize="8" scale="4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8ADD-CFE5-42B0-808A-41231EBAE3D9}">
  <sheetPr>
    <tabColor theme="9" tint="0.59999389629810485"/>
  </sheetPr>
  <dimension ref="B2:O47"/>
  <sheetViews>
    <sheetView topLeftCell="A4" zoomScale="72" zoomScaleNormal="70" workbookViewId="0">
      <selection activeCell="N32" sqref="N32"/>
    </sheetView>
  </sheetViews>
  <sheetFormatPr defaultColWidth="8.81640625" defaultRowHeight="14.5"/>
  <cols>
    <col min="1" max="1" width="1.7265625" customWidth="1"/>
    <col min="3" max="3" width="15.1796875" bestFit="1" customWidth="1"/>
    <col min="4" max="4" width="32.453125" hidden="1" customWidth="1"/>
    <col min="5" max="5" width="22.1796875" hidden="1" customWidth="1"/>
    <col min="6" max="6" width="15" customWidth="1"/>
    <col min="7" max="8" width="7.81640625" customWidth="1"/>
    <col min="9" max="9" width="103.7265625" customWidth="1"/>
    <col min="10" max="13" width="10.1796875" style="22" customWidth="1"/>
    <col min="14" max="14" width="108" bestFit="1" customWidth="1"/>
  </cols>
  <sheetData>
    <row r="2" spans="2:15" ht="16.5">
      <c r="B2" s="2"/>
      <c r="C2" s="2"/>
      <c r="D2" s="2"/>
      <c r="E2" s="7"/>
      <c r="F2" s="3"/>
      <c r="G2" s="3"/>
      <c r="H2" s="3"/>
      <c r="I2" s="3"/>
      <c r="J2" s="30"/>
      <c r="K2" s="30"/>
      <c r="L2" s="30"/>
      <c r="M2" s="30"/>
      <c r="N2" s="2"/>
    </row>
    <row r="3" spans="2:15" s="22" customFormat="1" ht="33">
      <c r="B3" s="6"/>
      <c r="C3" s="59" t="s">
        <v>40</v>
      </c>
      <c r="D3" s="58" t="s">
        <v>645</v>
      </c>
      <c r="E3" s="58" t="s">
        <v>646</v>
      </c>
      <c r="F3" s="59" t="s">
        <v>43</v>
      </c>
      <c r="G3" s="58" t="s">
        <v>9</v>
      </c>
      <c r="H3" s="58" t="s">
        <v>647</v>
      </c>
      <c r="I3" s="59" t="s">
        <v>648</v>
      </c>
      <c r="J3" s="59" t="s">
        <v>489</v>
      </c>
      <c r="K3" s="30" t="s">
        <v>665</v>
      </c>
      <c r="L3" s="30"/>
      <c r="M3" s="30"/>
      <c r="N3" s="6" t="s">
        <v>666</v>
      </c>
    </row>
    <row r="4" spans="2:15" ht="66">
      <c r="B4" s="2"/>
      <c r="C4" s="550" t="s">
        <v>29</v>
      </c>
      <c r="D4" s="550" t="s">
        <v>649</v>
      </c>
      <c r="E4" s="550" t="s">
        <v>650</v>
      </c>
      <c r="F4" s="562" t="s">
        <v>57</v>
      </c>
      <c r="G4" s="61" t="str">
        <f>IF(H4=1,"C",IF(H4=2,"B-",IF(H4=3,"B",IF(H4=4,"B+",IF(H4=5,"A")))))</f>
        <v>C</v>
      </c>
      <c r="H4" s="61">
        <v>1</v>
      </c>
      <c r="I4" s="9" t="str">
        <f>'Safety cal.'!H15</f>
        <v>All teammates stated that, at least, safety manager and site leadership representative (e.g. plant manager, department manager, line manager) was involved in the root cause analysis process when a serious incident(lost-time-injury, etc.) occurred.
(Leadership: Operator: No.5)</v>
      </c>
      <c r="J4" s="24"/>
      <c r="K4" s="140"/>
      <c r="L4" s="140"/>
      <c r="M4" s="140"/>
      <c r="N4" s="2"/>
    </row>
    <row r="5" spans="2:15" ht="49.5">
      <c r="B5" s="2"/>
      <c r="C5" s="550"/>
      <c r="D5" s="550"/>
      <c r="E5" s="550"/>
      <c r="F5" s="562"/>
      <c r="G5" s="61" t="str">
        <f t="shared" ref="G5:G30" si="0">IF(H5=1,"C",IF(H5=2,"B-",IF(H5=3,"B",IF(H5=4,"B+",IF(H5=5,"A")))))</f>
        <v>B-</v>
      </c>
      <c r="H5" s="61">
        <v>2</v>
      </c>
      <c r="I5" s="9" t="str">
        <f>'Safety cal.'!J15</f>
        <v>All teammates can state that they are informed of recent safety incidents (injury, near-miss, etc.) in their areas and actions have been taken to address these.
(Teammate Engagement: Operator: No.7)</v>
      </c>
      <c r="J5" s="24"/>
      <c r="K5" s="140"/>
      <c r="L5" s="140"/>
      <c r="M5" s="140"/>
      <c r="N5" s="2"/>
      <c r="O5" t="s">
        <v>667</v>
      </c>
    </row>
    <row r="6" spans="2:15" ht="66">
      <c r="B6" s="2"/>
      <c r="C6" s="550"/>
      <c r="D6" s="550"/>
      <c r="E6" s="550"/>
      <c r="F6" s="562"/>
      <c r="G6" s="61" t="str">
        <f t="shared" si="0"/>
        <v>B</v>
      </c>
      <c r="H6" s="61">
        <v>3</v>
      </c>
      <c r="I6" s="9" t="str">
        <f>'Safety cal.'!L15</f>
        <v>All teammates say that they are well informed and can explain how the information* communicated contributes to their safety.  
(System: Operator: No.64)
 *information: injury, near-miss etc.</v>
      </c>
      <c r="J6" s="24"/>
      <c r="K6" s="140"/>
      <c r="L6" s="140"/>
      <c r="M6" s="140"/>
      <c r="N6" s="2"/>
    </row>
    <row r="7" spans="2:15" ht="49.5">
      <c r="B7" s="2"/>
      <c r="C7" s="550"/>
      <c r="D7" s="550"/>
      <c r="E7" s="550"/>
      <c r="F7" s="562"/>
      <c r="G7" s="61" t="str">
        <f t="shared" si="0"/>
        <v>B+</v>
      </c>
      <c r="H7" s="61">
        <v>4</v>
      </c>
      <c r="I7" s="9" t="str">
        <f>'Safety cal.'!N15</f>
        <v>Teammates can provide examples of accidents which occurred on other facilities and how that information was obtained. 
(System: Operator: No.110)</v>
      </c>
      <c r="J7" s="24"/>
      <c r="K7" s="140"/>
      <c r="L7" s="140"/>
      <c r="M7" s="140"/>
      <c r="N7" s="2"/>
    </row>
    <row r="8" spans="2:15" s="64" customFormat="1" ht="33">
      <c r="B8" s="63"/>
      <c r="C8" s="550"/>
      <c r="D8" s="550"/>
      <c r="E8" s="550"/>
      <c r="F8" s="562"/>
      <c r="G8" s="61" t="str">
        <f t="shared" si="0"/>
        <v>A</v>
      </c>
      <c r="H8" s="61">
        <v>5</v>
      </c>
      <c r="I8" s="9" t="str">
        <f>'Safety cal.'!P15</f>
        <v>H&amp;S risks/measures of other departments have been shared at the safety meeting in your department.
(Teammate Engagement: Operator: No.17)</v>
      </c>
      <c r="J8" s="24"/>
      <c r="K8" s="140"/>
      <c r="L8" s="140"/>
      <c r="M8" s="140"/>
      <c r="N8" s="63"/>
    </row>
    <row r="9" spans="2:15" ht="49.5">
      <c r="B9" s="2"/>
      <c r="C9" s="550"/>
      <c r="D9" s="550"/>
      <c r="E9" s="550"/>
      <c r="F9" s="562" t="s">
        <v>64</v>
      </c>
      <c r="G9" s="61" t="str">
        <f t="shared" si="0"/>
        <v>B-</v>
      </c>
      <c r="H9" s="61">
        <v>2</v>
      </c>
      <c r="I9" s="9" t="str">
        <f>'Safety cal.'!J16</f>
        <v>A sample of 3 teammates, at least 1 (more than 33%) said they take part in the actions required to prevent safety accidents and provide feedback if these actions are not appropriate or useful. 
(Teammate Engagement: Operator: No.6)</v>
      </c>
      <c r="J9" s="59"/>
      <c r="K9" s="30"/>
      <c r="L9" s="30"/>
      <c r="M9" s="30"/>
      <c r="N9" s="2"/>
      <c r="O9" t="s">
        <v>668</v>
      </c>
    </row>
    <row r="10" spans="2:15" ht="49.5">
      <c r="B10" s="2"/>
      <c r="C10" s="550"/>
      <c r="D10" s="550"/>
      <c r="E10" s="550"/>
      <c r="F10" s="562"/>
      <c r="G10" s="61" t="str">
        <f t="shared" si="0"/>
        <v>B+</v>
      </c>
      <c r="H10" s="61">
        <v>4</v>
      </c>
      <c r="I10" s="9" t="str">
        <f>'Safety cal.'!N16</f>
        <v>All teammates stated that management had taken specific actions to address hazards they reported, and these actions have been communicated to them. (safety point of view)
(Organization: Operator: No.16)</v>
      </c>
      <c r="J10" s="59"/>
      <c r="K10" s="30"/>
      <c r="L10" s="30"/>
      <c r="M10" s="30"/>
      <c r="N10" s="2"/>
      <c r="O10" t="s">
        <v>669</v>
      </c>
    </row>
    <row r="11" spans="2:15" ht="33">
      <c r="C11" s="550" t="s">
        <v>78</v>
      </c>
      <c r="D11" s="550" t="s">
        <v>670</v>
      </c>
      <c r="E11" s="550" t="s">
        <v>663</v>
      </c>
      <c r="F11" s="61" t="s">
        <v>80</v>
      </c>
      <c r="G11" s="61" t="str">
        <f t="shared" si="0"/>
        <v>B+</v>
      </c>
      <c r="H11" s="61">
        <v>4</v>
      </c>
      <c r="I11" s="9" t="str">
        <f>'Safety cal.'!N19</f>
        <v>The respondent is able to provide at least one recent example of bottom-up communication on hazards and risks.
(System: Safety Manager: No.95)</v>
      </c>
      <c r="J11" s="59"/>
      <c r="K11" s="30"/>
      <c r="L11" s="30"/>
      <c r="M11" s="30"/>
      <c r="N11" s="136"/>
      <c r="O11" t="s">
        <v>671</v>
      </c>
    </row>
    <row r="12" spans="2:15" ht="49.5">
      <c r="C12" s="550"/>
      <c r="D12" s="550"/>
      <c r="E12" s="550"/>
      <c r="F12" s="563" t="s">
        <v>93</v>
      </c>
      <c r="G12" s="47" t="str">
        <f t="shared" si="0"/>
        <v>C</v>
      </c>
      <c r="H12" s="47">
        <v>1</v>
      </c>
      <c r="I12" s="13" t="str">
        <f>'Safety cal.'!H22</f>
        <v>The basic LOTO training has been implemented anually, all operators understand basic LOTO operation.
And, operator take one's own key and locks to GENBA if it is necessary.
(operator)</v>
      </c>
      <c r="J12" s="12"/>
      <c r="K12" s="141"/>
      <c r="L12" s="141"/>
      <c r="M12" s="141"/>
      <c r="N12" s="136"/>
      <c r="O12" t="s">
        <v>93</v>
      </c>
    </row>
    <row r="13" spans="2:15" ht="66">
      <c r="C13" s="550"/>
      <c r="D13" s="550"/>
      <c r="E13" s="550"/>
      <c r="F13" s="563"/>
      <c r="G13" s="47" t="str">
        <f t="shared" si="0"/>
        <v>B-</v>
      </c>
      <c r="H13" s="47">
        <v>2</v>
      </c>
      <c r="I13" s="13" t="str">
        <f>'Safety cal.'!J22</f>
        <v>With the basic LOTO training, ECP has been trained to all operators, and they understand LOTO procedure.
 *ECP should be included in SOP.
 *ECP should be prepared for all LOTO devise
(Operator)</v>
      </c>
      <c r="J13" s="12"/>
      <c r="K13" s="141"/>
      <c r="L13" s="141"/>
      <c r="M13" s="141"/>
      <c r="N13" s="136"/>
      <c r="O13" t="s">
        <v>672</v>
      </c>
    </row>
    <row r="14" spans="2:15" ht="49.5">
      <c r="C14" s="550"/>
      <c r="D14" s="550"/>
      <c r="E14" s="550"/>
      <c r="F14" s="563"/>
      <c r="G14" s="47" t="str">
        <f t="shared" si="0"/>
        <v>B+</v>
      </c>
      <c r="H14" s="47">
        <v>4</v>
      </c>
      <c r="I14" s="55" t="str">
        <f>'Safety cal.'!N22</f>
        <v>If the operator handle LOTO procedure regularly, he/she can explain its detail procedure.
If the operator do not handle LOTO, he/she can explain basic LOTO rule.
(Operator)</v>
      </c>
      <c r="J14" s="12"/>
      <c r="K14" s="141"/>
      <c r="L14" s="141"/>
      <c r="M14" s="141"/>
      <c r="N14" s="136"/>
    </row>
    <row r="15" spans="2:15" ht="33">
      <c r="C15" s="550" t="s">
        <v>117</v>
      </c>
      <c r="D15" s="557" t="s">
        <v>655</v>
      </c>
      <c r="E15" s="550" t="s">
        <v>656</v>
      </c>
      <c r="F15" s="47" t="s">
        <v>120</v>
      </c>
      <c r="G15" s="47" t="str">
        <f t="shared" si="0"/>
        <v>C</v>
      </c>
      <c r="H15" s="47">
        <v>1</v>
      </c>
      <c r="I15" s="11" t="str">
        <f>'Safety cal.'!H27</f>
        <v>All teammates are taking BSFA training more than annually.
(Operator)</v>
      </c>
      <c r="J15" s="12"/>
      <c r="K15" s="141"/>
      <c r="L15" s="141"/>
      <c r="M15" s="141"/>
      <c r="N15" s="136"/>
      <c r="O15" t="s">
        <v>673</v>
      </c>
    </row>
    <row r="16" spans="2:15" ht="49.5">
      <c r="C16" s="550"/>
      <c r="D16" s="557"/>
      <c r="E16" s="550"/>
      <c r="F16" s="562" t="s">
        <v>125</v>
      </c>
      <c r="G16" s="61" t="str">
        <f t="shared" si="0"/>
        <v>C</v>
      </c>
      <c r="H16" s="61">
        <v>1</v>
      </c>
      <c r="I16" s="9" t="str">
        <f>'Safety cal.'!H28</f>
        <v>3S Documents are displayed in work areas, and there is evidence of this being followed.
And, self-check has been implemented.
(System: Operator: No.19)</v>
      </c>
      <c r="J16" s="24"/>
      <c r="K16" s="140"/>
      <c r="L16" s="140"/>
      <c r="M16" s="140"/>
      <c r="N16" s="136"/>
    </row>
    <row r="17" spans="3:15" ht="82.5">
      <c r="C17" s="550"/>
      <c r="D17" s="557"/>
      <c r="E17" s="550"/>
      <c r="F17" s="562"/>
      <c r="G17" s="61" t="str">
        <f t="shared" si="0"/>
        <v>B</v>
      </c>
      <c r="H17" s="61">
        <v>3</v>
      </c>
      <c r="I17" s="9" t="str">
        <f>'Safety cal.'!L28</f>
        <v>The 3S Visual Standard was prepared and all inspected work areas were cleaned (no debris on floor, no spillages) as defined in the 3S visual standard, and there were no unnecessary objects that were not currently in use in the work area.
  *work area: production area and office
(System: Operator: No.75)</v>
      </c>
      <c r="J17" s="24"/>
      <c r="K17" s="140"/>
      <c r="L17" s="140"/>
      <c r="M17" s="140"/>
      <c r="N17" s="136"/>
    </row>
    <row r="18" spans="3:15" ht="49.5">
      <c r="C18" s="550"/>
      <c r="D18" s="557"/>
      <c r="E18" s="550"/>
      <c r="F18" s="562"/>
      <c r="G18" s="61" t="str">
        <f t="shared" si="0"/>
        <v>B+</v>
      </c>
      <c r="H18" s="61">
        <v>4</v>
      </c>
      <c r="I18" s="9" t="str">
        <f>'Safety cal.'!N28</f>
        <v>3S activity for the improvement of 3S level has been  proceeded. (or Improvement of 3S level can be confirmed, or 3s level is over 4.)
(System: Operator: No.105)</v>
      </c>
      <c r="J18" s="24"/>
      <c r="K18" s="140"/>
      <c r="L18" s="140"/>
      <c r="M18" s="140"/>
      <c r="N18" s="136"/>
      <c r="O18" t="s">
        <v>674</v>
      </c>
    </row>
    <row r="19" spans="3:15" ht="33">
      <c r="C19" s="550"/>
      <c r="D19" s="557"/>
      <c r="E19" s="550"/>
      <c r="F19" s="563" t="s">
        <v>664</v>
      </c>
      <c r="G19" s="47" t="str">
        <f t="shared" si="0"/>
        <v>B-</v>
      </c>
      <c r="H19" s="47">
        <v>2</v>
      </c>
      <c r="I19" s="13" t="str">
        <f>'Safety cal.'!J30</f>
        <v>Autonomously KY has been conducted but it is conducted by group. (not individual)
(Operator)</v>
      </c>
      <c r="J19" s="12" t="s">
        <v>651</v>
      </c>
      <c r="K19" s="141"/>
      <c r="L19" s="141"/>
      <c r="M19" s="141"/>
      <c r="N19" s="136"/>
      <c r="O19" t="s">
        <v>675</v>
      </c>
    </row>
    <row r="20" spans="3:15" ht="49.5">
      <c r="C20" s="550"/>
      <c r="D20" s="557"/>
      <c r="E20" s="550"/>
      <c r="F20" s="563"/>
      <c r="G20" s="47" t="str">
        <f t="shared" si="0"/>
        <v>B</v>
      </c>
      <c r="H20" s="47">
        <v>3</v>
      </c>
      <c r="I20" s="13" t="str">
        <f>'Safety cal.'!L30</f>
        <v>All teammates conduct autonomously KY everyday, decide KY point and its action to avoid.
(need to check evidence)
(Operator)</v>
      </c>
      <c r="J20" s="12" t="s">
        <v>651</v>
      </c>
      <c r="K20" s="141"/>
      <c r="L20" s="141"/>
      <c r="M20" s="141"/>
      <c r="N20" s="136"/>
    </row>
    <row r="21" spans="3:15" ht="33">
      <c r="C21" s="550"/>
      <c r="D21" s="557"/>
      <c r="E21" s="550"/>
      <c r="F21" s="563"/>
      <c r="G21" s="47" t="str">
        <f t="shared" si="0"/>
        <v>B+</v>
      </c>
      <c r="H21" s="47">
        <v>4</v>
      </c>
      <c r="I21" s="13" t="str">
        <f>'Safety cal.'!N30</f>
        <v>SVs or leaders conduct GENBA patrol to confirm autonomously KY result, and instruct teammates if needed.
(Operator)</v>
      </c>
      <c r="J21" s="12" t="s">
        <v>651</v>
      </c>
      <c r="K21" s="141"/>
      <c r="L21" s="141"/>
      <c r="M21" s="141"/>
      <c r="N21" s="136"/>
      <c r="O21" t="s">
        <v>676</v>
      </c>
    </row>
    <row r="22" spans="3:15" ht="82.5">
      <c r="C22" s="550"/>
      <c r="D22" s="557"/>
      <c r="E22" s="550"/>
      <c r="F22" s="563"/>
      <c r="G22" s="47" t="str">
        <f t="shared" si="0"/>
        <v>A</v>
      </c>
      <c r="H22" s="47">
        <v>5</v>
      </c>
      <c r="I22" s="13" t="str">
        <f>'Safety cal.'!P30</f>
        <v>Visualized the reslut of autonomously KY (making a map), promoted KAIZEN activity besed on the result.
Operators can explain an example of KAIZEN activity that is based on autononously KY.
 *update safety rule, machinery update, etc.
 *if the site has the system to manage bottom up KAIZEN cycle as from KY activity, this item could be judged "Yes"
(Operator)</v>
      </c>
      <c r="J22" s="12" t="s">
        <v>654</v>
      </c>
      <c r="K22" s="141"/>
      <c r="L22" s="141"/>
      <c r="M22" s="141"/>
      <c r="N22" s="136"/>
      <c r="O22" t="s">
        <v>677</v>
      </c>
    </row>
    <row r="23" spans="3:15" ht="33">
      <c r="C23" s="550"/>
      <c r="D23" s="557"/>
      <c r="E23" s="550"/>
      <c r="F23" s="562" t="s">
        <v>139</v>
      </c>
      <c r="G23" s="61" t="str">
        <f t="shared" si="0"/>
        <v>C</v>
      </c>
      <c r="H23" s="61">
        <v>1</v>
      </c>
      <c r="I23" s="9" t="str">
        <f>'Safety cal.'!H31</f>
        <v>All teammates recognize the H&amp;S risks applicable in their areas and confirmed these were addressed in trainings. 
(Teammate Engagement: Operator: No.1)</v>
      </c>
      <c r="J23" s="24"/>
      <c r="K23" s="140"/>
      <c r="L23" s="140"/>
      <c r="M23" s="140"/>
      <c r="N23" s="136"/>
      <c r="O23" t="s">
        <v>678</v>
      </c>
    </row>
    <row r="24" spans="3:15" ht="33">
      <c r="C24" s="550"/>
      <c r="D24" s="557"/>
      <c r="E24" s="550"/>
      <c r="F24" s="562"/>
      <c r="G24" s="61" t="str">
        <f t="shared" si="0"/>
        <v>B-</v>
      </c>
      <c r="H24" s="61">
        <v>2</v>
      </c>
      <c r="I24" s="9" t="str">
        <f>'Safety cal.'!J31</f>
        <v>A sample of 3 teammates could all state that they took the traning on residual risks based on the work standard.
(Teammate Engagement: Operator: No.11)</v>
      </c>
      <c r="J24" s="24"/>
      <c r="K24" s="140"/>
      <c r="L24" s="140"/>
      <c r="M24" s="140"/>
      <c r="N24" s="136"/>
      <c r="O24" t="s">
        <v>679</v>
      </c>
    </row>
    <row r="25" spans="3:15" ht="49.5">
      <c r="C25" s="550"/>
      <c r="D25" s="557"/>
      <c r="E25" s="550"/>
      <c r="F25" s="562"/>
      <c r="G25" s="61" t="str">
        <f t="shared" si="0"/>
        <v>B</v>
      </c>
      <c r="H25" s="61">
        <v>3</v>
      </c>
      <c r="I25" s="9" t="str">
        <f>'Safety cal.'!L31</f>
        <v>A sample of 3 teammates could all describe and explain the greatest potential H&amp;S risks in their work, and what controls they use or are in place to mitigate these risks.
(Teammate Engagement: Operator: No.13)</v>
      </c>
      <c r="J25" s="24"/>
      <c r="K25" s="140"/>
      <c r="L25" s="140"/>
      <c r="M25" s="140"/>
      <c r="N25" s="136"/>
      <c r="O25" t="s">
        <v>680</v>
      </c>
    </row>
    <row r="26" spans="3:15" ht="49.5">
      <c r="C26" s="550"/>
      <c r="D26" s="557"/>
      <c r="E26" s="550"/>
      <c r="F26" s="562"/>
      <c r="G26" s="61" t="str">
        <f t="shared" si="0"/>
        <v>B+</v>
      </c>
      <c r="H26" s="61">
        <v>4</v>
      </c>
      <c r="I26" s="9" t="str">
        <f>'Safety cal.'!N31</f>
        <v>In a sample of 3 teammates, at least one have participated RA process, and he/she could explain a full and accurate Risk Assessment.
(Teammate Engagement: Operator: No.14)</v>
      </c>
      <c r="J26" s="24"/>
      <c r="K26" s="140"/>
      <c r="L26" s="140"/>
      <c r="M26" s="140"/>
      <c r="N26" s="136"/>
      <c r="O26" t="s">
        <v>681</v>
      </c>
    </row>
    <row r="27" spans="3:15" ht="33">
      <c r="C27" s="550"/>
      <c r="D27" s="557"/>
      <c r="E27" s="550"/>
      <c r="F27" s="562"/>
      <c r="G27" s="61" t="str">
        <f t="shared" si="0"/>
        <v>A</v>
      </c>
      <c r="H27" s="61">
        <v>5</v>
      </c>
      <c r="I27" s="9" t="str">
        <f>'Safety cal.'!P31</f>
        <v>H&amp;S risks/measures of other departments have been shared at the safety meeting in your department.
(Teammate Engagement: Operator: No.17)</v>
      </c>
      <c r="J27" s="24"/>
      <c r="K27" s="140"/>
      <c r="L27" s="140"/>
      <c r="M27" s="140"/>
      <c r="N27" s="136"/>
      <c r="O27" t="s">
        <v>682</v>
      </c>
    </row>
    <row r="28" spans="3:15" ht="33">
      <c r="C28" s="550"/>
      <c r="D28" s="557"/>
      <c r="E28" s="550"/>
      <c r="F28" s="562" t="s">
        <v>144</v>
      </c>
      <c r="G28" s="61" t="str">
        <f t="shared" si="0"/>
        <v>C</v>
      </c>
      <c r="H28" s="61">
        <v>1</v>
      </c>
      <c r="I28" s="9" t="str">
        <f>'Safety cal.'!H32</f>
        <v>All operators shows understanding of the applicable All Bridgestone Safety Rules in their areas.
(System: Operator: No.13)</v>
      </c>
      <c r="J28" s="24"/>
      <c r="K28" s="140"/>
      <c r="L28" s="140"/>
      <c r="M28" s="140"/>
      <c r="N28" s="136"/>
      <c r="O28" t="s">
        <v>683</v>
      </c>
    </row>
    <row r="29" spans="3:15" ht="49.5">
      <c r="C29" s="550"/>
      <c r="D29" s="557"/>
      <c r="E29" s="550"/>
      <c r="F29" s="562"/>
      <c r="G29" s="61" t="str">
        <f t="shared" si="0"/>
        <v>B</v>
      </c>
      <c r="H29" s="61">
        <v>3</v>
      </c>
      <c r="I29" s="9" t="str">
        <f>'Safety cal.'!L32</f>
        <v>All teammates can demonstrate knowledge of the Safety Rules and explain key points on safety in the work standard.
(System: Operator: No.70)</v>
      </c>
      <c r="J29" s="24"/>
      <c r="K29" s="140"/>
      <c r="L29" s="140"/>
      <c r="M29" s="140"/>
      <c r="N29" s="136"/>
      <c r="O29" t="s">
        <v>684</v>
      </c>
    </row>
    <row r="30" spans="3:15" ht="82.5">
      <c r="C30" s="550"/>
      <c r="D30" s="557"/>
      <c r="E30" s="550"/>
      <c r="F30" s="562"/>
      <c r="G30" s="61" t="str">
        <f t="shared" si="0"/>
        <v>A</v>
      </c>
      <c r="H30" s="61">
        <v>5</v>
      </c>
      <c r="I30" s="9" t="str">
        <f>'Safety cal.'!P32</f>
        <v>The respondent explains that feedback is used to make tangible changes in the Safety Rules and can give at least 1 recent example. 
（Examples of FB: Responsed to proposed safety rules. Teammates can work based on the safety rules, or require changes due to dificulties to work based on the rules, etc.)
(System: Operator: No.128)</v>
      </c>
      <c r="J30" s="24"/>
      <c r="K30" s="140"/>
      <c r="L30" s="140"/>
      <c r="M30" s="140"/>
      <c r="N30" s="136"/>
      <c r="O30" t="s">
        <v>685</v>
      </c>
    </row>
    <row r="31" spans="3:15" ht="16.5">
      <c r="C31" s="2"/>
      <c r="D31" s="2"/>
      <c r="E31" s="2"/>
      <c r="F31" s="6"/>
      <c r="G31" s="6"/>
      <c r="H31" s="6"/>
      <c r="I31" s="3"/>
      <c r="J31" s="30"/>
      <c r="K31" s="30"/>
      <c r="L31" s="30"/>
      <c r="M31" s="30"/>
    </row>
    <row r="32" spans="3:15" ht="16.5">
      <c r="C32" s="2"/>
      <c r="D32" s="2"/>
      <c r="E32" s="2"/>
      <c r="F32" s="6"/>
      <c r="G32" s="6"/>
      <c r="H32" s="6"/>
      <c r="I32" s="3"/>
      <c r="J32" s="30"/>
      <c r="K32" s="30"/>
      <c r="L32" s="30"/>
      <c r="M32" s="30"/>
    </row>
    <row r="33" spans="3:13" ht="16.5">
      <c r="C33" s="2"/>
      <c r="D33" s="2"/>
      <c r="E33" s="2"/>
      <c r="F33" s="6"/>
      <c r="G33" s="6"/>
      <c r="H33" s="6"/>
      <c r="I33" s="3"/>
      <c r="J33" s="30"/>
      <c r="K33" s="30"/>
      <c r="L33" s="30"/>
      <c r="M33" s="30"/>
    </row>
    <row r="34" spans="3:13" ht="16.5">
      <c r="C34" s="2"/>
      <c r="D34" s="2"/>
      <c r="E34" s="2"/>
      <c r="F34" s="6"/>
      <c r="G34" s="6"/>
      <c r="H34" s="6"/>
      <c r="I34" s="3"/>
      <c r="J34" s="30"/>
      <c r="K34" s="30"/>
      <c r="L34" s="30"/>
      <c r="M34" s="30"/>
    </row>
    <row r="35" spans="3:13" ht="16.5">
      <c r="C35" s="2"/>
      <c r="D35" s="2"/>
      <c r="E35" s="2"/>
      <c r="F35" s="6"/>
      <c r="G35" s="6"/>
      <c r="H35" s="6"/>
      <c r="I35" s="3"/>
      <c r="J35" s="30"/>
      <c r="K35" s="30"/>
      <c r="L35" s="30"/>
      <c r="M35" s="30"/>
    </row>
    <row r="36" spans="3:13" ht="16.5">
      <c r="F36" s="6"/>
      <c r="G36" s="6"/>
      <c r="H36" s="6"/>
      <c r="I36" s="3"/>
      <c r="J36" s="30"/>
      <c r="K36" s="30"/>
      <c r="L36" s="30"/>
      <c r="M36" s="30"/>
    </row>
    <row r="37" spans="3:13" ht="16.5" hidden="1">
      <c r="F37" s="17" t="s">
        <v>429</v>
      </c>
      <c r="G37" s="17"/>
      <c r="H37" s="17"/>
      <c r="I37" s="18" t="s">
        <v>430</v>
      </c>
      <c r="J37" s="31"/>
      <c r="K37" s="31"/>
      <c r="L37" s="31"/>
      <c r="M37" s="31"/>
    </row>
    <row r="38" spans="3:13" ht="16.5" hidden="1">
      <c r="F38" s="17"/>
      <c r="G38" s="17"/>
      <c r="H38" s="17"/>
      <c r="I38" s="18"/>
      <c r="J38" s="31"/>
      <c r="K38" s="31"/>
      <c r="L38" s="31"/>
      <c r="M38" s="31"/>
    </row>
    <row r="39" spans="3:13" ht="16.5" hidden="1">
      <c r="F39" s="17" t="s">
        <v>437</v>
      </c>
      <c r="G39" s="17"/>
      <c r="H39" s="17"/>
      <c r="I39" s="18" t="s">
        <v>438</v>
      </c>
      <c r="J39" s="31"/>
      <c r="K39" s="31"/>
      <c r="L39" s="31"/>
      <c r="M39" s="31"/>
    </row>
    <row r="40" spans="3:13" ht="16.5" hidden="1">
      <c r="F40" s="17"/>
      <c r="G40" s="17"/>
      <c r="H40" s="17"/>
      <c r="I40" s="18" t="s">
        <v>443</v>
      </c>
      <c r="J40" s="31"/>
      <c r="K40" s="31"/>
      <c r="L40" s="31"/>
      <c r="M40" s="31"/>
    </row>
    <row r="41" spans="3:13" ht="16.5" hidden="1">
      <c r="F41" s="17" t="s">
        <v>445</v>
      </c>
      <c r="G41" s="17"/>
      <c r="H41" s="17"/>
      <c r="I41" s="19"/>
      <c r="J41" s="17"/>
      <c r="K41" s="17"/>
      <c r="L41" s="17"/>
      <c r="M41" s="17"/>
    </row>
    <row r="42" spans="3:13" ht="16.5" hidden="1">
      <c r="F42" s="17"/>
      <c r="G42" s="17"/>
      <c r="H42" s="17"/>
      <c r="I42" s="18"/>
      <c r="J42" s="31"/>
      <c r="K42" s="31"/>
      <c r="L42" s="31"/>
      <c r="M42" s="31"/>
    </row>
    <row r="43" spans="3:13" ht="16.5" hidden="1">
      <c r="F43" s="17" t="s">
        <v>449</v>
      </c>
      <c r="G43" s="17"/>
      <c r="H43" s="17"/>
      <c r="I43" s="18" t="s">
        <v>450</v>
      </c>
      <c r="J43" s="31"/>
      <c r="K43" s="31"/>
      <c r="L43" s="31"/>
      <c r="M43" s="31"/>
    </row>
    <row r="44" spans="3:13" ht="16.5" hidden="1">
      <c r="F44" s="17"/>
      <c r="G44" s="17"/>
      <c r="H44" s="17"/>
      <c r="I44" s="18" t="s">
        <v>455</v>
      </c>
      <c r="J44" s="31"/>
      <c r="K44" s="31"/>
      <c r="L44" s="31"/>
      <c r="M44" s="31"/>
    </row>
    <row r="45" spans="3:13" ht="33" hidden="1">
      <c r="F45" s="20" t="s">
        <v>458</v>
      </c>
      <c r="G45" s="20"/>
      <c r="H45" s="20"/>
      <c r="I45" s="21" t="s">
        <v>459</v>
      </c>
      <c r="J45" s="32"/>
      <c r="K45" s="32"/>
      <c r="L45" s="32"/>
      <c r="M45" s="32"/>
    </row>
    <row r="46" spans="3:13" ht="16.5" hidden="1">
      <c r="F46" s="20"/>
      <c r="G46" s="20"/>
      <c r="H46" s="20"/>
      <c r="I46" s="21"/>
      <c r="J46" s="32"/>
      <c r="K46" s="32"/>
      <c r="L46" s="32"/>
      <c r="M46" s="32"/>
    </row>
    <row r="47" spans="3:13" ht="16.5">
      <c r="F47" s="6"/>
      <c r="G47" s="6"/>
      <c r="H47" s="6"/>
      <c r="I47" s="3"/>
      <c r="J47" s="30"/>
      <c r="K47" s="30"/>
      <c r="L47" s="30"/>
      <c r="M47" s="30"/>
    </row>
  </sheetData>
  <mergeCells count="16">
    <mergeCell ref="C15:C30"/>
    <mergeCell ref="D15:D30"/>
    <mergeCell ref="E15:E30"/>
    <mergeCell ref="C4:C10"/>
    <mergeCell ref="D4:D10"/>
    <mergeCell ref="E4:E10"/>
    <mergeCell ref="C11:C14"/>
    <mergeCell ref="D11:D14"/>
    <mergeCell ref="E11:E14"/>
    <mergeCell ref="F28:F30"/>
    <mergeCell ref="F4:F8"/>
    <mergeCell ref="F9:F10"/>
    <mergeCell ref="F12:F14"/>
    <mergeCell ref="F16:F18"/>
    <mergeCell ref="F19:F22"/>
    <mergeCell ref="F23:F27"/>
  </mergeCells>
  <phoneticPr fontId="6"/>
  <conditionalFormatting sqref="O4:O30 J4:M30">
    <cfRule type="containsText" dxfId="5" priority="10" operator="containsText" text="No">
      <formula>NOT(ISERROR(SEARCH("No",J4)))</formula>
    </cfRule>
  </conditionalFormatting>
  <pageMargins left="0.7" right="0.7" top="0.75" bottom="0.75" header="0.3" footer="0.3"/>
  <pageSetup paperSize="8" scale="48" orientation="landscape" r:id="rId1"/>
  <rowBreaks count="1" manualBreakCount="1">
    <brk id="14" max="44" man="1"/>
  </rowBreaks>
  <extLst>
    <ext xmlns:x14="http://schemas.microsoft.com/office/spreadsheetml/2009/9/main" uri="{78C0D931-6437-407d-A8EE-F0AAD7539E65}">
      <x14:conditionalFormattings>
        <x14:conditionalFormatting xmlns:xm="http://schemas.microsoft.com/office/excel/2006/main">
          <x14:cfRule type="containsText" priority="9" operator="containsText" id="{60677970-C30E-408A-A259-BE1C5B6041C2}">
            <xm:f>NOT(ISERROR(SEARCH("-",O4)))</xm:f>
            <xm:f>"-"</xm:f>
            <x14:dxf>
              <fill>
                <patternFill>
                  <bgColor theme="0" tint="-0.24994659260841701"/>
                </patternFill>
              </fill>
            </x14:dxf>
          </x14:cfRule>
          <xm:sqref>O4:O30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C73D-00BC-4177-BDF1-17FDB763D52C}">
  <sheetPr>
    <tabColor theme="8" tint="0.59999389629810485"/>
  </sheetPr>
  <dimension ref="B2:H128"/>
  <sheetViews>
    <sheetView zoomScale="46" zoomScaleNormal="46" workbookViewId="0">
      <selection activeCell="H4" sqref="H4:H108"/>
    </sheetView>
  </sheetViews>
  <sheetFormatPr defaultColWidth="8.81640625" defaultRowHeight="16"/>
  <cols>
    <col min="1" max="1" width="1.7265625" style="194" customWidth="1"/>
    <col min="2" max="2" width="8.81640625" style="194" customWidth="1"/>
    <col min="3" max="3" width="15.1796875" style="195" customWidth="1"/>
    <col min="4" max="5" width="7.453125" style="194" customWidth="1"/>
    <col min="6" max="6" width="26.453125" style="194" customWidth="1"/>
    <col min="7" max="7" width="109.1796875" style="194" customWidth="1"/>
    <col min="8" max="8" width="14.54296875" style="207" customWidth="1"/>
    <col min="9" max="16384" width="8.81640625" style="194"/>
  </cols>
  <sheetData>
    <row r="2" spans="2:8" ht="23.5">
      <c r="B2" s="239"/>
      <c r="C2" s="564" t="s">
        <v>686</v>
      </c>
      <c r="D2" s="564"/>
      <c r="E2" s="564"/>
      <c r="F2" s="564"/>
      <c r="G2" s="564"/>
      <c r="H2" s="564"/>
    </row>
    <row r="3" spans="2:8" s="195" customFormat="1" ht="37" customHeight="1">
      <c r="B3" s="192"/>
      <c r="C3" s="208" t="s">
        <v>687</v>
      </c>
      <c r="D3" s="208" t="s">
        <v>9</v>
      </c>
      <c r="E3" s="208" t="s">
        <v>647</v>
      </c>
      <c r="F3" s="208" t="s">
        <v>483</v>
      </c>
      <c r="G3" s="208" t="s">
        <v>648</v>
      </c>
      <c r="H3" s="208" t="s">
        <v>489</v>
      </c>
    </row>
    <row r="4" spans="2:8" ht="60" customHeight="1">
      <c r="C4" s="565" t="s">
        <v>29</v>
      </c>
      <c r="D4" s="196" t="str">
        <f>IF(E4=1,"C",IF(E4=2,"B-",IF(E4=3,"B",IF(E4=4,"B+",IF(E4=5,"A")))))</f>
        <v>C</v>
      </c>
      <c r="E4" s="197">
        <v>1</v>
      </c>
      <c r="F4" s="568" t="s">
        <v>688</v>
      </c>
      <c r="G4" s="211" t="str">
        <f>'DP overall'!F18</f>
        <v>With SBU Support
Issuing fire report with SBU's support.
(DP Manager)</v>
      </c>
      <c r="H4" s="255"/>
    </row>
    <row r="5" spans="2:8" ht="60" customHeight="1">
      <c r="C5" s="566"/>
      <c r="D5" s="196" t="str">
        <f t="shared" ref="D5:D98" si="0">IF(E5=1,"C",IF(E5=2,"B-",IF(E5=3,"B",IF(E5=4,"B+",IF(E5=5,"A")))))</f>
        <v>B-</v>
      </c>
      <c r="E5" s="197">
        <v>2</v>
      </c>
      <c r="F5" s="569"/>
      <c r="G5" s="211" t="str">
        <f>'DP overall'!H18</f>
        <v>Issued but Delayed
The fire report was issued by the plant; however, there was a delay beyond the due date specified in the guideline.
(DP Manager)</v>
      </c>
      <c r="H5" s="255"/>
    </row>
    <row r="6" spans="2:8" ht="86.15" customHeight="1">
      <c r="C6" s="566"/>
      <c r="D6" s="196" t="str">
        <f t="shared" si="0"/>
        <v>B</v>
      </c>
      <c r="E6" s="197">
        <v>3</v>
      </c>
      <c r="F6" s="569"/>
      <c r="G6" s="211" t="str">
        <f>'DP overall'!J18</f>
        <v>Issued On Time with RCA &amp; Countermeasures
The fire report was issued by the plant within the due date standardized in the guideline. Furthermore, the root cause analysis and corresponding countermeasures were completed, and the related report was also issued within the due date specified in the guideline.
(DP Manager)</v>
      </c>
      <c r="H6" s="255"/>
    </row>
    <row r="7" spans="2:8" ht="86.15" customHeight="1">
      <c r="C7" s="566"/>
      <c r="D7" s="196" t="str">
        <f t="shared" si="0"/>
        <v>B+</v>
      </c>
      <c r="E7" s="197">
        <v>4</v>
      </c>
      <c r="F7" s="569"/>
      <c r="G7" s="211" t="str">
        <f>'DP overall'!L18</f>
        <v>On Time + Countermeasure Expansion &amp; Reporting to SBU
The fire report was issued by the plant within the due date standardized in the guideline. The root cause analysis and corresponding countermeasures were also completed, and the report was issued within the required timeframe. In addition, the countermeasures were expanded to similar machines and tasks. After the implementation of the countermeasures, a report was submitted to the SBU.(DP Manager)</v>
      </c>
      <c r="H7" s="255"/>
    </row>
    <row r="8" spans="2:8" s="216" customFormat="1" ht="64">
      <c r="C8" s="566"/>
      <c r="D8" s="196" t="str">
        <f t="shared" si="0"/>
        <v>C</v>
      </c>
      <c r="E8" s="243">
        <v>1</v>
      </c>
      <c r="F8" s="570" t="s">
        <v>252</v>
      </c>
      <c r="G8" s="213" t="str">
        <f>'DP overall'!F19</f>
        <v>No Plan
There is no plan for countermeasures originating from outside of the plant. In this context, “countermeasures” refers to those issued under BSAPIC Request/ Notification.
(DP Manager)</v>
      </c>
      <c r="H8" s="229"/>
    </row>
    <row r="9" spans="2:8" s="216" customFormat="1" ht="64">
      <c r="C9" s="566"/>
      <c r="D9" s="196" t="str">
        <f t="shared" si="0"/>
        <v>B-</v>
      </c>
      <c r="E9" s="243">
        <v>2</v>
      </c>
      <c r="F9" s="571"/>
      <c r="G9" s="213" t="str">
        <f>'DP overall'!H19</f>
        <v>Plan but Delayed (No Corrective Action)
There is a plan for countermeasures; however, the implementation is delayed, and no corrective plan for addressing the delay has been established.
(DP Manager)</v>
      </c>
      <c r="H9" s="229"/>
    </row>
    <row r="10" spans="2:8" s="216" customFormat="1" ht="64">
      <c r="C10" s="566"/>
      <c r="D10" s="196" t="str">
        <f t="shared" si="0"/>
        <v>B</v>
      </c>
      <c r="E10" s="243">
        <v>3</v>
      </c>
      <c r="F10" s="571"/>
      <c r="G10" s="213" t="str">
        <f>'DP overall'!J19</f>
        <v>Plan in Progress 
There is a countermeasure plan that is currently in progress but not yet completed.
Alternatively, if there is a delay, a corrective plan has been established and is being implemented.
(DP Manager)</v>
      </c>
      <c r="H10" s="229"/>
    </row>
    <row r="11" spans="2:8" s="216" customFormat="1" ht="48">
      <c r="C11" s="566"/>
      <c r="D11" s="196" t="str">
        <f t="shared" si="0"/>
        <v>B+</v>
      </c>
      <c r="E11" s="243">
        <v>4</v>
      </c>
      <c r="F11" s="571"/>
      <c r="G11" s="213" t="str">
        <f>'DP overall'!L19</f>
        <v>Do Ahead of Schedule
There is a countermeasure plan in place, and progress is ahead of schedule; however, it has not yet been completed.
(DP Manager)</v>
      </c>
      <c r="H11" s="229"/>
    </row>
    <row r="12" spans="2:8" s="216" customFormat="1" ht="48">
      <c r="C12" s="567"/>
      <c r="D12" s="196" t="str">
        <f t="shared" si="0"/>
        <v>A</v>
      </c>
      <c r="E12" s="243">
        <v>5</v>
      </c>
      <c r="F12" s="572"/>
      <c r="G12" s="244" t="str">
        <f>'DP overall'!N19</f>
        <v>All Countermeasures Completed
All countermeasures have been completed.
(DP Manager)</v>
      </c>
      <c r="H12" s="229"/>
    </row>
    <row r="13" spans="2:8" s="216" customFormat="1" ht="48">
      <c r="C13" s="565" t="s">
        <v>30</v>
      </c>
      <c r="D13" s="196" t="str">
        <f t="shared" si="0"/>
        <v>C</v>
      </c>
      <c r="E13" s="243">
        <v>1</v>
      </c>
      <c r="F13" s="570" t="s">
        <v>689</v>
      </c>
      <c r="G13" s="213" t="str">
        <f>'DP overall'!F20</f>
        <v>Plan Established
There is a plan for Fire RA. 
(DP Manager)</v>
      </c>
      <c r="H13" s="229"/>
    </row>
    <row r="14" spans="2:8" s="216" customFormat="1" ht="64">
      <c r="C14" s="566"/>
      <c r="D14" s="196" t="str">
        <f t="shared" si="0"/>
        <v>B-</v>
      </c>
      <c r="E14" s="243">
        <v>2</v>
      </c>
      <c r="F14" s="571"/>
      <c r="G14" s="213" t="str">
        <f>'DP overall'!H20</f>
        <v>Plan Delayed (No Corrective Action)
There is a plan for Fire RA; however, its implementation is delayed, and no corrective plan has been established to address the delay.
(DP Manager)</v>
      </c>
      <c r="H14" s="229"/>
    </row>
    <row r="15" spans="2:8" s="216" customFormat="1" ht="96">
      <c r="C15" s="566"/>
      <c r="D15" s="196" t="str">
        <f t="shared" si="0"/>
        <v>B</v>
      </c>
      <c r="E15" s="243">
        <v>3</v>
      </c>
      <c r="F15" s="572"/>
      <c r="G15" s="213" t="str">
        <f>'DP overall'!J20</f>
        <v>Plan in Progress
There is a plan for Fire RA, which is currently progressing according to the plan.
Alternatively, if there is a delay, a corrective plan has been established and is ongoing.
In some cases, all Fire RAs have already been completed.
The contents of the assessment sheet should be confirmed.
(DP Manager)</v>
      </c>
      <c r="H15" s="229"/>
    </row>
    <row r="16" spans="2:8" ht="48">
      <c r="C16" s="566"/>
      <c r="D16" s="196" t="str">
        <f t="shared" si="0"/>
        <v>C</v>
      </c>
      <c r="E16" s="197">
        <v>1</v>
      </c>
      <c r="F16" s="570" t="s">
        <v>690</v>
      </c>
      <c r="G16" s="213" t="str">
        <f>'DP overall'!F21</f>
        <v>No Plan
There is no countermeasure plan in place for the risks detected by the Fire RA.
(D.P. Manager)</v>
      </c>
      <c r="H16" s="229"/>
    </row>
    <row r="17" spans="3:8" ht="64">
      <c r="C17" s="566"/>
      <c r="D17" s="196" t="str">
        <f t="shared" si="0"/>
        <v>B-</v>
      </c>
      <c r="E17" s="197">
        <v>2</v>
      </c>
      <c r="F17" s="571"/>
      <c r="G17" s="213" t="str">
        <f>'DP overall'!H21</f>
        <v>Delay without Corrective Plan
There is a plan for countermeasures for the fire risk; however, the implementation is delayed, and no corrective plan has been established.
(DP Manager)</v>
      </c>
      <c r="H17" s="229"/>
    </row>
    <row r="18" spans="3:8" ht="64">
      <c r="C18" s="566"/>
      <c r="D18" s="196" t="str">
        <f t="shared" si="0"/>
        <v>B</v>
      </c>
      <c r="E18" s="197">
        <v>3</v>
      </c>
      <c r="F18" s="571"/>
      <c r="G18" s="213" t="str">
        <f>'DP overall'!J21</f>
        <v>Ongoing / Delay with Corrective Plan
There is a plan for countermeasures for the fire risk, and it is progressing according to schedule. Alternatively, if there is a delay, a corrective plan has been established and is currently being implemented.
(DP Manager)</v>
      </c>
      <c r="H18" s="229"/>
    </row>
    <row r="19" spans="3:8" ht="68.5" customHeight="1">
      <c r="C19" s="566"/>
      <c r="D19" s="196" t="str">
        <f t="shared" si="0"/>
        <v>B+</v>
      </c>
      <c r="E19" s="197">
        <v>4</v>
      </c>
      <c r="F19" s="571"/>
      <c r="G19" s="213" t="str">
        <f>'DP overall'!L21</f>
        <v>Ahead of Schedule
There is a plan for countermeasures for the fire risk, and progress is ahead of schedule, though completion has not yet been achieved.
(DP Manager)</v>
      </c>
      <c r="H19" s="229"/>
    </row>
    <row r="20" spans="3:8" ht="48">
      <c r="C20" s="566"/>
      <c r="D20" s="196" t="str">
        <f t="shared" si="0"/>
        <v>A</v>
      </c>
      <c r="E20" s="197">
        <v>5</v>
      </c>
      <c r="F20" s="572"/>
      <c r="G20" s="244" t="str">
        <f>'DP overall'!N21</f>
        <v>Completed / Not Applicable
All countermeasures for Fire Risk III and IV have been completed, or no Fire Risk III and IV have been identified.
(DP Manager)</v>
      </c>
      <c r="H20" s="229"/>
    </row>
    <row r="21" spans="3:8" ht="48">
      <c r="C21" s="566"/>
      <c r="D21" s="196" t="str">
        <f t="shared" si="0"/>
        <v>C</v>
      </c>
      <c r="E21" s="197">
        <v>1</v>
      </c>
      <c r="F21" s="570" t="s">
        <v>691</v>
      </c>
      <c r="G21" s="213" t="str">
        <f>'DP overall'!F22</f>
        <v>Planned
Inspection items (based on legal &amp; BS requirements) are determined at the plant, and there is a plan for inspection.
(DP Manager)</v>
      </c>
      <c r="H21" s="229"/>
    </row>
    <row r="22" spans="3:8" ht="64">
      <c r="C22" s="566"/>
      <c r="D22" s="196" t="str">
        <f t="shared" si="0"/>
        <v>B-</v>
      </c>
      <c r="E22" s="197">
        <v>2</v>
      </c>
      <c r="F22" s="571"/>
      <c r="G22" s="213" t="str">
        <f>'DP overall'!H22</f>
        <v>Delayed – No Corrective Plan
Inspection items (based on legal &amp; BS requirements) are determined at the plant, and there is a plan for inspection; however, the plan is delayed, and no corrective plan has been established.
(DP Manager)</v>
      </c>
      <c r="H22" s="229"/>
    </row>
    <row r="23" spans="3:8" ht="80">
      <c r="C23" s="566"/>
      <c r="D23" s="196" t="str">
        <f t="shared" si="0"/>
        <v>B</v>
      </c>
      <c r="E23" s="197">
        <v>3</v>
      </c>
      <c r="F23" s="571"/>
      <c r="G23" s="213" t="str">
        <f>'DP overall'!J22</f>
        <v>Ongoing / Delayed with Corrective Plan
Inspection items  (based on legal &amp; BS requirements) are determined at the site, and there is a plan for inspection. The plan is ongoing, with evidence that inspections have been conducted as scheduled.
Alternatively, if there is a delay, a corrective plan has been established and is currently in progress.
(DP Manager)</v>
      </c>
      <c r="H23" s="229"/>
    </row>
    <row r="24" spans="3:8" ht="48">
      <c r="C24" s="566"/>
      <c r="D24" s="196" t="str">
        <f t="shared" si="0"/>
        <v>B+</v>
      </c>
      <c r="E24" s="197">
        <v>4</v>
      </c>
      <c r="F24" s="571"/>
      <c r="G24" s="244" t="str">
        <f>'DP overall'!L22</f>
        <v>NG Shared
Inspection NG items have been shared within the plant through meetings and other communication channels.
(DP Manager)</v>
      </c>
      <c r="H24" s="229"/>
    </row>
    <row r="25" spans="3:8" ht="64">
      <c r="C25" s="566"/>
      <c r="D25" s="196" t="str">
        <f t="shared" si="0"/>
        <v>A</v>
      </c>
      <c r="E25" s="197">
        <v>5</v>
      </c>
      <c r="F25" s="572"/>
      <c r="G25" s="244" t="str">
        <f>'DP overall'!N22</f>
        <v>Continuous Improvement
Inspection items (including standards and procedures) have, in some cases, been reviewed and updated based on inspection results.
(DP Manager)</v>
      </c>
      <c r="H25" s="229"/>
    </row>
    <row r="26" spans="3:8" ht="80">
      <c r="C26" s="566"/>
      <c r="D26" s="196" t="str">
        <f t="shared" si="0"/>
        <v>C</v>
      </c>
      <c r="E26" s="197">
        <v>1</v>
      </c>
      <c r="F26" s="570" t="s">
        <v>277</v>
      </c>
      <c r="G26" s="244" t="str">
        <f>'DP overall'!F23</f>
        <v>Not Conducted / No Plan
Inspection to identify defective wiring has not been conducted at the seven visual checkpoints, or there is no plan in place to conduct it.
(Including items such as outlets, plugs, overcapacity, tangled cords, electric drums)
(DP manager)</v>
      </c>
      <c r="H26" s="255"/>
    </row>
    <row r="27" spans="3:8" ht="80">
      <c r="C27" s="566"/>
      <c r="D27" s="196" t="str">
        <f t="shared" si="0"/>
        <v>B-</v>
      </c>
      <c r="E27" s="197">
        <v>2</v>
      </c>
      <c r="F27" s="571"/>
      <c r="G27" s="244" t="str">
        <f>'DP overall'!H23</f>
        <v>Conducted but Delayed
Inspection has been conducted and there is a plan in place; however, implementation is delayed at the plant.
Defects identified have been immediately corrected.
At least one inspection point in GENBA should be validated.
(DP manager)</v>
      </c>
      <c r="H27" s="255"/>
    </row>
    <row r="28" spans="3:8" ht="80">
      <c r="C28" s="566"/>
      <c r="D28" s="196" t="str">
        <f t="shared" si="0"/>
        <v>B</v>
      </c>
      <c r="E28" s="197">
        <v>3</v>
      </c>
      <c r="F28" s="571"/>
      <c r="G28" s="244" t="str">
        <f>'DP overall'!J23</f>
        <v>Ongoing / Delayed with Corrective Plan
There is a plan for countermeasures based on the defect wiring inspection, and it is progressing according to the plan.
Alternatively, if there is a delay, a corrective plan has been established and is currently ongoing.
Inspection records of electrical wiring must be confirmed.
(DP Manager)</v>
      </c>
      <c r="H28" s="255"/>
    </row>
    <row r="29" spans="3:8" ht="64">
      <c r="C29" s="566"/>
      <c r="D29" s="196" t="str">
        <f t="shared" si="0"/>
        <v>B+</v>
      </c>
      <c r="E29" s="197">
        <v>4</v>
      </c>
      <c r="F29" s="571"/>
      <c r="G29" s="244" t="str">
        <f>'DP overall'!L23</f>
        <v>Ahead of Schedule
There is a plan for countermeasures from the defect wiring inspection, and progress is ahead of schedule, though not yet completed.
(DP manager)</v>
      </c>
      <c r="H29" s="255"/>
    </row>
    <row r="30" spans="3:8" ht="64">
      <c r="C30" s="566"/>
      <c r="D30" s="196" t="str">
        <f t="shared" si="0"/>
        <v>A</v>
      </c>
      <c r="E30" s="197">
        <v>5</v>
      </c>
      <c r="F30" s="572"/>
      <c r="G30" s="244" t="str">
        <f>'DP overall'!N23</f>
        <v>Completed / No Defects
Based on the results of the electrical wiring inspection, no defects requiring countermeasures were identified.
(All countermeasures have been completed and no defects were detected.)
At least one GENBA should be validated.</v>
      </c>
      <c r="H30" s="255"/>
    </row>
    <row r="31" spans="3:8" ht="64">
      <c r="C31" s="566"/>
      <c r="D31" s="196" t="str">
        <f t="shared" si="0"/>
        <v>C</v>
      </c>
      <c r="E31" s="198">
        <v>1</v>
      </c>
      <c r="F31" s="570" t="str">
        <f>'DP overall'!E24</f>
        <v>Abnormal noise/ vibration and temperature inspection
(Motor, M/C moving part)</v>
      </c>
      <c r="G31" s="244" t="str">
        <f>'DP overall'!F24</f>
        <v>Not Conducted / No Plan
Noise/Vibration and Temperature inspection has not been conducted, or there is no plan in place to conduct it.
At least one case in GENBA must be validated.
(DP manager)</v>
      </c>
      <c r="H31" s="255"/>
    </row>
    <row r="32" spans="3:8" ht="86.15" customHeight="1">
      <c r="C32" s="566"/>
      <c r="D32" s="196" t="str">
        <f t="shared" si="0"/>
        <v>B-</v>
      </c>
      <c r="E32" s="198">
        <v>2</v>
      </c>
      <c r="F32" s="571"/>
      <c r="G32" s="244" t="str">
        <f>'DP overall'!H24</f>
        <v>Conducted but Delayed
Noise/Vibration and Temperature inspection has been conducted, and there is a plan in place; however, the plan is delayed.
At least one case in GENBA must be validated.
(DP manager)</v>
      </c>
      <c r="H32" s="255"/>
    </row>
    <row r="33" spans="3:8" ht="96">
      <c r="C33" s="566"/>
      <c r="D33" s="196" t="str">
        <f t="shared" si="0"/>
        <v>B</v>
      </c>
      <c r="E33" s="198">
        <v>3</v>
      </c>
      <c r="F33" s="571"/>
      <c r="G33" s="244" t="str">
        <f>'DP overall'!J24</f>
        <v>Ongoing / Delayed with Corrective Plan / Completed
There is a plan for countermeasures from the Noise/Vibration and Temperature inspection, and it is progressing according to the plan.
Alternatively, if there is a delay, a corrective plan has been established and is currently ongoing.
In some cases, all countermeasures have already been completed.
(DP manager)</v>
      </c>
      <c r="H33" s="255"/>
    </row>
    <row r="34" spans="3:8" ht="64">
      <c r="C34" s="566"/>
      <c r="D34" s="196" t="str">
        <f t="shared" si="0"/>
        <v>B+</v>
      </c>
      <c r="E34" s="198">
        <v>4</v>
      </c>
      <c r="F34" s="571"/>
      <c r="G34" s="244" t="str">
        <f>'DP overall'!L24</f>
        <v>Ahead of Schedule
There is a plan for countermeasures from the Noise/Vibration and Temperature inspection, and progress is ahead of schedule, though not yet completed.
(DP Manager)</v>
      </c>
      <c r="H34" s="255"/>
    </row>
    <row r="35" spans="3:8" ht="96">
      <c r="C35" s="567"/>
      <c r="D35" s="196" t="str">
        <f t="shared" si="0"/>
        <v>A</v>
      </c>
      <c r="E35" s="198">
        <v>5</v>
      </c>
      <c r="F35" s="572"/>
      <c r="G35" s="244" t="str">
        <f>'DP overall'!N24</f>
        <v>Completed / No Defects
Based on the results of the Noise/Vibration and Temperature inspection, no defects requiring countermeasures were identified.
(All countermeasures have been completed and no defects were detected.)
At least one GENBA must be validated.
(DP manager)</v>
      </c>
      <c r="H35" s="255"/>
    </row>
    <row r="36" spans="3:8" ht="48">
      <c r="C36" s="565" t="s">
        <v>31</v>
      </c>
      <c r="D36" s="196" t="str">
        <f t="shared" si="0"/>
        <v>C</v>
      </c>
      <c r="E36" s="197">
        <v>1</v>
      </c>
      <c r="F36" s="570" t="s">
        <v>104</v>
      </c>
      <c r="G36" s="210" t="str">
        <f>'DP overall'!F25</f>
        <v>Not Issued
D.P. policy/target has not been issued.
(DP Manager)</v>
      </c>
      <c r="H36" s="255"/>
    </row>
    <row r="37" spans="3:8" ht="48">
      <c r="C37" s="566"/>
      <c r="D37" s="196" t="str">
        <f t="shared" si="0"/>
        <v>A</v>
      </c>
      <c r="E37" s="197">
        <v>5</v>
      </c>
      <c r="F37" s="572"/>
      <c r="G37" s="211" t="str">
        <f>'DP overall'!N25</f>
        <v>Benchmarking
There is evidence of OH&amp;S benchmarking with other sites.
(System: DP Manager: No.123)</v>
      </c>
      <c r="H37" s="255"/>
    </row>
    <row r="38" spans="3:8" ht="48">
      <c r="C38" s="566"/>
      <c r="D38" s="196" t="str">
        <f t="shared" si="0"/>
        <v>C</v>
      </c>
      <c r="E38" s="197">
        <v>1</v>
      </c>
      <c r="F38" s="209" t="s">
        <v>109</v>
      </c>
      <c r="G38" s="212" t="str">
        <f>'DP overall'!F26</f>
        <v>Not Issued
D.P. policy/target has not been issued.
(DP Manager)</v>
      </c>
      <c r="H38" s="255"/>
    </row>
    <row r="39" spans="3:8" ht="48">
      <c r="C39" s="566"/>
      <c r="D39" s="196" t="str">
        <f t="shared" si="0"/>
        <v>C</v>
      </c>
      <c r="E39" s="197">
        <v>1</v>
      </c>
      <c r="F39" s="570" t="s">
        <v>114</v>
      </c>
      <c r="G39" s="212" t="str">
        <f>'DP overall'!F27</f>
        <v>Not Conducted
Internal audit has not been conducted.
(DP Manager)</v>
      </c>
      <c r="H39" s="255"/>
    </row>
    <row r="40" spans="3:8" ht="48">
      <c r="C40" s="566"/>
      <c r="D40" s="196" t="str">
        <f t="shared" si="0"/>
        <v>B-</v>
      </c>
      <c r="E40" s="197">
        <v>2</v>
      </c>
      <c r="F40" s="571"/>
      <c r="G40" s="211" t="str">
        <f>'DP overall'!H27</f>
        <v>Conducted – Not Shared
Internal audit has been conducted, but the results have not been shared within the plant.
(DP Manager)</v>
      </c>
      <c r="H40" s="255"/>
    </row>
    <row r="41" spans="3:8" ht="48">
      <c r="C41" s="566"/>
      <c r="D41" s="196" t="str">
        <f t="shared" si="0"/>
        <v>B</v>
      </c>
      <c r="E41" s="197">
        <v>3</v>
      </c>
      <c r="F41" s="571"/>
      <c r="G41" s="210" t="str">
        <f>'DP overall'!J27</f>
        <v>Conducted – Shared
Internal audit has been conducted, and the results have been shared within the plant, including with managers.
(DP Manager)</v>
      </c>
      <c r="H41" s="255"/>
    </row>
    <row r="42" spans="3:8" ht="48">
      <c r="C42" s="566"/>
      <c r="D42" s="196" t="str">
        <f t="shared" si="0"/>
        <v>B+</v>
      </c>
      <c r="E42" s="197">
        <v>4</v>
      </c>
      <c r="F42" s="571"/>
      <c r="G42" s="211" t="str">
        <f>'DP overall'!L27</f>
        <v>KAIZEN Plan &amp; Implementation
Based on the results of the internal audit, a KAIZEN plan has been developed and implemented according to the plan.
(DP Manager)</v>
      </c>
      <c r="H42" s="255"/>
    </row>
    <row r="43" spans="3:8" ht="48">
      <c r="C43" s="567"/>
      <c r="D43" s="196" t="str">
        <f t="shared" si="0"/>
        <v>A</v>
      </c>
      <c r="E43" s="197">
        <v>5</v>
      </c>
      <c r="F43" s="572"/>
      <c r="G43" s="211" t="str">
        <f>'DP overall'!N27</f>
        <v>No Non-Conformities in QM Audit
There is no non-conformity (Major/Minor) identified in the QM audit.
(DP Manager)</v>
      </c>
      <c r="H43" s="255"/>
    </row>
    <row r="44" spans="3:8" ht="64">
      <c r="C44" s="573" t="s">
        <v>32</v>
      </c>
      <c r="D44" s="196" t="str">
        <f t="shared" si="0"/>
        <v>A</v>
      </c>
      <c r="E44" s="197">
        <v>5</v>
      </c>
      <c r="F44" s="209" t="str">
        <f>'DP overall'!E28</f>
        <v>3S
for flammable/ combustible material storage</v>
      </c>
      <c r="G44" s="244" t="str">
        <f>'DP overall'!N28</f>
        <v>Best Practice Integration &amp; Benchmarking
Best practices on 3S have been collected from other plants/industries and incorporated into site procedures, with evidence of benchmarking or comparison with other plants.
(System: DP Manager: No.133)</v>
      </c>
      <c r="H44" s="256"/>
    </row>
    <row r="45" spans="3:8" ht="48">
      <c r="C45" s="573"/>
      <c r="D45" s="196" t="str">
        <f t="shared" si="0"/>
        <v>C</v>
      </c>
      <c r="E45" s="197">
        <v>1</v>
      </c>
      <c r="F45" s="570" t="s">
        <v>692</v>
      </c>
      <c r="G45" s="213" t="str">
        <f>'DP overall'!F31</f>
        <v>No Training
Fire extinguisher training has not been provided.
※ If training is provided, the judgement is “Yes”; if not, the judgement is “No.”</v>
      </c>
      <c r="H45" s="255"/>
    </row>
    <row r="46" spans="3:8" ht="48">
      <c r="C46" s="573"/>
      <c r="D46" s="196" t="str">
        <f t="shared" si="0"/>
        <v>B-</v>
      </c>
      <c r="E46" s="197">
        <v>2</v>
      </c>
      <c r="F46" s="571"/>
      <c r="G46" s="213" t="str">
        <f>'DP overall'!H31</f>
        <v>Limited Training
Fire extinguisher training has been provided only to limited (not all) employees in the facility.
Water spraying drills have been provided only to limited (not all) self-firefighting members in the facility.</v>
      </c>
      <c r="H46" s="255"/>
    </row>
    <row r="47" spans="3:8" ht="48">
      <c r="C47" s="573"/>
      <c r="D47" s="196" t="str">
        <f t="shared" si="0"/>
        <v>B</v>
      </c>
      <c r="E47" s="197">
        <v>3</v>
      </c>
      <c r="F47" s="571"/>
      <c r="G47" s="213" t="str">
        <f>'DP overall'!J31</f>
        <v>Annual Training for All Employees
Fire extinguisher training and education are provided to all employees in the facility at least once per year.
Water spraying drills are provided annually to all employees appointed as self-firefighting members in the facility.</v>
      </c>
      <c r="H47" s="255"/>
    </row>
    <row r="48" spans="3:8" ht="64">
      <c r="C48" s="573"/>
      <c r="D48" s="196" t="str">
        <f t="shared" si="0"/>
        <v>B+</v>
      </c>
      <c r="E48" s="197">
        <v>4</v>
      </c>
      <c r="F48" s="571"/>
      <c r="G48" s="244" t="str">
        <f>'DP overall'!L31</f>
        <v>Expanded Training
Water spraying drills and education are also provided at least once per year to employees who are not self-firefighting members.
(Disaster Prevention Department)</v>
      </c>
      <c r="H48" s="255"/>
    </row>
    <row r="49" spans="3:8" ht="96">
      <c r="C49" s="573"/>
      <c r="D49" s="196" t="str">
        <f t="shared" si="0"/>
        <v>A</v>
      </c>
      <c r="E49" s="197">
        <v>5</v>
      </c>
      <c r="F49" s="572"/>
      <c r="G49" s="213" t="str">
        <f>'DP overall'!N31</f>
        <v>Practical Training for Irregular Situations
The site plans and conducts practical training for irregular situations such as:
- fire at night
- electrical power outage
- fire on holidays
- sudden/unexpected fires</v>
      </c>
      <c r="H49" s="255"/>
    </row>
    <row r="50" spans="3:8" ht="112">
      <c r="C50" s="573"/>
      <c r="D50" s="196" t="str">
        <f t="shared" si="0"/>
        <v>C</v>
      </c>
      <c r="E50" s="197">
        <v>1</v>
      </c>
      <c r="F50" s="570" t="s">
        <v>335</v>
      </c>
      <c r="G50" s="244" t="str">
        <f>'DP overall'!F32</f>
        <v>No Standard / Unsafe Practice
There is no standard for hot work, or hot work equipment is used without: 
- advance application,
- advance check*(e.g., presence of combustibles/flammables, preparation of extinguisher/water, spark prevention),
- assignment of fire watcher, or
- checking for residual fire after work.
(If any one of these is missing/defective, the judgement is “No.”)</v>
      </c>
      <c r="H50" s="255"/>
    </row>
    <row r="51" spans="3:8" ht="64">
      <c r="C51" s="573"/>
      <c r="D51" s="196" t="str">
        <f t="shared" si="0"/>
        <v>B-</v>
      </c>
      <c r="E51" s="198">
        <v>2</v>
      </c>
      <c r="F51" s="571"/>
      <c r="G51" s="244" t="str">
        <f>'DP overall'!H32</f>
        <v>Standards Exist – Defects in Implementation
Standards for hot work exist and equipment is used with advance application.
However, there are defects in areas such as advance check, assignment of fire watcher, residual fire check, or 3S practices.</v>
      </c>
      <c r="H51" s="255"/>
    </row>
    <row r="52" spans="3:8" ht="48">
      <c r="C52" s="573"/>
      <c r="D52" s="196" t="str">
        <f t="shared" si="0"/>
        <v>B</v>
      </c>
      <c r="E52" s="198">
        <v>3</v>
      </c>
      <c r="F52" s="572"/>
      <c r="G52" s="244" t="str">
        <f>'DP overall'!J32</f>
        <v>Controlled According to Standards
Hot work is controlled in accordance with established standards.
※ At least one site (construction area, periodic repair area, or designated hot work area) must be checked.</v>
      </c>
      <c r="H52" s="255"/>
    </row>
    <row r="53" spans="3:8" ht="112">
      <c r="C53" s="573"/>
      <c r="D53" s="196" t="str">
        <f t="shared" si="0"/>
        <v>C</v>
      </c>
      <c r="E53" s="197">
        <v>1</v>
      </c>
      <c r="F53" s="570" t="str">
        <f>'DP overall'!E34</f>
        <v xml:space="preserve">Flammable Material Storage and Usage Area </v>
      </c>
      <c r="G53" s="244" t="str">
        <f>'DP overall'!F34</f>
        <v>Not Inspected / No Controls
Flammable material storage and usage areas are not inspected regularly, or inspections are conducted but with no plan to solve problems.
No measures are in place to control electrostatic risks (e.g., no grounding/bonding, no humidity control, no anti-static flooring).
No monitoring of heat sources (e.g., sunlight exposure, hot surfaces, or nearby equipment generating heat).
(DP Manager)</v>
      </c>
      <c r="H53" s="255"/>
    </row>
    <row r="54" spans="3:8" ht="64">
      <c r="C54" s="573"/>
      <c r="D54" s="196" t="str">
        <f t="shared" si="0"/>
        <v>B-</v>
      </c>
      <c r="E54" s="197">
        <v>2</v>
      </c>
      <c r="F54" s="571"/>
      <c r="G54" s="244" t="str">
        <f>'DP overall'!H34</f>
        <v>Inspection but Delayed / No Recovery Plan
Inspections are conducted and risks are identified, but countermeasure implementation is delayed, with no corrective plan to catch up.
(DP Manager)</v>
      </c>
      <c r="H54" s="255"/>
    </row>
    <row r="55" spans="3:8" ht="96">
      <c r="C55" s="573"/>
      <c r="D55" s="196" t="str">
        <f t="shared" si="0"/>
        <v>B</v>
      </c>
      <c r="E55" s="197">
        <v>3</v>
      </c>
      <c r="F55" s="571"/>
      <c r="G55" s="244" t="str">
        <f>'DP overall'!J34</f>
        <v>Plan in Progress (or with Recovery Plan)
There is a planned and periodic inspection of fire risks in flammable material storage and usage areas.
If NG items related to electrostatic or heat risks are identified, countermeasures are implemented.
Storage is arranged to avoid proximity to heat sources, and ventilation or temperature control is introduced as necessary.
If delays occur, corrective plans are reviewed and actions are ongoing.
(DP Manager)</v>
      </c>
      <c r="H55" s="255"/>
    </row>
    <row r="56" spans="3:8" ht="55" customHeight="1">
      <c r="C56" s="573"/>
      <c r="D56" s="196" t="str">
        <f t="shared" si="0"/>
        <v>B+</v>
      </c>
      <c r="E56" s="197">
        <v>4</v>
      </c>
      <c r="F56" s="571"/>
      <c r="G56" s="244" t="str">
        <f>'DP overall'!L34</f>
        <v xml:space="preserve">Immediate Action
When problems are found, they are solved immediately.
If only temporary measures are applied, permanent measures are planned and moved forward.
</v>
      </c>
      <c r="H56" s="255"/>
    </row>
    <row r="57" spans="3:8" ht="64">
      <c r="C57" s="573"/>
      <c r="D57" s="196" t="str">
        <f t="shared" si="0"/>
        <v>A</v>
      </c>
      <c r="E57" s="197">
        <v>5</v>
      </c>
      <c r="F57" s="572"/>
      <c r="G57" s="244" t="str">
        <f>'DP overall'!N34</f>
        <v>No Problems / Fully Resolved
There are no problems, or all previously identified problems have already been solved, and no defects are detected.
※ Confirm at least one example of completed measures on-site.</v>
      </c>
      <c r="H57" s="255"/>
    </row>
    <row r="58" spans="3:8" ht="48">
      <c r="C58" s="573"/>
      <c r="D58" s="196" t="str">
        <f t="shared" ref="D58:D62" si="1">IF(E58=1,"C",IF(E58=2,"B-",IF(E58=3,"B",IF(E58=4,"B+",IF(E58=5,"A")))))</f>
        <v>C</v>
      </c>
      <c r="E58" s="197">
        <v>1</v>
      </c>
      <c r="F58" s="570" t="str">
        <f>'DP overall'!E35</f>
        <v xml:space="preserve">Equipment grounding &amp; bounding for Gasoline Cement equipment </v>
      </c>
      <c r="G58" s="244" t="str">
        <f>'DP overall'!F35</f>
        <v>No Grounding / No Plan 
Gasoline cement equipment is not grounded or bonded, and there is no plan for grounding/bonding inspection. 
(DP Manager)</v>
      </c>
      <c r="H58" s="255"/>
    </row>
    <row r="59" spans="3:8" ht="64">
      <c r="C59" s="573"/>
      <c r="D59" s="196" t="str">
        <f t="shared" si="1"/>
        <v>B-</v>
      </c>
      <c r="E59" s="197">
        <v>2</v>
      </c>
      <c r="F59" s="571"/>
      <c r="G59" s="244" t="str">
        <f>'DP overall'!H35</f>
        <v>Inspection but Delay / No Corrective Action
Grounding and bonding inspections are carried out, but delays exist in implementing corrective actions, and no recovery plan is established.
(DP Manager)</v>
      </c>
      <c r="H59" s="255"/>
    </row>
    <row r="60" spans="3:8" ht="64">
      <c r="C60" s="573"/>
      <c r="D60" s="196" t="str">
        <f t="shared" si="1"/>
        <v>B</v>
      </c>
      <c r="E60" s="197">
        <v>3</v>
      </c>
      <c r="F60" s="571"/>
      <c r="G60" s="244" t="str">
        <f>'DP overall'!J35</f>
        <v>Plan in Progress (or with Recovery Plan)
A grounding and bonding inspection plan exists and is being implemented as planned.
If delayed, a corrective plan has been established and is ongoing.
(DP Manager)</v>
      </c>
      <c r="H60" s="255"/>
    </row>
    <row r="61" spans="3:8" ht="80">
      <c r="C61" s="573"/>
      <c r="D61" s="196" t="str">
        <f t="shared" si="1"/>
        <v>B+</v>
      </c>
      <c r="E61" s="197">
        <v>4</v>
      </c>
      <c r="F61" s="571"/>
      <c r="G61" s="244" t="str">
        <f>'DP overall'!L35</f>
        <v>Onsite confirm implementation
Grounding and bonding are inspected periodically, and any NG items are corrected immediately or with a clear recovery plan and complete as plan or ahead plan.
On-site verification confirms compliance.
(DP Manager)</v>
      </c>
      <c r="H61" s="255"/>
    </row>
    <row r="62" spans="3:8" ht="80">
      <c r="C62" s="573"/>
      <c r="D62" s="196" t="str">
        <f t="shared" si="1"/>
        <v>A</v>
      </c>
      <c r="E62" s="197">
        <v>5</v>
      </c>
      <c r="F62" s="572"/>
      <c r="G62" s="244" t="str">
        <f>'DP overall'!N35</f>
        <v>Fully Controlled / Continuous Improvement
All gasoline cement equipment is properly grounded and bonded.
No defects are found, or all defects have already been solved.
Best practices or lessons learned are reflected in the grounding and bonding program for continuous improvement.
(DP Manager)</v>
      </c>
      <c r="H62" s="255"/>
    </row>
    <row r="63" spans="3:8" ht="112">
      <c r="C63" s="573"/>
      <c r="D63" s="196" t="str">
        <f t="shared" si="0"/>
        <v>C</v>
      </c>
      <c r="E63" s="197">
        <v>1</v>
      </c>
      <c r="F63" s="570" t="str">
        <f>'DP overall'!E36</f>
        <v>Control of specified combustibles 
handling areas</v>
      </c>
      <c r="G63" s="244" t="str">
        <f>'DP overall'!F36</f>
        <v>Not Inspected / No 3S Standard
Specified combustibles handling areas are not inspected regularly, or inspections are conducted but with no plan to solve identified problems.
There is no 3S visual standard (MAP, position, number of things, cleaning level, etc.), or 3S is not conducted according to the 3S standards.
(Example: Combustible cutting oil, machine oil storage, waste materials storage)
(DP Manager)</v>
      </c>
      <c r="H63" s="255"/>
    </row>
    <row r="64" spans="3:8" ht="96">
      <c r="C64" s="573"/>
      <c r="D64" s="196" t="str">
        <f t="shared" si="0"/>
        <v>B-</v>
      </c>
      <c r="E64" s="197">
        <v>2</v>
      </c>
      <c r="F64" s="571"/>
      <c r="G64" s="244" t="str">
        <f>'DP overall'!H36</f>
        <v>Inspection with Delay
Inspections are carried out and measures to solve the problems are planned, but the plan is delayed.
3S is conducted as per the 3S standards.
※ The plan is not reviewed to catch up.
※ At least one site where the inspection was carried out should be checked.
(DP Manager)</v>
      </c>
      <c r="H64" s="255"/>
    </row>
    <row r="65" spans="3:8" ht="96">
      <c r="C65" s="573"/>
      <c r="D65" s="196" t="str">
        <f t="shared" si="0"/>
        <v>B</v>
      </c>
      <c r="E65" s="197">
        <v>3</v>
      </c>
      <c r="F65" s="571"/>
      <c r="G65" s="244" t="str">
        <f>'DP overall'!J36</f>
        <v>Plan in Progress (or with Reviewed Delay)
There is a plan to solve the problems, and measures are being implemented according to the plan.
If the plan is delayed with adequate reason, it is reviewed, and measures are conducted according to the reviewed plan (on-going).
3S is conducted as per the 3S standards.
(DP Manager)</v>
      </c>
      <c r="H65" s="255"/>
    </row>
    <row r="66" spans="3:8" ht="80">
      <c r="C66" s="573"/>
      <c r="D66" s="196" t="str">
        <f t="shared" si="0"/>
        <v>B+</v>
      </c>
      <c r="E66" s="197">
        <v>4</v>
      </c>
      <c r="F66" s="571"/>
      <c r="G66" s="244" t="str">
        <f>'DP overall'!L36</f>
        <v>Immediate Action on Findings
When problems are found, they are solved immediately, or a corrective plan is developed and moved forward without delay.
3S is conducted as per the 3S standards.
(DP Manager)</v>
      </c>
      <c r="H66" s="255"/>
    </row>
    <row r="67" spans="3:8" ht="80">
      <c r="C67" s="573"/>
      <c r="D67" s="196" t="str">
        <f t="shared" si="0"/>
        <v>A</v>
      </c>
      <c r="E67" s="197">
        <v>5</v>
      </c>
      <c r="F67" s="572"/>
      <c r="G67" s="244" t="str">
        <f>'DP overall'!N36</f>
        <v>Fully Controlled / No Defects
There are no problems, or all identified problems have already been solved and no defects remain.
3S is conducted as per the 3S standards.
※ At least one example of the completed measures on-site should be confirmed.
(DP Manager)</v>
      </c>
      <c r="H67" s="255"/>
    </row>
    <row r="68" spans="3:8" ht="48">
      <c r="C68" s="573"/>
      <c r="D68" s="196" t="str">
        <f t="shared" ref="D68:D72" si="2">IF(E68=1,"C",IF(E68=2,"B-",IF(E68=3,"B",IF(E68=4,"B+",IF(E68=5,"A")))))</f>
        <v>C</v>
      </c>
      <c r="E68" s="197">
        <v>1</v>
      </c>
      <c r="F68" s="570" t="str">
        <f>'DP overall'!E37</f>
        <v xml:space="preserve">Arson Prevention Control </v>
      </c>
      <c r="G68" s="244" t="str">
        <f>'DP overall'!F37</f>
        <v>No Prevention System
There is no security system or preventive measures against arson in place.
No patrols, no monitoring system, or no responsibility assigned.</v>
      </c>
      <c r="H68" s="255"/>
    </row>
    <row r="69" spans="3:8" ht="48">
      <c r="C69" s="573"/>
      <c r="D69" s="196" t="str">
        <f t="shared" si="2"/>
        <v>B-</v>
      </c>
      <c r="E69" s="197">
        <v>2</v>
      </c>
      <c r="F69" s="571"/>
      <c r="G69" s="244" t="str">
        <f>'DP overall'!H37</f>
        <v>Basic Measures but Incomplete
A security system (e.g., CCTV, infrared sensors) is planned or partially installed, but patrols and checks are inconsistent.
Patrol records are not complete or not reviewed.</v>
      </c>
      <c r="H69" s="255"/>
    </row>
    <row r="70" spans="3:8" ht="64">
      <c r="C70" s="573"/>
      <c r="D70" s="196" t="str">
        <f t="shared" si="2"/>
        <v>B</v>
      </c>
      <c r="E70" s="197">
        <v>3</v>
      </c>
      <c r="F70" s="571"/>
      <c r="G70" s="244" t="str">
        <f>'DP overall'!J37</f>
        <v>System &amp; Patrol Implemented
Security systems (CCTV, infrared sensors) are installed and functional.
Security guards regularly patrol combustible storage areas and record the results.
DP staff check patrol records and alarm logs regularly.</v>
      </c>
      <c r="H70" s="255"/>
    </row>
    <row r="71" spans="3:8" ht="64">
      <c r="C71" s="573"/>
      <c r="D71" s="196" t="str">
        <f t="shared" si="2"/>
        <v>B+</v>
      </c>
      <c r="E71" s="197">
        <v>4</v>
      </c>
      <c r="F71" s="571"/>
      <c r="G71" s="244" t="str">
        <f>'DP overall'!L37</f>
        <v>Monitoring &amp; Corrective Actions
Arson prevention patrols are implemented consistently, records are checked, and corrective instructions are given when problems are identified.
Regular monthly checks of records are performed by DP staff.</v>
      </c>
      <c r="H71" s="255"/>
    </row>
    <row r="72" spans="3:8" ht="64">
      <c r="C72" s="573"/>
      <c r="D72" s="196" t="str">
        <f t="shared" si="2"/>
        <v>A</v>
      </c>
      <c r="E72" s="197">
        <v>5</v>
      </c>
      <c r="F72" s="572"/>
      <c r="G72" s="244" t="str">
        <f>'DP overall'!N37</f>
        <v>Fully Controlled &amp; Reviewed
Arson prevention measures are fully established, integrated into site security management, and reviewed periodically.
Countermeasures are immediately applied when issues are detected.
All records (patrols, alarms, corrective actions) are complete and traceable.</v>
      </c>
      <c r="H72" s="255"/>
    </row>
    <row r="73" spans="3:8" ht="48">
      <c r="C73" s="573"/>
      <c r="D73" s="196" t="str">
        <f t="shared" ref="D73:D77" si="3">IF(E73=1,"C",IF(E73=2,"B-",IF(E73=3,"B",IF(E73=4,"B+",IF(E73=5,"A")))))</f>
        <v>C</v>
      </c>
      <c r="E73" s="197">
        <v>1</v>
      </c>
      <c r="F73" s="570" t="str">
        <f>'DP overall'!E38</f>
        <v>Smoking control</v>
      </c>
      <c r="G73" s="244" t="str">
        <f>'DP overall'!F38</f>
        <v>Not Controlled / Non-Compliant
Smoking areas are not designated or managed, and smoking occurs outside the designated areas.
There is no standard for smoking control, or no ashtray/noncombustible container is provided.</v>
      </c>
      <c r="H73" s="255"/>
    </row>
    <row r="74" spans="3:8" ht="64">
      <c r="C74" s="573"/>
      <c r="D74" s="196" t="str">
        <f t="shared" si="3"/>
        <v>B-</v>
      </c>
      <c r="E74" s="197">
        <v>2</v>
      </c>
      <c r="F74" s="571"/>
      <c r="G74" s="244" t="str">
        <f>'DP overall'!H38</f>
        <v>Standards Prepared but Weak Enforcement
Standards for smoking control exist, and smoking areas are designated.
However, inspections are irregular, and defects (e.g., cigarette butts not in noncombustible containers, missing ashtray/water/fire extinguisher) are not solved promptly.</v>
      </c>
      <c r="H74" s="255"/>
    </row>
    <row r="75" spans="3:8" ht="64">
      <c r="C75" s="573"/>
      <c r="D75" s="196" t="str">
        <f t="shared" si="3"/>
        <v>B</v>
      </c>
      <c r="E75" s="197">
        <v>3</v>
      </c>
      <c r="F75" s="571"/>
      <c r="G75" s="244" t="str">
        <f>'DP overall'!J38</f>
        <v>Inspection plan designed, NG on delay to improve 
Smoking areas are designated and fully prepared according to standards.
Inspections are carried out regularly (e.g., monthly) to confirm compliance.
If there is delay or non-compliance, corrective measures are planned and being implemented.</v>
      </c>
      <c r="H75" s="255"/>
    </row>
    <row r="76" spans="3:8" ht="64">
      <c r="C76" s="573"/>
      <c r="D76" s="196" t="str">
        <f t="shared" si="3"/>
        <v>B+</v>
      </c>
      <c r="E76" s="197">
        <v>4</v>
      </c>
      <c r="F76" s="571"/>
      <c r="G76" s="244" t="str">
        <f>'DP overall'!L38</f>
        <v>Active Monitoring &amp; no delay Corrective Action
Smoking areas are regularly patrolled and checked (cigarette butt collection, removal of unnecessary combustibles, equipment availability).
If standards are not followed, the F.P. Manager gives instructions for correction and follows up until completion.</v>
      </c>
      <c r="H76" s="255"/>
    </row>
    <row r="77" spans="3:8" ht="88.5" customHeight="1">
      <c r="C77" s="573"/>
      <c r="D77" s="196" t="str">
        <f t="shared" si="3"/>
        <v>A</v>
      </c>
      <c r="E77" s="197">
        <v>5</v>
      </c>
      <c r="F77" s="572"/>
      <c r="G77" s="244" t="str">
        <f>'DP overall'!N38</f>
        <v>Fully Controlled / Best Practice
All smoking areas are compliant: cigarette butts are collected in noncombustible containers, unnecessary combustible materials are not placed, and smokers fully understand and comply with smoking rules.
If standards are not followed, the site takes immediate corrective action or considers closing the smoking area. 
(Genba)</v>
      </c>
      <c r="H77" s="255"/>
    </row>
    <row r="78" spans="3:8" ht="64">
      <c r="C78" s="573"/>
      <c r="D78" s="196" t="str">
        <f t="shared" ref="D78:D92" si="4">IF(E78=1,"C",IF(E78=2,"B-",IF(E78=3,"B",IF(E78=4,"B+",IF(E78=5,"A")))))</f>
        <v>C</v>
      </c>
      <c r="E78" s="197">
        <v>1</v>
      </c>
      <c r="F78" s="570" t="str">
        <f>'DP overall'!E39</f>
        <v>Duct inspection and cleaning</v>
      </c>
      <c r="G78" s="244" t="str">
        <f>'DP overall'!F39</f>
        <v>Not Inspected / No Plan
Ducts are not inspected/cleaned regularly, or inspections are performed but there is no plan to solve the identified problems.
Inspection holes for ducts are not installed, or there is no control standard for inspection/cleaning.</v>
      </c>
      <c r="H78" s="255"/>
    </row>
    <row r="79" spans="3:8" ht="48">
      <c r="C79" s="573"/>
      <c r="D79" s="196" t="str">
        <f t="shared" si="4"/>
        <v>B-</v>
      </c>
      <c r="E79" s="197">
        <v>2</v>
      </c>
      <c r="F79" s="571"/>
      <c r="G79" s="244" t="str">
        <f>'DP overall'!H39</f>
        <v>Inspection but Delayed / Incomplete
Inspections and cleaning are carried out, and accumulation is checked.
However, when NG conditions are found, there is no plan to improve, or a plan exists but is delayed with no recovery plan.</v>
      </c>
      <c r="H79" s="255"/>
    </row>
    <row r="80" spans="3:8" ht="64">
      <c r="C80" s="573"/>
      <c r="D80" s="196" t="str">
        <f t="shared" si="4"/>
        <v>B</v>
      </c>
      <c r="E80" s="197">
        <v>3</v>
      </c>
      <c r="F80" s="571"/>
      <c r="G80" s="244" t="str">
        <f>'DP overall'!J39</f>
        <v>Planned &amp; Ongoing Measures
There is a plan for duct inspection and cleaning.
Accumulated dust/combustible materials are measured and cleaned according to the plan.
No NG is found, or NG is found but with a clear improvement plan that is being executed on schedule.</v>
      </c>
      <c r="H80" s="255"/>
    </row>
    <row r="81" spans="3:8" ht="80">
      <c r="C81" s="573"/>
      <c r="D81" s="196" t="str">
        <f t="shared" si="4"/>
        <v>B+</v>
      </c>
      <c r="E81" s="197">
        <v>4</v>
      </c>
      <c r="F81" s="571"/>
      <c r="G81" s="244" t="str">
        <f>'DP overall'!L39</f>
        <v xml:space="preserve">Analyze for root cause and improve
There is a plan for duct inspection and cleaning and action as plan or ahead plan.
When problems are identified (e.g., excess accumulation, foreign materials, risk of ignition), have investigate for the root cause/ analyze for proper improvement
</v>
      </c>
      <c r="H81" s="255"/>
    </row>
    <row r="82" spans="3:8" ht="94.5" customHeight="1">
      <c r="C82" s="573"/>
      <c r="D82" s="196" t="str">
        <f t="shared" si="4"/>
        <v>A</v>
      </c>
      <c r="E82" s="197">
        <v>5</v>
      </c>
      <c r="F82" s="572"/>
      <c r="G82" s="244" t="str">
        <f>'DP overall'!N39</f>
        <v>Fully Controlled / No Defects (no dust accumulated over std.)
There are no issues found, or all identified problems have been completely solved.
Inspection and cleaning are conducted according to standards, and ducts are within control values.
All records are complete, including photos, inspection frequencies, and review by management.
The duct system is managed under continuous improvement (lessons learned from past duct fires are applied).</v>
      </c>
      <c r="H82" s="229"/>
    </row>
    <row r="83" spans="3:8" ht="97" customHeight="1">
      <c r="C83" s="573"/>
      <c r="D83" s="196" t="str">
        <f t="shared" si="4"/>
        <v>C</v>
      </c>
      <c r="E83" s="197">
        <v>1</v>
      </c>
      <c r="F83" s="570" t="s">
        <v>693</v>
      </c>
      <c r="G83" s="244" t="str">
        <f>'DP overall'!F40</f>
        <v>Not Inspected / No Plan
Unattended areas are not inspected regularly, or inspections are performed but there is no plan to solve the identified problems.
Firefighting equipment (e.g., fire alarms, fire extinguishers) in unattended areas has defects.※Confirm where is designated as unattended areas in the site. 
(DP Manager)</v>
      </c>
      <c r="H83" s="229"/>
    </row>
    <row r="84" spans="3:8" ht="89.5" customHeight="1">
      <c r="C84" s="573"/>
      <c r="D84" s="196" t="str">
        <f t="shared" si="4"/>
        <v>B-</v>
      </c>
      <c r="E84" s="197">
        <v>2</v>
      </c>
      <c r="F84" s="571"/>
      <c r="G84" s="244" t="str">
        <f>'DP overall'!H40</f>
        <v>Inspection but Plan Delayed
Inspections are carried out and measures to solve problems are planned, but the plan is delayed and not reviewed to catch up.
Firefighting equipment in unattended areas has no defect.
※Check min. 1 site where the inspection was carried out.
(DP Manager)</v>
      </c>
      <c r="H84" s="229"/>
    </row>
    <row r="85" spans="3:8" ht="87" customHeight="1">
      <c r="C85" s="573"/>
      <c r="D85" s="196" t="str">
        <f t="shared" si="4"/>
        <v>B</v>
      </c>
      <c r="E85" s="197">
        <v>3</v>
      </c>
      <c r="F85" s="571"/>
      <c r="G85" s="244" t="str">
        <f>'DP overall'!J40</f>
        <v>Planned &amp; Ongoing Measures
There is a plan to solve problems, and measures are being implemented as planned.
If the plan is delayed with adequate reason, it is reviewed and measures are executed according to the revised plan (the measure is ongoing).
Firefighting equipment in unattended areas has no defect.(DP Manager)</v>
      </c>
      <c r="H85" s="229"/>
    </row>
    <row r="86" spans="3:8" ht="64">
      <c r="C86" s="573"/>
      <c r="D86" s="196" t="str">
        <f t="shared" si="4"/>
        <v>B+</v>
      </c>
      <c r="E86" s="197">
        <v>4</v>
      </c>
      <c r="F86" s="571"/>
      <c r="G86" s="244" t="str">
        <f>'DP overall'!L40</f>
        <v xml:space="preserve">Immediate Action 
When problems are found, corrective measures are developed and promptly moved forward (the measure is ongoing).
Firefighting equipment in unattended areas has no defect.(DP Manager)
</v>
      </c>
      <c r="H86" s="229"/>
    </row>
    <row r="87" spans="3:8" ht="64">
      <c r="C87" s="573"/>
      <c r="D87" s="196" t="str">
        <f t="shared" si="4"/>
        <v>A</v>
      </c>
      <c r="E87" s="197">
        <v>5</v>
      </c>
      <c r="F87" s="572"/>
      <c r="G87" s="244" t="str">
        <f>'DP overall'!N40</f>
        <v>Fully Controlled / No Defects
There are no problems, or all previously identified problems have already been solved and no defects are detected.
※Check min. 1 example of the completed measures on-site.
(DP Manager)</v>
      </c>
      <c r="H87" s="229"/>
    </row>
    <row r="88" spans="3:8" ht="64">
      <c r="C88" s="573"/>
      <c r="D88" s="196" t="str">
        <f t="shared" si="4"/>
        <v>C</v>
      </c>
      <c r="E88" s="197">
        <v>1</v>
      </c>
      <c r="F88" s="570" t="str">
        <f>'DP overall'!E43</f>
        <v>Fire wall/ shutter door inspection</v>
      </c>
      <c r="G88" s="244" t="str">
        <f>'DP overall'!F43</f>
        <v>Not Standardized/  / No Inspection Plan
There is no map, control number, or inspection plan for fire doors/shutters.
No function check is performed.
(DP Manager)</v>
      </c>
      <c r="H88" s="229"/>
    </row>
    <row r="89" spans="3:8" ht="64">
      <c r="C89" s="573"/>
      <c r="D89" s="196" t="str">
        <f t="shared" si="4"/>
        <v>B-</v>
      </c>
      <c r="E89" s="197">
        <v>2</v>
      </c>
      <c r="F89" s="571"/>
      <c r="G89" s="244" t="str">
        <f>'DP overall'!H43</f>
        <v>Standardized &amp; Planned for inspection 
Control numbers are assigned, a map of all fire doors/shutters is prepared, and an inspection plan is established but inspection delay plan 
(DP Manager)</v>
      </c>
      <c r="H89" s="229"/>
    </row>
    <row r="90" spans="3:8" ht="96">
      <c r="C90" s="573"/>
      <c r="D90" s="196" t="str">
        <f t="shared" si="4"/>
        <v>B</v>
      </c>
      <c r="E90" s="197">
        <v>3</v>
      </c>
      <c r="F90" s="571"/>
      <c r="G90" s="244" t="str">
        <f>'DP overall'!J43</f>
        <v>Inspections Conducted but delay
Monthly inspections are carried out around all fire doors/shutters to ensure that no objects or machines are placed underneath.
If a delay in the corrective plan exists, or NG conditions are found without countermeasures, it is still recorded under this level.
(DP Manager)</v>
      </c>
      <c r="H90" s="229"/>
    </row>
    <row r="91" spans="3:8" ht="80">
      <c r="C91" s="573"/>
      <c r="D91" s="196" t="str">
        <f t="shared" si="4"/>
        <v>B+</v>
      </c>
      <c r="E91" s="197">
        <v>4</v>
      </c>
      <c r="F91" s="571"/>
      <c r="G91" s="244" t="str">
        <f>'DP overall'!L43</f>
        <v>Inspection done and clear plan for improvement
Monthly inspections are carried out around all fire doors/shutters to ensure that no objects or machines are placed underneath, and to check that no combustibles are placed within 1 meter of fire shutters.
All NG items are identified with clear countermeasures, and improvement actions are ongoing.
(DP Manager)</v>
      </c>
      <c r="H91" s="229"/>
    </row>
    <row r="92" spans="3:8" ht="48">
      <c r="C92" s="573"/>
      <c r="D92" s="196" t="str">
        <f t="shared" si="4"/>
        <v>A</v>
      </c>
      <c r="E92" s="197">
        <v>5</v>
      </c>
      <c r="F92" s="572"/>
      <c r="G92" s="244" t="str">
        <f>'DP overall'!N43</f>
        <v>Fully Controlled 
All inspections are completed ahead of schedule or according to the plan.
No NG items remain, and on-site (Genba) confirmation shows full compliance with fire door/shutter requirements.</v>
      </c>
      <c r="H92" s="229"/>
    </row>
    <row r="93" spans="3:8" ht="64">
      <c r="C93" s="573"/>
      <c r="D93" s="196" t="str">
        <f t="shared" ref="D93:D97" si="5">IF(E93=1,"C",IF(E93=2,"B-",IF(E93=3,"B",IF(E93=4,"B+",IF(E93=5,"A")))))</f>
        <v>C</v>
      </c>
      <c r="E93" s="197">
        <v>1</v>
      </c>
      <c r="F93" s="570" t="str">
        <f>'DP overall'!E44</f>
        <v>Fire prevention control for kitchen</v>
      </c>
      <c r="G93" s="244" t="str">
        <f>'DP overall'!F44</f>
        <v>Not Standardized / No Plan
There is no standard or plan for kitchen fire prevention.
Main gas taps are not checked after cooking, gas leak detectors are not installed or expired, and no function test is conducted.</v>
      </c>
      <c r="H93" s="229"/>
    </row>
    <row r="94" spans="3:8" ht="96">
      <c r="C94" s="573"/>
      <c r="D94" s="196" t="str">
        <f t="shared" si="5"/>
        <v>B-</v>
      </c>
      <c r="E94" s="197">
        <v>2</v>
      </c>
      <c r="F94" s="571"/>
      <c r="G94" s="244" t="str">
        <f>'DP overall'!H44</f>
        <v>Standardized but No Records
Periodic inspection/checking has been standardized for:
Closing the main gas tap after cooking
Gas leak detector expiration date check
Gas function test
However, there are no actual records to confirm that inspections are being conducted.</v>
      </c>
      <c r="H94" s="229"/>
    </row>
    <row r="95" spans="3:8" ht="90.65" customHeight="1">
      <c r="C95" s="573"/>
      <c r="D95" s="196" t="str">
        <f t="shared" si="5"/>
        <v>B</v>
      </c>
      <c r="E95" s="197">
        <v>3</v>
      </c>
      <c r="F95" s="571"/>
      <c r="G95" s="244" t="str">
        <f>'DP overall'!J44</f>
        <v xml:space="preserve">Improvement done or with recovery plan
There are actual records of periodic inspection/checking at the facility kitchen.
Any issues found during inspections have already been corrected, or a recovery plan has been established and is being implemented.
</v>
      </c>
      <c r="H95" s="229"/>
    </row>
    <row r="96" spans="3:8" ht="64">
      <c r="C96" s="573"/>
      <c r="D96" s="196" t="str">
        <f t="shared" si="5"/>
        <v>B+</v>
      </c>
      <c r="E96" s="197">
        <v>4</v>
      </c>
      <c r="F96" s="571"/>
      <c r="G96" s="244" t="str">
        <f>'DP overall'!L44</f>
        <v>Improvement done ahead plan
There are actual records of periodic inspection/checking at the facility kitchen.
Any issues found during inspections have already been completed ahead plan.
No unresolved defects remain on-site (Genba) without a clear plan.</v>
      </c>
      <c r="H96" s="229"/>
    </row>
    <row r="97" spans="3:8" ht="96">
      <c r="C97" s="573"/>
      <c r="D97" s="196" t="str">
        <f t="shared" si="5"/>
        <v>A</v>
      </c>
      <c r="E97" s="197">
        <v>5</v>
      </c>
      <c r="F97" s="572"/>
      <c r="G97" s="244" t="str">
        <f>'DP overall'!N44</f>
        <v>Fully Controlled / Continuous Improvement
Kitchen fire prevention is fully controlled:
All inspections are completed according to standards
No defects are found, or all previous findings have been resolved
Lessons learned are applied, and continuous improvement measures are implemented (e.g., upgrading detectors, awareness training for staff).</v>
      </c>
      <c r="H97" s="229"/>
    </row>
    <row r="98" spans="3:8" ht="48">
      <c r="C98" s="573" t="s">
        <v>33</v>
      </c>
      <c r="D98" s="196" t="str">
        <f t="shared" si="0"/>
        <v>C</v>
      </c>
      <c r="E98" s="197">
        <v>1</v>
      </c>
      <c r="F98" s="570" t="s">
        <v>694</v>
      </c>
      <c r="G98" s="212" t="str">
        <f>'DP overall'!F45</f>
        <v>Not Assigned
There is no an EHS Manager assigned.
(DP manager)</v>
      </c>
      <c r="H98" s="229"/>
    </row>
    <row r="99" spans="3:8" ht="48">
      <c r="C99" s="573"/>
      <c r="D99" s="196" t="str">
        <f t="shared" ref="D99:D108" si="6">IF(E99=1,"C",IF(E99=2,"B-",IF(E99=3,"B",IF(E99=4,"B+",IF(E99=5,"A")))))</f>
        <v>B-</v>
      </c>
      <c r="E99" s="197">
        <v>2</v>
      </c>
      <c r="F99" s="571"/>
      <c r="G99" s="212" t="str">
        <f>'DP overall'!H45</f>
        <v>Manager with Multiple Roles
There is an EHS Manager, but he/she also holds multiple roles in the plant.
(DP manager)</v>
      </c>
      <c r="H99" s="229"/>
    </row>
    <row r="100" spans="3:8" ht="64">
      <c r="C100" s="573"/>
      <c r="D100" s="196" t="str">
        <f t="shared" si="6"/>
        <v>B</v>
      </c>
      <c r="E100" s="197">
        <v>3</v>
      </c>
      <c r="F100" s="571"/>
      <c r="G100" s="212" t="str">
        <f>'DP overall'!J45</f>
        <v>Exclusive Safety/DP Manager + Staff Assigned
The Safety/DP Manager’s role is an exclusive duty (managing only safety and DP, with no other jobs assigned).
Additionally, a safety staff is assigned in the plant.
(DP Manager)</v>
      </c>
      <c r="H100" s="229"/>
    </row>
    <row r="101" spans="3:8" ht="48">
      <c r="C101" s="573"/>
      <c r="D101" s="196" t="str">
        <f t="shared" si="6"/>
        <v>B+</v>
      </c>
      <c r="E101" s="197">
        <v>4</v>
      </c>
      <c r="F101" s="571"/>
      <c r="G101" s="212" t="str">
        <f>'DP overall'!L45</f>
        <v>Exclusive Manager + Exclusive Safety Staff
The Safety/DP Manager’s role is exclusive duty (managing only safety and DP).
The Safety Staff’s role is also exclusive duty.(DP Manager)</v>
      </c>
      <c r="H101" s="229"/>
    </row>
    <row r="102" spans="3:8" ht="64">
      <c r="C102" s="573"/>
      <c r="D102" s="196" t="str">
        <f t="shared" si="6"/>
        <v>A</v>
      </c>
      <c r="E102" s="197">
        <v>5</v>
      </c>
      <c r="F102" s="572"/>
      <c r="G102" s="212" t="str">
        <f>'DP overall'!N45</f>
        <v>Experienced Exclusive Manager + Staff
The Safety/DP Manager’s role is exclusive duty (managing only safety and DP).
He/she has more than three years of relevant experience.
(DP Manager)</v>
      </c>
      <c r="H102" s="229"/>
    </row>
    <row r="103" spans="3:8" ht="48">
      <c r="C103" s="573"/>
      <c r="D103" s="196" t="str">
        <f t="shared" si="6"/>
        <v>C</v>
      </c>
      <c r="E103" s="197">
        <v>1</v>
      </c>
      <c r="F103" s="570" t="str">
        <f>'DP overall'!E46</f>
        <v>DP inspector</v>
      </c>
      <c r="G103" s="212" t="str">
        <f>'DP overall'!F46</f>
        <v>Not Assigned
There is no DP Inspector assigned in the plant.
(DP Manager)</v>
      </c>
      <c r="H103" s="229"/>
    </row>
    <row r="104" spans="3:8" ht="64">
      <c r="C104" s="573"/>
      <c r="D104" s="196" t="str">
        <f t="shared" ref="D104:D107" si="7">IF(E104=1,"C",IF(E104=2,"B-",IF(E104=3,"B",IF(E104=4,"B+",IF(E104=5,"A")))))</f>
        <v>B-</v>
      </c>
      <c r="E104" s="197">
        <v>2</v>
      </c>
      <c r="F104" s="571"/>
      <c r="G104" s="212" t="str">
        <f>'DP overall'!H46</f>
        <v>Assigned with unclear role/ not full time inspector
A DP Inspector is assigned, but he/she holds multiple roles and does not focus exclusively on inspection duties, or the manpower assigned is insufficient compared with the inspection workload.
(DP Manager)</v>
      </c>
      <c r="H104" s="229"/>
    </row>
    <row r="105" spans="3:8" ht="80">
      <c r="C105" s="573"/>
      <c r="D105" s="196" t="str">
        <f t="shared" si="7"/>
        <v>B</v>
      </c>
      <c r="E105" s="197">
        <v>3</v>
      </c>
      <c r="F105" s="571"/>
      <c r="G105" s="212" t="str">
        <f>'DP overall'!J46</f>
        <v>Assigned and Active
DP Inspector are assigned and qualified at least 2-3 person to carries out inspection duties based on the daily, weekly, and yearly plan.
Inspection records are maintained, but improvement follow-up may be limited due to insufficient knowledge or resources but can manager without concern. (DP Manager)</v>
      </c>
      <c r="H105" s="229"/>
    </row>
    <row r="106" spans="3:8" ht="96">
      <c r="C106" s="573"/>
      <c r="D106" s="196" t="str">
        <f t="shared" si="7"/>
        <v>B+</v>
      </c>
      <c r="E106" s="197">
        <v>4</v>
      </c>
      <c r="F106" s="571"/>
      <c r="G106" s="212" t="str">
        <f>'DP overall'!L46</f>
        <v>Assigned with Exclusive Responsibility
Experienced and qualified DP Inspector are assigned with  responsibility for DP inspection activities.
He/she prepare/ review checksheet, conducts inspections regularly in accordance with the plan, records the results, reports and suggest for countermeasure for any defects.
He/she has more than three years of relevant experience.
(DP Manager)</v>
      </c>
      <c r="H106" s="229"/>
    </row>
    <row r="107" spans="3:8" ht="96">
      <c r="C107" s="573"/>
      <c r="D107" s="196" t="str">
        <f t="shared" si="7"/>
        <v>A</v>
      </c>
      <c r="E107" s="197">
        <v>5</v>
      </c>
      <c r="F107" s="572"/>
      <c r="G107" s="212" t="str">
        <f>'DP overall'!N46</f>
        <v>Experienced &amp; Continuous Improvement
An experienced and trained DP Inspector is assigned with exclusive responsibility for DP inspection activities, and is qualified to act as an instructor for DP inspections.
He/she conducts inspections systematically, validates countermeasures, and actively contributes to the continuous improvement of the DP program.
(DP Manager)</v>
      </c>
      <c r="H107" s="229"/>
    </row>
    <row r="108" spans="3:8" ht="80">
      <c r="C108" s="573"/>
      <c r="D108" s="196" t="str">
        <f t="shared" si="6"/>
        <v>A</v>
      </c>
      <c r="E108" s="197">
        <v>5</v>
      </c>
      <c r="F108" s="215" t="str">
        <f>'DP overall'!E47</f>
        <v>Budget</v>
      </c>
      <c r="G108" s="212" t="str">
        <f>'DP overall'!N47</f>
        <v>Sufficient &amp; Flexible Budget
The budget is prepared not only for planned activities but also for sudden accidents.
In the event of unexpected accidents, additional budget is secured, enabling recurrence prevention, RA countermeasures, and other activities to be implemented ahead of schedule.
(DP Manager)</v>
      </c>
      <c r="H108" s="229"/>
    </row>
    <row r="109" spans="3:8" ht="51" customHeight="1">
      <c r="C109" s="192"/>
      <c r="D109" s="191"/>
      <c r="E109" s="191"/>
      <c r="F109" s="199"/>
      <c r="G109" s="192"/>
      <c r="H109" s="193"/>
    </row>
    <row r="110" spans="3:8">
      <c r="C110" s="192"/>
      <c r="D110" s="191"/>
      <c r="E110" s="191"/>
      <c r="F110" s="199"/>
      <c r="G110" s="192"/>
      <c r="H110" s="193"/>
    </row>
    <row r="111" spans="3:8">
      <c r="C111" s="192"/>
      <c r="D111" s="191"/>
      <c r="E111" s="191"/>
      <c r="F111" s="199"/>
      <c r="G111" s="192"/>
      <c r="H111" s="193"/>
    </row>
    <row r="112" spans="3:8">
      <c r="C112" s="192"/>
      <c r="D112" s="191"/>
      <c r="E112" s="191"/>
      <c r="F112" s="199"/>
      <c r="G112" s="192"/>
      <c r="H112" s="193"/>
    </row>
    <row r="113" spans="3:8">
      <c r="C113" s="192"/>
      <c r="D113" s="191"/>
      <c r="E113" s="191"/>
      <c r="F113" s="199"/>
      <c r="G113" s="192"/>
      <c r="H113" s="193"/>
    </row>
    <row r="114" spans="3:8">
      <c r="C114" s="192"/>
      <c r="D114" s="191"/>
      <c r="E114" s="191"/>
      <c r="F114" s="199"/>
      <c r="G114" s="192"/>
      <c r="H114" s="193"/>
    </row>
    <row r="115" spans="3:8">
      <c r="C115" s="192"/>
      <c r="D115" s="191"/>
      <c r="E115" s="191"/>
      <c r="F115" s="199"/>
      <c r="G115" s="192"/>
      <c r="H115" s="193"/>
    </row>
    <row r="116" spans="3:8">
      <c r="C116" s="192"/>
      <c r="D116" s="191"/>
      <c r="E116" s="191"/>
      <c r="F116" s="199"/>
      <c r="G116" s="192"/>
      <c r="H116" s="193"/>
    </row>
    <row r="117" spans="3:8">
      <c r="F117" s="199"/>
      <c r="G117" s="192"/>
      <c r="H117" s="193"/>
    </row>
    <row r="118" spans="3:8" ht="49.5" hidden="1" customHeight="1">
      <c r="F118" s="200" t="s">
        <v>429</v>
      </c>
      <c r="G118" s="201" t="s">
        <v>430</v>
      </c>
      <c r="H118" s="202"/>
    </row>
    <row r="119" spans="3:8" ht="33" hidden="1" customHeight="1">
      <c r="F119" s="200"/>
      <c r="G119" s="201"/>
      <c r="H119" s="202"/>
    </row>
    <row r="120" spans="3:8" ht="82.5" hidden="1" customHeight="1">
      <c r="F120" s="200" t="s">
        <v>437</v>
      </c>
      <c r="G120" s="201" t="s">
        <v>438</v>
      </c>
      <c r="H120" s="202"/>
    </row>
    <row r="121" spans="3:8" ht="33" hidden="1" customHeight="1">
      <c r="F121" s="200"/>
      <c r="G121" s="201" t="s">
        <v>443</v>
      </c>
      <c r="H121" s="202"/>
    </row>
    <row r="122" spans="3:8" ht="49.5" hidden="1" customHeight="1">
      <c r="F122" s="200" t="s">
        <v>445</v>
      </c>
      <c r="G122" s="203"/>
      <c r="H122" s="200"/>
    </row>
    <row r="123" spans="3:8" ht="49.5" hidden="1" customHeight="1">
      <c r="F123" s="200"/>
      <c r="G123" s="201"/>
      <c r="H123" s="202"/>
    </row>
    <row r="124" spans="3:8" ht="49.5" hidden="1" customHeight="1">
      <c r="F124" s="200" t="s">
        <v>449</v>
      </c>
      <c r="G124" s="201" t="s">
        <v>450</v>
      </c>
      <c r="H124" s="202"/>
    </row>
    <row r="125" spans="3:8" ht="33" hidden="1" customHeight="1">
      <c r="F125" s="200"/>
      <c r="G125" s="201" t="s">
        <v>455</v>
      </c>
      <c r="H125" s="202"/>
    </row>
    <row r="126" spans="3:8" ht="49.5" hidden="1" customHeight="1">
      <c r="F126" s="204" t="s">
        <v>458</v>
      </c>
      <c r="G126" s="205" t="s">
        <v>459</v>
      </c>
      <c r="H126" s="206"/>
    </row>
    <row r="127" spans="3:8" ht="66" hidden="1" customHeight="1">
      <c r="F127" s="204"/>
      <c r="G127" s="205"/>
      <c r="H127" s="206"/>
    </row>
    <row r="128" spans="3:8">
      <c r="F128" s="199"/>
      <c r="G128" s="192"/>
      <c r="H128" s="193"/>
    </row>
  </sheetData>
  <mergeCells count="28">
    <mergeCell ref="C98:C108"/>
    <mergeCell ref="F98:F102"/>
    <mergeCell ref="F103:F107"/>
    <mergeCell ref="C44:C97"/>
    <mergeCell ref="F45:F49"/>
    <mergeCell ref="F50:F52"/>
    <mergeCell ref="F53:F57"/>
    <mergeCell ref="F63:F67"/>
    <mergeCell ref="F58:F62"/>
    <mergeCell ref="F68:F72"/>
    <mergeCell ref="F73:F77"/>
    <mergeCell ref="F78:F82"/>
    <mergeCell ref="F83:F87"/>
    <mergeCell ref="F88:F92"/>
    <mergeCell ref="F93:F97"/>
    <mergeCell ref="F26:F30"/>
    <mergeCell ref="F31:F35"/>
    <mergeCell ref="C36:C43"/>
    <mergeCell ref="F36:F37"/>
    <mergeCell ref="F39:F43"/>
    <mergeCell ref="C13:C35"/>
    <mergeCell ref="F13:F15"/>
    <mergeCell ref="F16:F20"/>
    <mergeCell ref="C2:H2"/>
    <mergeCell ref="C4:C12"/>
    <mergeCell ref="F4:F7"/>
    <mergeCell ref="F8:F12"/>
    <mergeCell ref="F21:F25"/>
  </mergeCells>
  <phoneticPr fontId="6"/>
  <conditionalFormatting sqref="H4:H108">
    <cfRule type="containsText" dxfId="3" priority="1" operator="containsText" text="No">
      <formula>NOT(ISERROR(SEARCH("No",H4)))</formula>
    </cfRule>
  </conditionalFormatting>
  <pageMargins left="0.7" right="0.7" top="0.75" bottom="0.75" header="0.3" footer="0.3"/>
  <pageSetup paperSize="8" scale="4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4563-84FB-4982-AB5E-EF52F555DA46}">
  <sheetPr>
    <tabColor theme="8" tint="0.59999389629810485"/>
  </sheetPr>
  <dimension ref="B2:H34"/>
  <sheetViews>
    <sheetView zoomScale="69" zoomScaleNormal="69" workbookViewId="0">
      <selection activeCell="H4" sqref="H4:H15"/>
    </sheetView>
  </sheetViews>
  <sheetFormatPr defaultColWidth="8.81640625" defaultRowHeight="16"/>
  <cols>
    <col min="1" max="1" width="1.7265625" style="194" customWidth="1"/>
    <col min="2" max="2" width="8.81640625" style="194"/>
    <col min="3" max="3" width="15.1796875" style="195" customWidth="1"/>
    <col min="4" max="5" width="7.453125" style="194" customWidth="1"/>
    <col min="6" max="6" width="26.453125" style="194" customWidth="1"/>
    <col min="7" max="7" width="109.1796875" style="194" customWidth="1"/>
    <col min="8" max="8" width="14.54296875" style="207" customWidth="1"/>
    <col min="9" max="16384" width="8.81640625" style="194"/>
  </cols>
  <sheetData>
    <row r="2" spans="2:8" ht="23.5">
      <c r="B2" s="219"/>
      <c r="C2" s="564" t="s">
        <v>695</v>
      </c>
      <c r="D2" s="564"/>
      <c r="E2" s="564"/>
      <c r="F2" s="564"/>
      <c r="G2" s="564"/>
      <c r="H2" s="564"/>
    </row>
    <row r="3" spans="2:8" s="195" customFormat="1" ht="37" customHeight="1">
      <c r="B3" s="192"/>
      <c r="C3" s="208" t="s">
        <v>687</v>
      </c>
      <c r="D3" s="208" t="s">
        <v>9</v>
      </c>
      <c r="E3" s="208" t="s">
        <v>647</v>
      </c>
      <c r="F3" s="208" t="s">
        <v>483</v>
      </c>
      <c r="G3" s="208" t="s">
        <v>648</v>
      </c>
      <c r="H3" s="208" t="s">
        <v>489</v>
      </c>
    </row>
    <row r="4" spans="2:8" s="216" customFormat="1" ht="67.5" customHeight="1">
      <c r="C4" s="570" t="s">
        <v>31</v>
      </c>
      <c r="D4" s="209" t="str">
        <f t="shared" ref="D4:D6" si="0">IF(E4=1,"C",IF(E4=2,"B-",IF(E4=3,"B",IF(E4=4,"B+",IF(E4=5,"A")))))</f>
        <v>B-</v>
      </c>
      <c r="E4" s="217">
        <v>2</v>
      </c>
      <c r="F4" s="570" t="str">
        <f>'DP overall'!E25</f>
        <v>Policy/
Purpose/
Target</v>
      </c>
      <c r="G4" s="218" t="str">
        <f>'DP overall'!H25</f>
        <v>Management have Information
Management can show the site's OH&amp;S objectives and goals. 
(System: Manager: No.66)
 *Ask Manager (not safety)</v>
      </c>
      <c r="H4" s="229"/>
    </row>
    <row r="5" spans="2:8" s="216" customFormat="1" ht="67.5" customHeight="1">
      <c r="C5" s="571"/>
      <c r="D5" s="209" t="str">
        <f t="shared" si="0"/>
        <v>B</v>
      </c>
      <c r="E5" s="217">
        <v>3</v>
      </c>
      <c r="F5" s="571"/>
      <c r="G5" s="218" t="str">
        <f>'DP overall'!J25</f>
        <v>Management Understanding
Management can describe and explain the site's OH&amp;S objectives and goals. 
(System: Manager: No.66)
 *Ask Manager (not safety)</v>
      </c>
      <c r="H5" s="229"/>
    </row>
    <row r="6" spans="2:8" s="216" customFormat="1" ht="67.5" customHeight="1">
      <c r="C6" s="571"/>
      <c r="D6" s="209" t="str">
        <f t="shared" si="0"/>
        <v>B+</v>
      </c>
      <c r="E6" s="217">
        <v>4</v>
      </c>
      <c r="F6" s="572"/>
      <c r="G6" s="212" t="str">
        <f>'DP overall'!L25</f>
        <v>Planned Goals Aligned with Risks
The plan contains goals to be achieved which are relevant to the incidents and risks identified by the SBU.
(System: Manager: No.98)
 *Ask Manager (not safety)</v>
      </c>
      <c r="H6" s="229"/>
    </row>
    <row r="7" spans="2:8" s="216" customFormat="1" ht="92.5" customHeight="1">
      <c r="C7" s="571"/>
      <c r="D7" s="209" t="str">
        <f t="shared" ref="D7:D11" si="1">IF(E7=1,"C",IF(E7=2,"B-",IF(E7=3,"B",IF(E7=4,"B+",IF(E7=5,"A")))))</f>
        <v>B-</v>
      </c>
      <c r="E7" s="217">
        <v>2</v>
      </c>
      <c r="F7" s="571" t="str">
        <f>'DP overall'!E26</f>
        <v>Implementation
Plan</v>
      </c>
      <c r="G7" s="212" t="str">
        <f>'DP overall'!H26</f>
        <v>Basic KPI Tracking
D.P. KPIs are tracked at the plant, department, and line level.
Site leadership follows D.P. KPIs and provides directions to review the D.P. program if necessary.(Leadership: Plant Manager: No.6)
 *Ask Manager (not safety)</v>
      </c>
      <c r="H7" s="229"/>
    </row>
    <row r="8" spans="2:8" s="216" customFormat="1" ht="87" customHeight="1">
      <c r="C8" s="571"/>
      <c r="D8" s="209" t="str">
        <f t="shared" si="1"/>
        <v>B</v>
      </c>
      <c r="E8" s="217">
        <v>3</v>
      </c>
      <c r="F8" s="571"/>
      <c r="G8" s="218" t="str">
        <f>'DP overall'!J26</f>
        <v>KPI Tracking with Corrective Actions
D.P. KPIs are tracked consistently at multiple levels.
If delays or issues are identified, corrective actions are planned and are in progress to ensure alignment with D.P. objectives.(Leadership: Plant Manager: No.6)
 *Ask Manager (not safety)</v>
      </c>
      <c r="H8" s="229"/>
    </row>
    <row r="9" spans="2:8" s="216" customFormat="1" ht="97" customHeight="1">
      <c r="C9" s="571"/>
      <c r="D9" s="209" t="str">
        <f t="shared" si="1"/>
        <v>B+</v>
      </c>
      <c r="E9" s="217">
        <v>4</v>
      </c>
      <c r="F9" s="571"/>
      <c r="G9" s="212" t="str">
        <f>'DP overall'!L26</f>
        <v>Advanced KPI Tracking (Leading &amp; Lagging Indicators)
D.P. KPIs are tracked positively at the plant, department, and line level, using both leading indicators (e.g., training completion rate, inspection results) and lagging indicators (e.g., number of fires).
Site leadership monitors both types of indicators and provides directions to review and improve D.P. programs as necessary.
(Leadership: Plant Manager: No.14)
 *Ask Manager (not safety)</v>
      </c>
      <c r="H9" s="229"/>
    </row>
    <row r="10" spans="2:8" s="216" customFormat="1" ht="92.5" customHeight="1">
      <c r="C10" s="572"/>
      <c r="D10" s="209" t="str">
        <f t="shared" si="1"/>
        <v>A</v>
      </c>
      <c r="E10" s="217">
        <v>5</v>
      </c>
      <c r="F10" s="572"/>
      <c r="G10" s="212" t="str">
        <f>'DP overall'!N26</f>
        <v>Strategic Implementation &amp; Continuous Review
The Plant Manager can describe the D.P. strategy, its goals, and the approach to achieve them.
The strategy is reviewed quarterly to assess progress and validity, with revisions or instructions implemented by the Plant Manager.(Leadership: Plant manager: No.21)
 *Ask Manager (not safety)</v>
      </c>
      <c r="H10" s="229"/>
    </row>
    <row r="11" spans="2:8" s="216" customFormat="1" ht="64">
      <c r="C11" s="574" t="s">
        <v>33</v>
      </c>
      <c r="D11" s="209" t="str">
        <f t="shared" si="1"/>
        <v>C</v>
      </c>
      <c r="E11" s="217">
        <v>1</v>
      </c>
      <c r="F11" s="570" t="str">
        <f>'DP overall'!E47</f>
        <v>Budget</v>
      </c>
      <c r="G11" s="212" t="str">
        <f>'DP overall'!F47</f>
        <v>Not Enough Budget
The budget for recurrence prevention, RA countermeasures, and working hours (human resources) is insufficient.
(DP Manager)
 *Ask Manager (not safety)</v>
      </c>
      <c r="H11" s="229"/>
    </row>
    <row r="12" spans="2:8" s="216" customFormat="1" ht="80">
      <c r="C12" s="574"/>
      <c r="D12" s="209" t="str">
        <f t="shared" ref="D12:D14" si="2">IF(E12=1,"C",IF(E12=2,"B-",IF(E12=3,"B",IF(E12=4,"B+",IF(E12=5,"A")))))</f>
        <v>B-</v>
      </c>
      <c r="E12" s="217">
        <v>2</v>
      </c>
      <c r="F12" s="571"/>
      <c r="G12" s="212" t="str">
        <f>'DP overall'!H47</f>
        <v>Partial Lack of Budget
There is a lack of budget for at least one area: recurrence prevention, RA countermeasures, or working hours (human resources).
(DP Manager)
 *Ask Manager (not safety)</v>
      </c>
      <c r="H12" s="229"/>
    </row>
    <row r="13" spans="2:8" s="216" customFormat="1" ht="80">
      <c r="C13" s="574"/>
      <c r="D13" s="209" t="str">
        <f t="shared" si="2"/>
        <v>B</v>
      </c>
      <c r="E13" s="217">
        <v>3</v>
      </c>
      <c r="F13" s="571"/>
      <c r="G13" s="212" t="str">
        <f>'DP overall'!J47</f>
        <v>Budget Prepared as Planned
The budget for recurrence prevention, RA countermeasures, and working hours (human resources) is adequately prepared according to the plan.
(DP Manager)
 *Ask Manager (not safety)</v>
      </c>
      <c r="H13" s="229"/>
    </row>
    <row r="14" spans="2:8" s="216" customFormat="1" ht="64">
      <c r="C14" s="574"/>
      <c r="D14" s="209" t="str">
        <f t="shared" si="2"/>
        <v>B+</v>
      </c>
      <c r="E14" s="217">
        <v>4</v>
      </c>
      <c r="F14" s="572"/>
      <c r="G14" s="212" t="str">
        <f>'DP overall'!L47</f>
        <v>Budget Implemented as Planned
The allocated budget is effectively used for recurrence prevention, RA countermeasures, and other planned activities.
(DP Manager)
 *Ask Manager (not safety)</v>
      </c>
      <c r="H14" s="229"/>
    </row>
    <row r="15" spans="2:8" ht="51" customHeight="1">
      <c r="C15" s="192"/>
      <c r="D15" s="191"/>
      <c r="E15" s="191"/>
      <c r="F15" s="199"/>
      <c r="G15" s="192"/>
      <c r="H15" s="193"/>
    </row>
    <row r="16" spans="2:8">
      <c r="C16" s="192"/>
      <c r="D16" s="191"/>
      <c r="E16" s="191"/>
      <c r="F16" s="199"/>
      <c r="G16" s="192"/>
      <c r="H16" s="193"/>
    </row>
    <row r="17" spans="3:8">
      <c r="C17" s="192"/>
      <c r="D17" s="191"/>
      <c r="E17" s="191"/>
      <c r="F17" s="199"/>
      <c r="G17" s="192"/>
      <c r="H17" s="193"/>
    </row>
    <row r="18" spans="3:8">
      <c r="C18" s="192"/>
      <c r="D18" s="191"/>
      <c r="E18" s="191"/>
      <c r="F18" s="199"/>
      <c r="G18" s="192"/>
      <c r="H18" s="193"/>
    </row>
    <row r="19" spans="3:8">
      <c r="C19" s="192"/>
      <c r="D19" s="191"/>
      <c r="E19" s="191"/>
      <c r="F19" s="199"/>
      <c r="G19" s="192"/>
      <c r="H19" s="193"/>
    </row>
    <row r="20" spans="3:8">
      <c r="C20" s="192"/>
      <c r="D20" s="191"/>
      <c r="E20" s="191"/>
      <c r="F20" s="199"/>
      <c r="G20" s="192"/>
      <c r="H20" s="193"/>
    </row>
    <row r="21" spans="3:8">
      <c r="C21" s="192"/>
      <c r="D21" s="191"/>
      <c r="E21" s="191"/>
      <c r="F21" s="199"/>
      <c r="G21" s="192"/>
      <c r="H21" s="193"/>
    </row>
    <row r="22" spans="3:8">
      <c r="C22" s="192"/>
      <c r="D22" s="191"/>
      <c r="E22" s="191"/>
      <c r="F22" s="199"/>
      <c r="G22" s="192"/>
      <c r="H22" s="193"/>
    </row>
    <row r="23" spans="3:8">
      <c r="F23" s="199"/>
      <c r="G23" s="192"/>
      <c r="H23" s="193"/>
    </row>
    <row r="24" spans="3:8" ht="49.5" hidden="1" customHeight="1">
      <c r="F24" s="200" t="s">
        <v>429</v>
      </c>
      <c r="G24" s="201" t="s">
        <v>430</v>
      </c>
      <c r="H24" s="202"/>
    </row>
    <row r="25" spans="3:8" ht="33" hidden="1" customHeight="1">
      <c r="F25" s="200"/>
      <c r="G25" s="201"/>
      <c r="H25" s="202"/>
    </row>
    <row r="26" spans="3:8" ht="82.5" hidden="1" customHeight="1">
      <c r="F26" s="200" t="s">
        <v>437</v>
      </c>
      <c r="G26" s="201" t="s">
        <v>438</v>
      </c>
      <c r="H26" s="202"/>
    </row>
    <row r="27" spans="3:8" ht="33" hidden="1" customHeight="1">
      <c r="F27" s="200"/>
      <c r="G27" s="201" t="s">
        <v>443</v>
      </c>
      <c r="H27" s="202"/>
    </row>
    <row r="28" spans="3:8" ht="49.5" hidden="1" customHeight="1">
      <c r="F28" s="200" t="s">
        <v>445</v>
      </c>
      <c r="G28" s="203"/>
      <c r="H28" s="200"/>
    </row>
    <row r="29" spans="3:8" ht="49.5" hidden="1" customHeight="1">
      <c r="F29" s="200"/>
      <c r="G29" s="201"/>
      <c r="H29" s="202"/>
    </row>
    <row r="30" spans="3:8" ht="49.5" hidden="1" customHeight="1">
      <c r="F30" s="200" t="s">
        <v>449</v>
      </c>
      <c r="G30" s="201" t="s">
        <v>450</v>
      </c>
      <c r="H30" s="202"/>
    </row>
    <row r="31" spans="3:8" ht="33" hidden="1" customHeight="1">
      <c r="F31" s="200"/>
      <c r="G31" s="201" t="s">
        <v>455</v>
      </c>
      <c r="H31" s="202"/>
    </row>
    <row r="32" spans="3:8" ht="49.5" hidden="1" customHeight="1">
      <c r="F32" s="204" t="s">
        <v>458</v>
      </c>
      <c r="G32" s="205" t="s">
        <v>459</v>
      </c>
      <c r="H32" s="206"/>
    </row>
    <row r="33" spans="6:8" ht="66" hidden="1" customHeight="1">
      <c r="F33" s="204"/>
      <c r="G33" s="205"/>
      <c r="H33" s="206"/>
    </row>
    <row r="34" spans="6:8">
      <c r="F34" s="199"/>
      <c r="G34" s="192"/>
      <c r="H34" s="193"/>
    </row>
  </sheetData>
  <mergeCells count="6">
    <mergeCell ref="C11:C14"/>
    <mergeCell ref="F11:F14"/>
    <mergeCell ref="C2:H2"/>
    <mergeCell ref="C4:C10"/>
    <mergeCell ref="F4:F6"/>
    <mergeCell ref="F7:F10"/>
  </mergeCells>
  <conditionalFormatting sqref="H4:H14">
    <cfRule type="containsText" dxfId="2" priority="1" operator="containsText" text="No">
      <formula>NOT(ISERROR(SEARCH("No",H4)))</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CBB9-6063-4587-A203-949FC07733A0}">
  <sheetPr>
    <tabColor theme="8" tint="0.59999389629810485"/>
  </sheetPr>
  <dimension ref="B2:H51"/>
  <sheetViews>
    <sheetView zoomScale="81" zoomScaleNormal="81" workbookViewId="0">
      <selection activeCell="H4" sqref="H4:H31"/>
    </sheetView>
  </sheetViews>
  <sheetFormatPr defaultColWidth="8.81640625" defaultRowHeight="16"/>
  <cols>
    <col min="1" max="1" width="1.7265625" style="194" customWidth="1"/>
    <col min="2" max="2" width="8.81640625" style="194"/>
    <col min="3" max="3" width="15.1796875" style="195" customWidth="1"/>
    <col min="4" max="5" width="7.453125" style="194" customWidth="1"/>
    <col min="6" max="6" width="26.453125" style="207" customWidth="1"/>
    <col min="7" max="7" width="109.1796875" style="194" customWidth="1"/>
    <col min="8" max="8" width="14.54296875" style="207" customWidth="1"/>
    <col min="9" max="16384" width="8.81640625" style="194"/>
  </cols>
  <sheetData>
    <row r="2" spans="2:8" ht="23.5">
      <c r="B2" s="223"/>
      <c r="C2" s="564" t="s">
        <v>696</v>
      </c>
      <c r="D2" s="564"/>
      <c r="E2" s="564"/>
      <c r="F2" s="564"/>
      <c r="G2" s="564"/>
      <c r="H2" s="564"/>
    </row>
    <row r="3" spans="2:8" s="195" customFormat="1" ht="37.5" customHeight="1">
      <c r="B3" s="192"/>
      <c r="C3" s="208" t="s">
        <v>687</v>
      </c>
      <c r="D3" s="208" t="s">
        <v>9</v>
      </c>
      <c r="E3" s="208" t="s">
        <v>647</v>
      </c>
      <c r="F3" s="208" t="s">
        <v>483</v>
      </c>
      <c r="G3" s="208" t="s">
        <v>648</v>
      </c>
      <c r="H3" s="208" t="s">
        <v>489</v>
      </c>
    </row>
    <row r="4" spans="2:8" s="216" customFormat="1" ht="81" customHeight="1">
      <c r="C4" s="575" t="s">
        <v>231</v>
      </c>
      <c r="D4" s="209" t="str">
        <f t="shared" ref="D4:D8" si="0">IF(E4=1,"C",IF(E4=2,"B-",IF(E4=3,"B",IF(E4=4,"B+",IF(E4=5,"A")))))</f>
        <v>C</v>
      </c>
      <c r="E4" s="217">
        <v>1</v>
      </c>
      <c r="F4" s="570" t="str">
        <f>'DP overall'!E17</f>
        <v>Recurrence
Prevention</v>
      </c>
      <c r="G4" s="212" t="str">
        <f>'DP overall'!F17</f>
        <v>Implement prevent the recurrence of incidents
There is evidence that actions have been implemented to prevent the recurrence of incidents, and SVs are able to explain these actions.
(System: Safety Manager: No.30) 
*ask SVs</v>
      </c>
      <c r="H4" s="229"/>
    </row>
    <row r="5" spans="2:8" s="216" customFormat="1" ht="112">
      <c r="C5" s="574"/>
      <c r="D5" s="209" t="str">
        <f t="shared" ref="D5:D6" si="1">IF(E5=1,"C",IF(E5=2,"B-",IF(E5=3,"B",IF(E5=4,"B+",IF(E5=5,"A")))))</f>
        <v>B</v>
      </c>
      <c r="E5" s="217">
        <v>3</v>
      </c>
      <c r="F5" s="571"/>
      <c r="G5" s="212" t="str">
        <f>'DP overall'!J17</f>
        <v>SVs can explain the actions
SVs can explain the actions required for recurrence prevention in the event of a D.P. accident. They are able to describe measures taken in terms of prevention, detection, and protection based on the analysis. In addition, SVs can explain how to prevent the recurrence of accidents that have occurred in their own processes.
Genba improvement, all completed without delay
(System: Safety Manager: No.86)
 *Ask SVs</v>
      </c>
      <c r="H5" s="229"/>
    </row>
    <row r="6" spans="2:8" s="216" customFormat="1" ht="112">
      <c r="C6" s="574"/>
      <c r="D6" s="209" t="str">
        <f t="shared" si="1"/>
        <v>A</v>
      </c>
      <c r="E6" s="217">
        <v>5</v>
      </c>
      <c r="F6" s="572"/>
      <c r="G6" s="212" t="str">
        <f>'DP overall'!N17</f>
        <v>Recurrence Prevention action  PDCA and feedback to SBU
SVs can explain how such reviews are conducted and why the chosen method(s) are effective, using 4M change examples and other cases. They provide feedback to the SBU and assist in determining appropriate countermeasures.
(Example: Sharing more effective safety measures than those initially proposed by GBS/SBU)
This is subject to countermeasures derived from D.P. incidents, near misses, and defect information raised by operators.(System: Safety Manager: No.140)
 *Ask SVs Manager: No.140)</v>
      </c>
      <c r="H6" s="229"/>
    </row>
    <row r="7" spans="2:8" s="216" customFormat="1" ht="80">
      <c r="C7" s="574"/>
      <c r="D7" s="209" t="str">
        <f t="shared" si="0"/>
        <v>A</v>
      </c>
      <c r="E7" s="217">
        <v>5</v>
      </c>
      <c r="F7" s="215" t="str">
        <f>'DP overall'!E18</f>
        <v>Fire 
Reporting</v>
      </c>
      <c r="G7" s="212" t="str">
        <f>'DP overall'!N18</f>
        <v>Periodic Review of Countermeasures
Past countermeasures have been periodically re-checked to confirm their implementation status, subject to D.P. incidents that have occurred in the past at the site or in the workplace. At a minimum, progress must be reviewed within 1 year.
(Safety Manager)
 *Also ask SVs</v>
      </c>
      <c r="H7" s="229"/>
    </row>
    <row r="8" spans="2:8" s="216" customFormat="1" ht="70.5" customHeight="1">
      <c r="C8" s="209" t="s">
        <v>258</v>
      </c>
      <c r="D8" s="209" t="str">
        <f t="shared" si="0"/>
        <v>B+</v>
      </c>
      <c r="E8" s="217">
        <v>4</v>
      </c>
      <c r="F8" s="215" t="str">
        <f>'DP overall'!E20</f>
        <v>Fire RA
Progress</v>
      </c>
      <c r="G8" s="212" t="str">
        <f>'DP overall'!L20</f>
        <v>Results Shared – Risk III/IV
The results of the Fire RA have been shared within the plant. Operators are informed of the risks and countermeasures for Gross Risk III/IV. If no Risk III/IV exists, they are informed accordingly.
(DP Manager)  *Ask SVs</v>
      </c>
      <c r="H8" s="229"/>
    </row>
    <row r="9" spans="2:8" s="216" customFormat="1" ht="99.65" customHeight="1">
      <c r="C9" s="570" t="s">
        <v>307</v>
      </c>
      <c r="D9" s="209" t="str">
        <f t="shared" ref="D9:D14" si="2">IF(E9=1,"C",IF(E9=2,"B-",IF(E9=3,"B",IF(E9=4,"B+",IF(E9=5,"A")))))</f>
        <v>B-</v>
      </c>
      <c r="E9" s="217">
        <v>2</v>
      </c>
      <c r="F9" s="209" t="str">
        <f>'DP overall'!E28</f>
        <v>3S
for flammable/ combustible material storage</v>
      </c>
      <c r="G9" s="218" t="str">
        <f>'DP overall'!H28</f>
        <v>3S Organization &amp; Leadership
There is an officially appointed 3S leader on site.
There is evidence of 3S inspections and recommended actions for improvement.
A 3S promotion organization for each process is clearly defined, with group leaders and members appointed.
(System: Safety Manager: No.44+45)
*Ask SVs</v>
      </c>
      <c r="H9" s="229"/>
    </row>
    <row r="10" spans="2:8" s="216" customFormat="1" ht="82.5" customHeight="1">
      <c r="C10" s="571"/>
      <c r="D10" s="209" t="str">
        <f t="shared" ref="D10" si="3">IF(E10=1,"C",IF(E10=2,"B-",IF(E10=3,"B",IF(E10=4,"B+",IF(E10=5,"A")))))</f>
        <v>C</v>
      </c>
      <c r="E10" s="217">
        <v>1</v>
      </c>
      <c r="F10" s="574" t="str">
        <f>'DP overall'!E29</f>
        <v>DP KYT</v>
      </c>
      <c r="G10" s="212" t="str">
        <f>'DP overall'!F29</f>
        <v>Not Implemented
DP KYT has not been implemented.
(Safety Manager)
　*Ask SVs</v>
      </c>
      <c r="H10" s="229"/>
    </row>
    <row r="11" spans="2:8" s="216" customFormat="1" ht="82.5" customHeight="1">
      <c r="C11" s="571"/>
      <c r="D11" s="209" t="str">
        <f t="shared" ref="D11" si="4">IF(E11=1,"C",IF(E11=2,"B-",IF(E11=3,"B",IF(E11=4,"B+",IF(E11=5,"A")))))</f>
        <v>B-</v>
      </c>
      <c r="E11" s="217">
        <v>2</v>
      </c>
      <c r="F11" s="574"/>
      <c r="G11" s="212" t="str">
        <f>'DP overall'!H29</f>
        <v>Process Defined &amp; Communicated
There is evidence of a defined DP KYT process that has been communicated with all staff at least once in the past year.
(System: Manager: No.26)
　*Ask SVs</v>
      </c>
      <c r="H11" s="229"/>
    </row>
    <row r="12" spans="2:8" s="216" customFormat="1" ht="82.5" customHeight="1">
      <c r="C12" s="571"/>
      <c r="D12" s="209" t="str">
        <f t="shared" si="2"/>
        <v>B</v>
      </c>
      <c r="E12" s="217">
        <v>3</v>
      </c>
      <c r="F12" s="574"/>
      <c r="G12" s="218" t="str">
        <f>'DP overall'!J29</f>
        <v>Leadership &amp; Representation
There is an officially appointed DP KYT leader and DP KYT representatives on site.
(System: Manager: No.55)
　*Ask SVs</v>
      </c>
      <c r="H12" s="229"/>
    </row>
    <row r="13" spans="2:8" s="216" customFormat="1" ht="82.5" customHeight="1">
      <c r="C13" s="571"/>
      <c r="D13" s="209" t="str">
        <f t="shared" si="2"/>
        <v>B+</v>
      </c>
      <c r="E13" s="217">
        <v>4</v>
      </c>
      <c r="F13" s="574"/>
      <c r="G13" s="212" t="str">
        <f>'DP overall'!L29</f>
        <v>Participation &amp; Recordkeeping
DP KYT records show that all teammates and temporary staff have submitted a DP KYT within the last 3 months.
Records confirm that DP KYT is conducted periodically in accordance with SBU and/or site standards, and participation includes everyone on site.(System: Safety Manager: No.83+112)
　*Ask SVs</v>
      </c>
      <c r="H13" s="229"/>
    </row>
    <row r="14" spans="2:8" s="216" customFormat="1" ht="82.5" customHeight="1">
      <c r="C14" s="571"/>
      <c r="D14" s="209" t="str">
        <f t="shared" si="2"/>
        <v>A</v>
      </c>
      <c r="E14" s="217">
        <v>5</v>
      </c>
      <c r="F14" s="574"/>
      <c r="G14" s="212" t="str">
        <f>'DP overall'!N29</f>
        <v>Evaluation &amp; Continuous Improvement
DP KYT activities are evaluated annually, and opportunities for improvement are discussed with the Plant Manager.
SVs can describe planned improvements for the next year’s activities based on comments and advice from the Plant Manager.(System: Safety Manager: No.113)
　*Ask SVs</v>
      </c>
      <c r="H14" s="229"/>
    </row>
    <row r="15" spans="2:8" s="216" customFormat="1" ht="78.650000000000006" customHeight="1">
      <c r="C15" s="571"/>
      <c r="D15" s="209" t="str">
        <f t="shared" ref="D15:D17" si="5">IF(E15=1,"C",IF(E15=2,"B-",IF(E15=3,"B",IF(E15=4,"B+",IF(E15=5,"A")))))</f>
        <v>C</v>
      </c>
      <c r="E15" s="217">
        <v>1</v>
      </c>
      <c r="F15" s="214" t="str">
        <f>'DP overall'!E28</f>
        <v>3S
for flammable/ combustible material storage</v>
      </c>
      <c r="G15" s="212" t="str">
        <f>'DP overall'!F28</f>
        <v>Documentation &amp; Self-Check
3S documents are displayed in flammable/combustible material storage, chemical storage, and paint storage areas, with evidence of compliance.
Self-checks have been implemented.
(System: Operator: No.75)</v>
      </c>
      <c r="H15" s="229"/>
    </row>
    <row r="16" spans="2:8" s="216" customFormat="1" ht="82.5" customHeight="1">
      <c r="C16" s="571"/>
      <c r="D16" s="209" t="str">
        <f t="shared" si="5"/>
        <v>C</v>
      </c>
      <c r="E16" s="217">
        <v>1</v>
      </c>
      <c r="F16" s="570" t="str">
        <f>'DP overall'!E30</f>
        <v>Common Fire Prevention Rule</v>
      </c>
      <c r="G16" s="212" t="str">
        <f>'DP overall'!F30</f>
        <v>Not Trained
All teammates have not received training on the Common Fire Prevention Rule.
(SVs)</v>
      </c>
      <c r="H16" s="229"/>
    </row>
    <row r="17" spans="3:8" s="216" customFormat="1" ht="82.5" customHeight="1">
      <c r="C17" s="571"/>
      <c r="D17" s="209" t="str">
        <f t="shared" si="5"/>
        <v>B+</v>
      </c>
      <c r="E17" s="217">
        <v>4</v>
      </c>
      <c r="F17" s="572"/>
      <c r="G17" s="212" t="str">
        <f>'DP overall'!L30</f>
        <v>GENBA Patrol &amp; Feedback
Managers and SVs conduct GENBA patrols or equivalent activities to ensure teammates follow the Common Fire Prevention Rule, and they provide feedback to operators.
Confirmation of records indicating that checks and feedback have been conducted.
(SVs)</v>
      </c>
      <c r="H17" s="229"/>
    </row>
    <row r="18" spans="3:8" s="216" customFormat="1" ht="92.5" customHeight="1">
      <c r="C18" s="571"/>
      <c r="D18" s="209" t="str">
        <f t="shared" ref="D18:D24" si="6">IF(E18=1,"C",IF(E18=2,"B-",IF(E18=3,"B",IF(E18=4,"B+",IF(E18=5,"A")))))</f>
        <v>B+</v>
      </c>
      <c r="E18" s="217">
        <v>4</v>
      </c>
      <c r="F18" s="570" t="str">
        <f>'DP overall'!E32</f>
        <v>Hot Work</v>
      </c>
      <c r="G18" s="212" t="str">
        <f>'DP overall'!L32</f>
        <v>3S Visual Standard Applied
Hot work in designated hot work areas is controlled in accordance with the standards.
3S is implemented based on 3S visual standards (MAP, position, number of items, cleaning level, etc.) or assessed as level 4 or higher.
※ Confirm at least one internal production site.
SVs</v>
      </c>
      <c r="H18" s="229"/>
    </row>
    <row r="19" spans="3:8" s="216" customFormat="1" ht="92.5" customHeight="1">
      <c r="C19" s="571"/>
      <c r="D19" s="209" t="str">
        <f t="shared" si="6"/>
        <v>A</v>
      </c>
      <c r="E19" s="217">
        <v>5</v>
      </c>
      <c r="F19" s="572"/>
      <c r="G19" s="212" t="str">
        <f>'DP overall'!N32</f>
        <v>Best Practices &amp; Continuous Improvement
Hot work in designated hot work areas is controlled in accordance with the standards.
3S is implemented per 3S visual standards, and best practices from other sites/industries are applied for continuous improvement.
(Or 3S level is assessed as 5.)
※ Confirm improvements at least at one internal production site.
SVs</v>
      </c>
      <c r="H19" s="229"/>
    </row>
    <row r="20" spans="3:8" s="216" customFormat="1" ht="82.5" customHeight="1">
      <c r="C20" s="571"/>
      <c r="D20" s="209" t="str">
        <f t="shared" si="6"/>
        <v>C</v>
      </c>
      <c r="E20" s="217">
        <v>1</v>
      </c>
      <c r="F20" s="574" t="str">
        <f>'DP overall'!E33</f>
        <v>Inspection Wiring / Clean-up of Mobile Equipment</v>
      </c>
      <c r="G20" s="212" t="str">
        <f>'DP overall'!F33</f>
        <v>Not Inspected / No Problem-Solving Plan
Mobile equipment is not inspected/cleaned regularly, including care of all electrical wires/cables and charging stations.
Alternatively, inspections are conducted but no plan exists to solve the identified problems.
(SVs)</v>
      </c>
      <c r="H20" s="229"/>
    </row>
    <row r="21" spans="3:8" s="216" customFormat="1" ht="82.5" customHeight="1">
      <c r="C21" s="571"/>
      <c r="D21" s="209" t="str">
        <f t="shared" si="6"/>
        <v>B-</v>
      </c>
      <c r="E21" s="217">
        <v>2</v>
      </c>
      <c r="F21" s="574"/>
      <c r="G21" s="212" t="str">
        <f>'DP overall'!H33</f>
        <v>Inspections are carried out and measures to solve 
Mobile equipment is  inspected/cleaned regularly, 
The daily inspection includes checking all electrical wires/cables , socket part on both the forklift side and the charger side.
(SVs)</v>
      </c>
      <c r="H21" s="229"/>
    </row>
    <row r="22" spans="3:8" s="216" customFormat="1" ht="82.5" customHeight="1">
      <c r="C22" s="571"/>
      <c r="D22" s="209" t="str">
        <f t="shared" si="6"/>
        <v>B</v>
      </c>
      <c r="E22" s="217">
        <v>3</v>
      </c>
      <c r="F22" s="574"/>
      <c r="G22" s="218" t="str">
        <f>'DP overall'!J33</f>
        <v>Planned &amp; Ongoing Measures with 3S
There is a plan to solve problems, and measures are being conducted according to the plan.
If a plan is delayed for an adequate reason, it is reviewed and measures are executed according to the revised plan.
Use of problematic equipment is prohibited.
3S is implemented in accordance with 3S standards.(SVs)</v>
      </c>
      <c r="H22" s="229"/>
    </row>
    <row r="23" spans="3:8" s="216" customFormat="1" ht="82.5" customHeight="1">
      <c r="C23" s="571"/>
      <c r="D23" s="209" t="str">
        <f t="shared" si="6"/>
        <v>B+</v>
      </c>
      <c r="E23" s="217">
        <v>4</v>
      </c>
      <c r="F23" s="574"/>
      <c r="G23" s="212" t="str">
        <f>'DP overall'!L33</f>
        <v>Immediate Prohibition &amp; Action
When problems are found, equipment is immediately prohibited from use, or a corrective plan is developed and moved forward.
If the corrective measure is carried out on the same day, it is judged as equivalent to “moved forward.
(SVs)</v>
      </c>
      <c r="H23" s="229"/>
    </row>
    <row r="24" spans="3:8" s="216" customFormat="1" ht="82.5" customHeight="1">
      <c r="C24" s="571"/>
      <c r="D24" s="209" t="str">
        <f t="shared" si="6"/>
        <v>A</v>
      </c>
      <c r="E24" s="217">
        <v>5</v>
      </c>
      <c r="F24" s="574"/>
      <c r="G24" s="212" t="str">
        <f>'DP overall'!N33</f>
        <v>No Problems / Fully Resolved
There are no problems with mobile equipment, or all previously identified problems have already been solved.
(SVs)</v>
      </c>
      <c r="H24" s="229"/>
    </row>
    <row r="25" spans="3:8" s="216" customFormat="1" ht="82.5" customHeight="1">
      <c r="C25" s="571"/>
      <c r="D25" s="209" t="str">
        <f t="shared" ref="D25:D29" si="7">IF(E25=1,"C",IF(E25=2,"B-",IF(E25=3,"B",IF(E25=4,"B+",IF(E25=5,"A")))))</f>
        <v>C</v>
      </c>
      <c r="E25" s="217">
        <v>1</v>
      </c>
      <c r="F25" s="574" t="str">
        <f>'DP overall'!E41</f>
        <v>Mixing MUST-11 Items – Self-check</v>
      </c>
      <c r="G25" s="212" t="str">
        <f>'DP overall'!F41</f>
        <v>Self-check planned
Mixing MUST-11 items have been self-checked according to the annual plan.
There is a plan in place for any non-conformities detected during the self-check.
(SVs)</v>
      </c>
      <c r="H25" s="229"/>
    </row>
    <row r="26" spans="3:8" s="216" customFormat="1" ht="82.5" customHeight="1">
      <c r="C26" s="571"/>
      <c r="D26" s="209" t="str">
        <f t="shared" si="7"/>
        <v>B-</v>
      </c>
      <c r="E26" s="217">
        <v>2</v>
      </c>
      <c r="F26" s="574"/>
      <c r="G26" s="212" t="str">
        <f>'DP overall'!H41</f>
        <v>Plan Exists but Delayed / no recovery plan
There are plans for the self-check and countermeasures, but the plan is delayed.
There is no corrective action for the delay.
(SVs)</v>
      </c>
      <c r="H26" s="229"/>
    </row>
    <row r="27" spans="3:8" s="216" customFormat="1" ht="82.5" customHeight="1">
      <c r="C27" s="571"/>
      <c r="D27" s="209" t="str">
        <f t="shared" si="7"/>
        <v>B</v>
      </c>
      <c r="E27" s="217">
        <v>3</v>
      </c>
      <c r="F27" s="574"/>
      <c r="G27" s="218" t="str">
        <f>'DP overall'!J41</f>
        <v>Check as plan &amp; Ongoing Measures
There is a plan for countermeasures based on the self-check, and actions are being carried out according to the plan.
Or, if there is a delay, a corrective plan has been established and is ongoing.
(SVs)</v>
      </c>
      <c r="H27" s="229"/>
    </row>
    <row r="28" spans="3:8" s="216" customFormat="1" ht="82.5" customHeight="1">
      <c r="C28" s="571"/>
      <c r="D28" s="209" t="str">
        <f t="shared" si="7"/>
        <v>B+</v>
      </c>
      <c r="E28" s="217">
        <v>4</v>
      </c>
      <c r="F28" s="574"/>
      <c r="G28" s="212" t="str">
        <f>'DP overall'!L41</f>
        <v>Countermeasures action ahead plan (not yet completed)
There is a plan for countermeasures from the self-check, and actions are progressing ahead of the plan, but not yet completed.
(SVs)</v>
      </c>
      <c r="H28" s="229"/>
    </row>
    <row r="29" spans="3:8" s="216" customFormat="1" ht="82.5" customHeight="1">
      <c r="C29" s="571"/>
      <c r="D29" s="209" t="str">
        <f t="shared" si="7"/>
        <v>A</v>
      </c>
      <c r="E29" s="217">
        <v>5</v>
      </c>
      <c r="F29" s="574"/>
      <c r="G29" s="212" t="str">
        <f>'DP overall'!N41</f>
        <v>Fully Completed / No Defects
The self-check has been fully completed according to the plan.
There are no defects, or all findings have already been resolved with approval by plant manager or above.
(SVs)</v>
      </c>
      <c r="H29" s="229"/>
    </row>
    <row r="30" spans="3:8" s="216" customFormat="1" ht="82.5" customHeight="1">
      <c r="C30" s="571"/>
      <c r="D30" s="209" t="str">
        <f t="shared" ref="D30:D31" si="8">IF(E30=1,"C",IF(E30=2,"B-",IF(E30=3,"B",IF(E30=4,"B+",IF(E30=5,"A")))))</f>
        <v>C</v>
      </c>
      <c r="E30" s="217">
        <v>1</v>
      </c>
      <c r="F30" s="574" t="str">
        <f>'DP overall'!E42</f>
        <v>Mixing MUST-11 Items  Training</v>
      </c>
      <c r="G30" s="212" t="str">
        <f>'DP overall'!F42</f>
        <v>Training Conducted / Not Conducted
Training on Mixing MUST-11 is provided to employees involved in Mixing MUST-11.
※ If training is conducted → “YES”
※ If training is not conducted → “NO”
SVs</v>
      </c>
      <c r="H30" s="229"/>
    </row>
    <row r="31" spans="3:8" s="216" customFormat="1" ht="86.15" customHeight="1">
      <c r="C31" s="572"/>
      <c r="D31" s="209" t="str">
        <f t="shared" si="8"/>
        <v>B+</v>
      </c>
      <c r="E31" s="217">
        <v>4</v>
      </c>
      <c r="F31" s="574"/>
      <c r="G31" s="212" t="str">
        <f>'DP overall'!L42</f>
        <v>Compliance onsite &amp; OP Feedback
Manufacturing managers, chiefs, and supervisors conduct patrols and on-site checks to ensure compliance with Mixing MUST-11 rules.
They provide feedback from the patrol results to  operators.
SVs</v>
      </c>
      <c r="H31" s="229"/>
    </row>
    <row r="32" spans="3:8" ht="24" customHeight="1">
      <c r="C32" s="192"/>
      <c r="D32" s="191"/>
      <c r="E32" s="191"/>
      <c r="F32" s="199"/>
      <c r="G32" s="192"/>
      <c r="H32" s="193"/>
    </row>
    <row r="33" spans="3:8">
      <c r="C33" s="192"/>
      <c r="D33" s="191"/>
      <c r="E33" s="191"/>
      <c r="F33" s="199"/>
      <c r="G33" s="192"/>
      <c r="H33" s="193"/>
    </row>
    <row r="34" spans="3:8">
      <c r="C34" s="192"/>
      <c r="D34" s="191"/>
      <c r="E34" s="191"/>
      <c r="F34" s="199"/>
      <c r="G34" s="192"/>
      <c r="H34" s="193"/>
    </row>
    <row r="35" spans="3:8">
      <c r="C35" s="192"/>
      <c r="D35" s="191"/>
      <c r="E35" s="191"/>
      <c r="F35" s="199"/>
      <c r="G35" s="192"/>
      <c r="H35" s="193"/>
    </row>
    <row r="36" spans="3:8">
      <c r="C36" s="192"/>
      <c r="D36" s="191"/>
      <c r="E36" s="191"/>
      <c r="F36" s="199"/>
      <c r="G36" s="192"/>
      <c r="H36" s="193"/>
    </row>
    <row r="37" spans="3:8">
      <c r="C37" s="192"/>
      <c r="D37" s="191"/>
      <c r="E37" s="191"/>
      <c r="F37" s="199"/>
      <c r="G37" s="192"/>
      <c r="H37" s="193"/>
    </row>
    <row r="38" spans="3:8">
      <c r="C38" s="192"/>
      <c r="D38" s="191"/>
      <c r="E38" s="191"/>
      <c r="F38" s="199"/>
      <c r="G38" s="192"/>
      <c r="H38" s="193"/>
    </row>
    <row r="39" spans="3:8">
      <c r="C39" s="192"/>
      <c r="D39" s="191"/>
      <c r="E39" s="191"/>
      <c r="F39" s="199"/>
      <c r="G39" s="192"/>
      <c r="H39" s="193"/>
    </row>
    <row r="40" spans="3:8">
      <c r="F40" s="199"/>
      <c r="G40" s="192"/>
      <c r="H40" s="193"/>
    </row>
    <row r="41" spans="3:8" ht="49.5" hidden="1" customHeight="1">
      <c r="F41" s="200" t="s">
        <v>429</v>
      </c>
      <c r="G41" s="201" t="s">
        <v>430</v>
      </c>
      <c r="H41" s="202"/>
    </row>
    <row r="42" spans="3:8" ht="33" hidden="1" customHeight="1">
      <c r="F42" s="200"/>
      <c r="G42" s="201"/>
      <c r="H42" s="202"/>
    </row>
    <row r="43" spans="3:8" ht="82.5" hidden="1" customHeight="1">
      <c r="F43" s="200" t="s">
        <v>437</v>
      </c>
      <c r="G43" s="201" t="s">
        <v>438</v>
      </c>
      <c r="H43" s="202"/>
    </row>
    <row r="44" spans="3:8" ht="33" hidden="1" customHeight="1">
      <c r="F44" s="200"/>
      <c r="G44" s="201" t="s">
        <v>443</v>
      </c>
      <c r="H44" s="202"/>
    </row>
    <row r="45" spans="3:8" ht="49.5" hidden="1" customHeight="1">
      <c r="F45" s="200" t="s">
        <v>445</v>
      </c>
      <c r="G45" s="203"/>
      <c r="H45" s="200"/>
    </row>
    <row r="46" spans="3:8" ht="49.5" hidden="1" customHeight="1">
      <c r="F46" s="200"/>
      <c r="G46" s="201"/>
      <c r="H46" s="202"/>
    </row>
    <row r="47" spans="3:8" ht="49.5" hidden="1" customHeight="1">
      <c r="F47" s="200" t="s">
        <v>449</v>
      </c>
      <c r="G47" s="201" t="s">
        <v>450</v>
      </c>
      <c r="H47" s="202"/>
    </row>
    <row r="48" spans="3:8" ht="33" hidden="1" customHeight="1">
      <c r="F48" s="200"/>
      <c r="G48" s="201" t="s">
        <v>455</v>
      </c>
      <c r="H48" s="202"/>
    </row>
    <row r="49" spans="6:8" ht="49.5" hidden="1" customHeight="1">
      <c r="F49" s="204" t="s">
        <v>458</v>
      </c>
      <c r="G49" s="205" t="s">
        <v>459</v>
      </c>
      <c r="H49" s="206"/>
    </row>
    <row r="50" spans="6:8" ht="66" hidden="1" customHeight="1">
      <c r="F50" s="204"/>
      <c r="G50" s="205"/>
      <c r="H50" s="206"/>
    </row>
    <row r="51" spans="6:8">
      <c r="F51" s="199"/>
      <c r="G51" s="192"/>
      <c r="H51" s="193"/>
    </row>
  </sheetData>
  <mergeCells count="10">
    <mergeCell ref="C2:H2"/>
    <mergeCell ref="C4:C7"/>
    <mergeCell ref="F4:F6"/>
    <mergeCell ref="C9:C31"/>
    <mergeCell ref="F16:F17"/>
    <mergeCell ref="F18:F19"/>
    <mergeCell ref="F20:F24"/>
    <mergeCell ref="F25:F29"/>
    <mergeCell ref="F30:F31"/>
    <mergeCell ref="F10:F14"/>
  </mergeCells>
  <conditionalFormatting sqref="H4:H31">
    <cfRule type="containsText" dxfId="1" priority="1" operator="containsText" text="No">
      <formula>NOT(ISERROR(SEARCH("No",H4)))</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466F4-9D19-4DE8-8329-27E9ABC83458}">
  <sheetPr>
    <tabColor theme="8" tint="0.59999389629810485"/>
  </sheetPr>
  <dimension ref="B2:H40"/>
  <sheetViews>
    <sheetView topLeftCell="A7" zoomScale="72" zoomScaleNormal="72" workbookViewId="0">
      <selection activeCell="G16" sqref="G16"/>
    </sheetView>
  </sheetViews>
  <sheetFormatPr defaultColWidth="8.81640625" defaultRowHeight="16"/>
  <cols>
    <col min="1" max="1" width="1.7265625" style="194" customWidth="1"/>
    <col min="2" max="2" width="8.81640625" style="194"/>
    <col min="3" max="3" width="15.1796875" style="195" customWidth="1"/>
    <col min="4" max="5" width="7.453125" style="194" customWidth="1"/>
    <col min="6" max="6" width="26.453125" style="207" customWidth="1"/>
    <col min="7" max="7" width="109.1796875" style="194" customWidth="1"/>
    <col min="8" max="8" width="14.54296875" style="207" customWidth="1"/>
    <col min="9" max="16384" width="8.81640625" style="194"/>
  </cols>
  <sheetData>
    <row r="2" spans="2:8" ht="23.5">
      <c r="B2" s="230"/>
      <c r="C2" s="564" t="s">
        <v>697</v>
      </c>
      <c r="D2" s="564"/>
      <c r="E2" s="564"/>
      <c r="F2" s="564"/>
      <c r="G2" s="564"/>
      <c r="H2" s="564"/>
    </row>
    <row r="3" spans="2:8" s="195" customFormat="1" ht="37.5" customHeight="1">
      <c r="B3" s="192"/>
      <c r="C3" s="208" t="s">
        <v>687</v>
      </c>
      <c r="D3" s="208" t="s">
        <v>9</v>
      </c>
      <c r="E3" s="208" t="s">
        <v>647</v>
      </c>
      <c r="F3" s="208" t="s">
        <v>483</v>
      </c>
      <c r="G3" s="208" t="s">
        <v>648</v>
      </c>
      <c r="H3" s="208" t="s">
        <v>489</v>
      </c>
    </row>
    <row r="4" spans="2:8" s="216" customFormat="1" ht="82.5" customHeight="1">
      <c r="C4" s="576" t="s">
        <v>231</v>
      </c>
      <c r="D4" s="209" t="str">
        <f t="shared" ref="D4:D9" si="0">IF(E4=1,"C",IF(E4=2,"B-",IF(E4=3,"B",IF(E4=4,"B+",IF(E4=5,"A")))))</f>
        <v>C</v>
      </c>
      <c r="E4" s="217">
        <v>1</v>
      </c>
      <c r="F4" s="574" t="str">
        <f>'DP overall'!E16</f>
        <v>Information Sharing</v>
      </c>
      <c r="G4" s="212" t="str">
        <f>'DP overall'!F16</f>
        <v>Leadership Involvement in Serious Incidents
All teammates stated that, at a minimum, the safety manager and a site leadership representative (e.g., plant manager, department manager, or line manager) were involved in the root cause analysis process whenever a serious incident (e.g., fire) occurred.
(Leadership: Operator: No.5)</v>
      </c>
      <c r="H4" s="229"/>
    </row>
    <row r="5" spans="2:8" s="216" customFormat="1" ht="101.15" customHeight="1">
      <c r="C5" s="577"/>
      <c r="D5" s="209" t="str">
        <f t="shared" si="0"/>
        <v>B-</v>
      </c>
      <c r="E5" s="217">
        <v>2</v>
      </c>
      <c r="F5" s="574"/>
      <c r="G5" s="212" t="str">
        <f>'DP overall'!H16</f>
        <v>Informed of Recent Incidents
All teammates can confirm that they have been informed of recent D.P.-related incidents (e.g., fire, near-miss) in their areas and that actions have been taken to address these incidents.
If no D.P. incident has occurred since the start of their employment, confirmation will be made based on D.P. incidents that have previously occurred at the site.
(Teammate Engagement: Operator: No.7)</v>
      </c>
      <c r="H5" s="229"/>
    </row>
    <row r="6" spans="2:8" s="216" customFormat="1" ht="96" customHeight="1">
      <c r="C6" s="577"/>
      <c r="D6" s="209" t="str">
        <f t="shared" si="0"/>
        <v>B</v>
      </c>
      <c r="E6" s="217">
        <v>3</v>
      </c>
      <c r="F6" s="574"/>
      <c r="G6" s="218" t="str">
        <f>'DP overall'!J16</f>
        <v>Understanding of Information Contribution
All teammates stated that they are well informed and can explain how the communicated information contributes to strengthening fire prevention.
(System: Operator: No.64)
Information may include fire, smoke, near-miss, etc.
If no D.P. incident has occurred since the start of their employment, confirmation will be based on D.P. incidents that have previously occurred at the site.</v>
      </c>
      <c r="H6" s="229"/>
    </row>
    <row r="7" spans="2:8" s="216" customFormat="1" ht="82.5" customHeight="1">
      <c r="C7" s="577"/>
      <c r="D7" s="209" t="str">
        <f t="shared" si="0"/>
        <v>B+</v>
      </c>
      <c r="E7" s="217">
        <v>4</v>
      </c>
      <c r="F7" s="574"/>
      <c r="G7" s="212" t="str">
        <f>'DP overall'!L16</f>
        <v>Examples from Other Facilities
Teammates are able to provide examples of fire incidents that occurred at other facilities and can explain how this information was obtained.
(System: Operator: No.110)</v>
      </c>
      <c r="H7" s="229"/>
    </row>
    <row r="8" spans="2:8" s="216" customFormat="1" ht="82.5" customHeight="1">
      <c r="C8" s="577"/>
      <c r="D8" s="209" t="str">
        <f t="shared" si="0"/>
        <v>A</v>
      </c>
      <c r="E8" s="217">
        <v>5</v>
      </c>
      <c r="F8" s="574"/>
      <c r="G8" s="212" t="str">
        <f>'DP overall'!N16</f>
        <v>Cross-site and Cross-department Sharing
D.P. risks and measures from other sites or departments have been shared during the safety meeting in your department.
(Teammate Engagement: Operator: No.17)</v>
      </c>
      <c r="H8" s="257"/>
    </row>
    <row r="9" spans="2:8" s="216" customFormat="1" ht="107.15" customHeight="1">
      <c r="C9" s="577"/>
      <c r="D9" s="209" t="str">
        <f t="shared" si="0"/>
        <v>B-</v>
      </c>
      <c r="E9" s="217">
        <v>2</v>
      </c>
      <c r="F9" s="570" t="str">
        <f>'DP overall'!E17</f>
        <v>Recurrence
Prevention</v>
      </c>
      <c r="G9" s="212" t="str">
        <f>'DP overall'!H17</f>
        <v>OP know and participate
In a sample of 3 teammates, at least 1 (more than 33%) stated that they participate in the actions required to prevent D.P. accidents and provide feedback if these actions are not appropriate or effective.
If no D.P. incident has occurred since the start of their employment, in a sample of three teammates, at least one (more than 33%) commented on the need for improvement based on identified problems or defects related to D.P.
(Teammate Engagement: Operator: No.6)</v>
      </c>
      <c r="H9" s="229"/>
    </row>
    <row r="10" spans="2:8" s="216" customFormat="1" ht="96.65" customHeight="1">
      <c r="C10" s="577"/>
      <c r="D10" s="209" t="str">
        <f t="shared" ref="D10:D13" si="1">IF(E10=1,"C",IF(E10=2,"B-",IF(E10=3,"B",IF(E10=4,"B+",IF(E10=5,"A")))))</f>
        <v>B+</v>
      </c>
      <c r="E10" s="217">
        <v>4</v>
      </c>
      <c r="F10" s="572"/>
      <c r="G10" s="212" t="str">
        <f>'DP overall'!L17</f>
        <v>OP feedback
All teammates stated that management has taken specific actions to address the hazards they reported, and that these actions have been communicated back to them. (D.P. point of view)
(Organization: Operator: No.16)</v>
      </c>
      <c r="H10" s="229"/>
    </row>
    <row r="11" spans="2:8" s="216" customFormat="1" ht="97" customHeight="1">
      <c r="C11" s="209" t="s">
        <v>258</v>
      </c>
      <c r="D11" s="209" t="str">
        <f t="shared" si="1"/>
        <v>A</v>
      </c>
      <c r="E11" s="217">
        <v>5</v>
      </c>
      <c r="F11" s="215" t="str">
        <f>'DP overall'!E20</f>
        <v>Fire RA
Progress</v>
      </c>
      <c r="G11" s="212" t="str">
        <f>'DP overall'!N20</f>
        <v>Results Shared &amp; Understood – Risk I/II Awareness
The results of the Fire RA have been shared within the plant, and all teammates have demonstrated understanding.
Operators are informed of the risks and countermeasures for Gross Risk III/IV. If no Risk III/IV exists, operators are made aware of the high-risk areas in their plant or process categorized under Risk I/II.
(Operators)</v>
      </c>
      <c r="H11" s="229"/>
    </row>
    <row r="12" spans="2:8" s="216" customFormat="1" ht="99.65" customHeight="1">
      <c r="C12" s="574" t="s">
        <v>307</v>
      </c>
      <c r="D12" s="209" t="str">
        <f t="shared" si="1"/>
        <v>C</v>
      </c>
      <c r="E12" s="217">
        <v>1</v>
      </c>
      <c r="F12" s="570" t="str">
        <f>'DP overall'!E28</f>
        <v>3S
for flammable/ combustible material storage</v>
      </c>
      <c r="G12" s="218" t="str">
        <f>'DP overall'!F28</f>
        <v>Documentation &amp; Self-Check
3S documents are displayed in flammable/combustible material storage, chemical storage, and paint storage areas, with evidence of compliance.
Self-checks have been implemented.
(System: Operator: No.75)</v>
      </c>
      <c r="H12" s="229"/>
    </row>
    <row r="13" spans="2:8" s="216" customFormat="1" ht="92.5" customHeight="1">
      <c r="C13" s="574"/>
      <c r="D13" s="209" t="str">
        <f t="shared" si="1"/>
        <v>B</v>
      </c>
      <c r="E13" s="217">
        <v>3</v>
      </c>
      <c r="F13" s="571"/>
      <c r="G13" s="212" t="str">
        <f>'DP overall'!J28</f>
        <v>Visual Standards &amp; Workplace Cleanliness
The 3S Visual Standard has been established.
All inspected work areas (production and office) are maintained as per the standard: clean floors, no spillages, and no unnecessary objects not currently in use.
(System: Operator: No.75)</v>
      </c>
      <c r="H13" s="229"/>
    </row>
    <row r="14" spans="2:8" s="216" customFormat="1" ht="92.5" customHeight="1">
      <c r="C14" s="574"/>
      <c r="D14" s="209" t="str">
        <f t="shared" ref="D14" si="2">IF(E14=1,"C",IF(E14=2,"B-",IF(E14=3,"B",IF(E14=4,"B+",IF(E14=5,"A")))))</f>
        <v>B+</v>
      </c>
      <c r="E14" s="217">
        <v>4</v>
      </c>
      <c r="F14" s="572"/>
      <c r="G14" s="212" t="str">
        <f>'DP overall'!N28</f>
        <v>Best Practice Integration &amp; Benchmarking
Best practices on 3S have been collected from other plants/industries and incorporated into site procedures, with evidence of benchmarking or comparison with other plants.
(System: DP Manager: No.133)</v>
      </c>
      <c r="H14" s="229"/>
    </row>
    <row r="15" spans="2:8" s="216" customFormat="1" ht="99.65" customHeight="1">
      <c r="C15" s="574"/>
      <c r="D15" s="209" t="str">
        <f t="shared" ref="D15" si="3">IF(E15=1,"C",IF(E15=2,"B-",IF(E15=3,"B",IF(E15=4,"B+",IF(E15=5,"A")))))</f>
        <v>B-</v>
      </c>
      <c r="E15" s="217">
        <v>2</v>
      </c>
      <c r="F15" s="570" t="str">
        <f>'DP overall'!E30</f>
        <v>Common Fire Prevention Rule</v>
      </c>
      <c r="G15" s="218" t="str">
        <f>'DP overall'!H30</f>
        <v>Training Completed
All teammates have received training on the Common Fire Prevention Rule at least once a year.
(Operator)</v>
      </c>
      <c r="H15" s="229"/>
    </row>
    <row r="16" spans="2:8" s="216" customFormat="1" ht="92.5" customHeight="1">
      <c r="C16" s="574"/>
      <c r="D16" s="209" t="str">
        <f t="shared" ref="D16:D20" si="4">IF(E16=1,"C",IF(E16=2,"B-",IF(E16=3,"B",IF(E16=4,"B+",IF(E16=5,"A")))))</f>
        <v>B</v>
      </c>
      <c r="E16" s="217">
        <v>3</v>
      </c>
      <c r="F16" s="571"/>
      <c r="G16" s="212" t="str">
        <f>'DP overall'!J30</f>
        <v>Understanding &amp; Explanation
All teammates understand the Common Fire Prevention Rule and can explain at least two key points from the SOP to prevent fire.
(At least 2 items)
(Operator)</v>
      </c>
      <c r="H16" s="229"/>
    </row>
    <row r="17" spans="3:8" s="216" customFormat="1" ht="92.5" customHeight="1">
      <c r="C17" s="574"/>
      <c r="D17" s="209" t="str">
        <f t="shared" ref="D17" si="5">IF(E17=1,"C",IF(E17=2,"B-",IF(E17=3,"B",IF(E17=4,"B+",IF(E17=5,"A")))))</f>
        <v>A</v>
      </c>
      <c r="E17" s="217">
        <v>5</v>
      </c>
      <c r="F17" s="572"/>
      <c r="G17" s="212" t="str">
        <f>'DP overall'!N30</f>
        <v>KAIZEN Application
All teammates can explain an example of a KAIZEN activity from a D.P. point of view, based on the Common Fire Prevention Rule.
Examples include updating SOPs to follow the DP rule or implementing hardware upgrades aligned with the DP rule.(Operator)</v>
      </c>
      <c r="H17" s="229"/>
    </row>
    <row r="18" spans="3:8" s="216" customFormat="1" ht="82.5" customHeight="1">
      <c r="C18" s="574"/>
      <c r="D18" s="209" t="str">
        <f t="shared" si="4"/>
        <v>B-</v>
      </c>
      <c r="E18" s="217">
        <v>2</v>
      </c>
      <c r="F18" s="574" t="str">
        <f>'DP overall'!E42</f>
        <v>Mixing MUST-11 Items  Training</v>
      </c>
      <c r="G18" s="212" t="str">
        <f>'DP overall'!H42</f>
        <v>Annual Training 100% Coverage
Training on Mixing MUST-11 is provided to all employees involved, at least once per year, including new employee training.
(Operator)</v>
      </c>
      <c r="H18" s="229"/>
    </row>
    <row r="19" spans="3:8" s="216" customFormat="1" ht="82.5" customHeight="1">
      <c r="C19" s="574"/>
      <c r="D19" s="209" t="str">
        <f t="shared" si="4"/>
        <v>B</v>
      </c>
      <c r="E19" s="217">
        <v>3</v>
      </c>
      <c r="F19" s="574"/>
      <c r="G19" s="218" t="str">
        <f>'DP overall'!J42</f>
        <v>Understanding &amp; Explanation
Employees involved in Mixing MUST-11 understand the requirements and can explain the key points of Mixing MUST-11 within their work standards.
(Operator)</v>
      </c>
      <c r="H19" s="229"/>
    </row>
    <row r="20" spans="3:8" s="216" customFormat="1" ht="82.5" customHeight="1">
      <c r="C20" s="574"/>
      <c r="D20" s="209" t="str">
        <f t="shared" si="4"/>
        <v>A</v>
      </c>
      <c r="E20" s="217">
        <v>5</v>
      </c>
      <c r="F20" s="574"/>
      <c r="G20" s="212" t="str">
        <f>'DP overall'!N42</f>
        <v xml:space="preserve"> Example improvement proposal from OP
Employees involved in Mixing MUST-11 can present at least one example of an improvement related to Mixing MUST-11 that was proposed and implemented by themselves.
(Operator)</v>
      </c>
      <c r="H20" s="229"/>
    </row>
    <row r="21" spans="3:8" ht="24" customHeight="1">
      <c r="C21" s="192"/>
      <c r="D21" s="191"/>
      <c r="E21" s="191"/>
      <c r="F21" s="199"/>
      <c r="G21" s="192"/>
      <c r="H21" s="193"/>
    </row>
    <row r="22" spans="3:8">
      <c r="C22" s="192"/>
      <c r="D22" s="191"/>
      <c r="E22" s="191"/>
      <c r="F22" s="199"/>
      <c r="G22" s="192"/>
      <c r="H22" s="193"/>
    </row>
    <row r="23" spans="3:8">
      <c r="C23" s="192"/>
      <c r="D23" s="191"/>
      <c r="E23" s="191"/>
      <c r="F23" s="199"/>
      <c r="G23" s="192"/>
      <c r="H23" s="193"/>
    </row>
    <row r="24" spans="3:8">
      <c r="C24" s="192"/>
      <c r="D24" s="191"/>
      <c r="E24" s="191"/>
      <c r="F24" s="199"/>
      <c r="G24" s="192"/>
      <c r="H24" s="193"/>
    </row>
    <row r="25" spans="3:8">
      <c r="C25" s="192"/>
      <c r="D25" s="191"/>
      <c r="E25" s="191"/>
      <c r="F25" s="199"/>
      <c r="G25" s="192"/>
      <c r="H25" s="193"/>
    </row>
    <row r="26" spans="3:8">
      <c r="C26" s="192"/>
      <c r="D26" s="191"/>
      <c r="E26" s="191"/>
      <c r="F26" s="199"/>
      <c r="G26" s="192"/>
      <c r="H26" s="193"/>
    </row>
    <row r="27" spans="3:8">
      <c r="C27" s="192"/>
      <c r="D27" s="191"/>
      <c r="E27" s="191"/>
      <c r="F27" s="199"/>
      <c r="G27" s="192"/>
      <c r="H27" s="193"/>
    </row>
    <row r="28" spans="3:8">
      <c r="C28" s="192"/>
      <c r="D28" s="191"/>
      <c r="E28" s="191"/>
      <c r="F28" s="199"/>
      <c r="G28" s="192"/>
      <c r="H28" s="193"/>
    </row>
    <row r="29" spans="3:8">
      <c r="F29" s="199"/>
      <c r="G29" s="192"/>
      <c r="H29" s="193"/>
    </row>
    <row r="30" spans="3:8" ht="49.5" hidden="1" customHeight="1">
      <c r="F30" s="200" t="s">
        <v>429</v>
      </c>
      <c r="G30" s="201" t="s">
        <v>430</v>
      </c>
      <c r="H30" s="202"/>
    </row>
    <row r="31" spans="3:8" ht="33" hidden="1" customHeight="1">
      <c r="F31" s="200"/>
      <c r="G31" s="201"/>
      <c r="H31" s="202"/>
    </row>
    <row r="32" spans="3:8" ht="82.5" hidden="1" customHeight="1">
      <c r="F32" s="200" t="s">
        <v>437</v>
      </c>
      <c r="G32" s="201" t="s">
        <v>438</v>
      </c>
      <c r="H32" s="202"/>
    </row>
    <row r="33" spans="6:8" ht="33" hidden="1" customHeight="1">
      <c r="F33" s="200"/>
      <c r="G33" s="201" t="s">
        <v>443</v>
      </c>
      <c r="H33" s="202"/>
    </row>
    <row r="34" spans="6:8" ht="49.5" hidden="1" customHeight="1">
      <c r="F34" s="200" t="s">
        <v>445</v>
      </c>
      <c r="G34" s="203"/>
      <c r="H34" s="200"/>
    </row>
    <row r="35" spans="6:8" ht="49.5" hidden="1" customHeight="1">
      <c r="F35" s="200"/>
      <c r="G35" s="201"/>
      <c r="H35" s="202"/>
    </row>
    <row r="36" spans="6:8" ht="49.5" hidden="1" customHeight="1">
      <c r="F36" s="200" t="s">
        <v>449</v>
      </c>
      <c r="G36" s="201" t="s">
        <v>450</v>
      </c>
      <c r="H36" s="202"/>
    </row>
    <row r="37" spans="6:8" ht="33" hidden="1" customHeight="1">
      <c r="F37" s="200"/>
      <c r="G37" s="201" t="s">
        <v>455</v>
      </c>
      <c r="H37" s="202"/>
    </row>
    <row r="38" spans="6:8" ht="49.5" hidden="1" customHeight="1">
      <c r="F38" s="204" t="s">
        <v>458</v>
      </c>
      <c r="G38" s="205" t="s">
        <v>459</v>
      </c>
      <c r="H38" s="206"/>
    </row>
    <row r="39" spans="6:8" ht="66" hidden="1" customHeight="1">
      <c r="F39" s="204"/>
      <c r="G39" s="205"/>
      <c r="H39" s="206"/>
    </row>
    <row r="40" spans="6:8">
      <c r="F40" s="199"/>
      <c r="G40" s="192"/>
      <c r="H40" s="193"/>
    </row>
  </sheetData>
  <mergeCells count="8">
    <mergeCell ref="F4:F8"/>
    <mergeCell ref="C4:C10"/>
    <mergeCell ref="F12:F14"/>
    <mergeCell ref="F15:F17"/>
    <mergeCell ref="C2:H2"/>
    <mergeCell ref="F9:F10"/>
    <mergeCell ref="C12:C20"/>
    <mergeCell ref="F18:F20"/>
  </mergeCells>
  <conditionalFormatting sqref="H4:H20">
    <cfRule type="containsText" dxfId="0" priority="1" operator="containsText" text="No">
      <formula>NOT(ISERROR(SEARCH("No",H4)))</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CF40-C7D7-4D37-B9B1-50270664B72F}">
  <sheetPr>
    <tabColor rgb="FF00B050"/>
    <pageSetUpPr fitToPage="1"/>
  </sheetPr>
  <dimension ref="B1:P72"/>
  <sheetViews>
    <sheetView view="pageBreakPreview" zoomScale="54" zoomScaleNormal="72" zoomScaleSheetLayoutView="54" workbookViewId="0">
      <selection activeCell="K19" sqref="K19"/>
    </sheetView>
  </sheetViews>
  <sheetFormatPr defaultColWidth="8.81640625" defaultRowHeight="14.5"/>
  <cols>
    <col min="1" max="1" width="1.54296875" style="277" customWidth="1"/>
    <col min="2" max="2" width="2.26953125" style="277" customWidth="1"/>
    <col min="3" max="3" width="20.54296875" style="277" customWidth="1"/>
    <col min="4" max="4" width="28.81640625" style="374" customWidth="1"/>
    <col min="5" max="5" width="18.453125" style="277" customWidth="1"/>
    <col min="6" max="6" width="7.453125" style="277" customWidth="1"/>
    <col min="7" max="8" width="33.453125" style="348" customWidth="1"/>
    <col min="9" max="9" width="9" style="149" customWidth="1"/>
    <col min="10" max="10" width="9" style="277" customWidth="1"/>
    <col min="11" max="13" width="77.453125" style="277" customWidth="1"/>
    <col min="14" max="16" width="10.54296875" style="277" customWidth="1"/>
    <col min="17" max="16384" width="8.81640625" style="277"/>
  </cols>
  <sheetData>
    <row r="1" spans="2:16" ht="23.5">
      <c r="B1" s="342"/>
      <c r="G1" s="343"/>
      <c r="H1" s="343"/>
      <c r="I1" s="344"/>
      <c r="J1" s="345"/>
      <c r="K1" s="345"/>
      <c r="L1" s="345"/>
      <c r="M1" s="346"/>
      <c r="N1" s="578"/>
      <c r="O1" s="579"/>
      <c r="P1" s="579"/>
    </row>
    <row r="2" spans="2:16" ht="37">
      <c r="B2" s="342"/>
      <c r="C2" s="347" t="s">
        <v>465</v>
      </c>
      <c r="D2" s="370"/>
      <c r="E2" s="342"/>
      <c r="F2" s="342"/>
      <c r="G2" s="345"/>
      <c r="H2" s="345"/>
      <c r="I2" s="344"/>
      <c r="J2" s="345"/>
      <c r="K2" s="345"/>
      <c r="L2" s="345"/>
      <c r="M2" s="345"/>
      <c r="N2" s="345"/>
      <c r="O2" s="345"/>
      <c r="P2" s="345"/>
    </row>
    <row r="3" spans="2:16">
      <c r="B3" s="342"/>
      <c r="C3" s="342"/>
      <c r="D3" s="370"/>
    </row>
    <row r="4" spans="2:16" ht="59.25" customHeight="1">
      <c r="B4" s="342"/>
      <c r="C4" s="349" t="s">
        <v>2</v>
      </c>
      <c r="D4" s="580"/>
      <c r="E4" s="581"/>
      <c r="F4" s="350"/>
      <c r="N4" s="586"/>
      <c r="O4" s="587"/>
      <c r="P4" s="587"/>
    </row>
    <row r="5" spans="2:16">
      <c r="B5" s="342"/>
      <c r="C5" s="342"/>
      <c r="D5" s="370"/>
      <c r="E5" s="346"/>
      <c r="F5" s="346"/>
      <c r="G5" s="351"/>
      <c r="H5" s="351"/>
      <c r="I5" s="352"/>
      <c r="J5" s="353"/>
      <c r="K5" s="353"/>
      <c r="L5" s="353"/>
      <c r="M5" s="353"/>
      <c r="N5" s="353"/>
      <c r="O5" s="353"/>
      <c r="P5" s="353"/>
    </row>
    <row r="6" spans="2:16" ht="18.75" customHeight="1">
      <c r="B6" s="342"/>
      <c r="C6" s="584" t="s">
        <v>40</v>
      </c>
      <c r="D6" s="582" t="s">
        <v>41</v>
      </c>
      <c r="E6" s="583" t="s">
        <v>42</v>
      </c>
      <c r="F6" s="591" t="s">
        <v>466</v>
      </c>
      <c r="G6" s="583" t="s">
        <v>43</v>
      </c>
      <c r="H6" s="583" t="s">
        <v>44</v>
      </c>
      <c r="I6" s="354" t="s">
        <v>467</v>
      </c>
      <c r="J6" s="355">
        <v>2028</v>
      </c>
      <c r="K6" s="583" t="s">
        <v>47</v>
      </c>
      <c r="L6" s="584" t="s">
        <v>468</v>
      </c>
      <c r="M6" s="583" t="s">
        <v>49</v>
      </c>
      <c r="N6" s="583" t="s">
        <v>50</v>
      </c>
      <c r="O6" s="583"/>
      <c r="P6" s="583"/>
    </row>
    <row r="7" spans="2:16" ht="18.75" customHeight="1">
      <c r="B7" s="342"/>
      <c r="C7" s="583"/>
      <c r="D7" s="582"/>
      <c r="E7" s="583"/>
      <c r="F7" s="592"/>
      <c r="G7" s="583"/>
      <c r="H7" s="583"/>
      <c r="I7" s="585">
        <v>2025</v>
      </c>
      <c r="J7" s="356" t="s">
        <v>469</v>
      </c>
      <c r="K7" s="583"/>
      <c r="L7" s="583"/>
      <c r="M7" s="583"/>
      <c r="N7" s="583" t="s">
        <v>51</v>
      </c>
      <c r="O7" s="584" t="s">
        <v>52</v>
      </c>
      <c r="P7" s="583" t="s">
        <v>53</v>
      </c>
    </row>
    <row r="8" spans="2:16" ht="14.5" customHeight="1">
      <c r="B8" s="342"/>
      <c r="C8" s="583"/>
      <c r="D8" s="582"/>
      <c r="E8" s="583"/>
      <c r="F8" s="593"/>
      <c r="G8" s="583"/>
      <c r="H8" s="583"/>
      <c r="I8" s="585"/>
      <c r="J8" s="356"/>
      <c r="K8" s="583"/>
      <c r="L8" s="583"/>
      <c r="M8" s="583"/>
      <c r="N8" s="583"/>
      <c r="O8" s="583"/>
      <c r="P8" s="583"/>
    </row>
    <row r="9" spans="2:16" customFormat="1" ht="46" customHeight="1">
      <c r="B9" s="35"/>
      <c r="C9" s="457" t="s">
        <v>231</v>
      </c>
      <c r="D9" s="461" t="s">
        <v>470</v>
      </c>
      <c r="E9" s="456" t="s">
        <v>56</v>
      </c>
      <c r="F9" s="173">
        <v>1</v>
      </c>
      <c r="G9" s="259" t="s">
        <v>232</v>
      </c>
      <c r="H9" s="24" t="s">
        <v>471</v>
      </c>
      <c r="I9" s="146" t="str">
        <f>'DP overall'!X16</f>
        <v>A</v>
      </c>
      <c r="J9" s="74"/>
      <c r="K9" s="135"/>
      <c r="L9" s="74"/>
      <c r="M9" s="135"/>
      <c r="N9" s="74"/>
      <c r="O9" s="74"/>
      <c r="P9" s="42"/>
    </row>
    <row r="10" spans="2:16" customFormat="1" ht="46" customHeight="1">
      <c r="B10" s="35"/>
      <c r="C10" s="457"/>
      <c r="D10" s="461"/>
      <c r="E10" s="456"/>
      <c r="F10" s="173">
        <v>2</v>
      </c>
      <c r="G10" s="260" t="s">
        <v>240</v>
      </c>
      <c r="H10" s="24" t="s">
        <v>472</v>
      </c>
      <c r="I10" s="146" t="str">
        <f>'DP overall'!X17</f>
        <v>A</v>
      </c>
      <c r="J10" s="74"/>
      <c r="K10" s="135"/>
      <c r="L10" s="135"/>
      <c r="M10" s="135"/>
      <c r="N10" s="74"/>
      <c r="O10" s="74"/>
      <c r="P10" s="42"/>
    </row>
    <row r="11" spans="2:16" ht="46" customHeight="1">
      <c r="C11" s="457"/>
      <c r="D11" s="461"/>
      <c r="E11" s="456"/>
      <c r="F11" s="173">
        <v>3</v>
      </c>
      <c r="G11" s="339" t="s">
        <v>246</v>
      </c>
      <c r="H11" s="281" t="s">
        <v>471</v>
      </c>
      <c r="I11" s="357" t="str">
        <f>'DP overall'!X18</f>
        <v>A</v>
      </c>
      <c r="J11" s="358"/>
      <c r="K11" s="359"/>
      <c r="L11" s="359"/>
      <c r="M11" s="360"/>
      <c r="N11" s="358"/>
      <c r="O11" s="361"/>
      <c r="P11" s="362"/>
    </row>
    <row r="12" spans="2:16" customFormat="1" ht="46" customHeight="1">
      <c r="C12" s="457"/>
      <c r="D12" s="461"/>
      <c r="E12" s="456"/>
      <c r="F12" s="173">
        <v>4</v>
      </c>
      <c r="G12" s="339" t="s">
        <v>252</v>
      </c>
      <c r="H12" s="24" t="s">
        <v>472</v>
      </c>
      <c r="I12" s="146" t="str">
        <f>'DP overall'!X19</f>
        <v>A</v>
      </c>
      <c r="J12" s="74"/>
      <c r="K12" s="135"/>
      <c r="L12" s="135"/>
      <c r="M12" s="135"/>
      <c r="N12" s="74"/>
      <c r="O12" s="74"/>
      <c r="P12" s="74"/>
    </row>
    <row r="13" spans="2:16" customFormat="1" ht="46" customHeight="1">
      <c r="C13" s="457" t="s">
        <v>258</v>
      </c>
      <c r="D13" s="461" t="s">
        <v>79</v>
      </c>
      <c r="E13" s="456" t="s">
        <v>139</v>
      </c>
      <c r="F13" s="173">
        <v>5</v>
      </c>
      <c r="G13" s="260" t="s">
        <v>259</v>
      </c>
      <c r="H13" s="24" t="s">
        <v>472</v>
      </c>
      <c r="I13" s="146" t="str">
        <f>'DP overall'!X20</f>
        <v>A</v>
      </c>
      <c r="J13" s="74"/>
      <c r="K13" s="46"/>
      <c r="L13" s="139"/>
      <c r="M13" s="46"/>
      <c r="N13" s="42"/>
      <c r="O13" s="74"/>
      <c r="P13" s="42"/>
    </row>
    <row r="14" spans="2:16" customFormat="1" ht="46" customHeight="1">
      <c r="C14" s="457"/>
      <c r="D14" s="461"/>
      <c r="E14" s="456"/>
      <c r="F14" s="173">
        <v>6</v>
      </c>
      <c r="G14" s="260" t="s">
        <v>265</v>
      </c>
      <c r="H14" s="24" t="s">
        <v>472</v>
      </c>
      <c r="I14" s="146" t="str">
        <f>'DP overall'!X21</f>
        <v>A</v>
      </c>
      <c r="J14" s="74"/>
      <c r="K14" s="46"/>
      <c r="L14" s="46"/>
      <c r="M14" s="46"/>
      <c r="N14" s="42"/>
      <c r="O14" s="74"/>
      <c r="P14" s="42"/>
    </row>
    <row r="15" spans="2:16" customFormat="1" ht="46" customHeight="1">
      <c r="C15" s="457"/>
      <c r="D15" s="461"/>
      <c r="E15" s="456"/>
      <c r="F15" s="173">
        <v>7</v>
      </c>
      <c r="G15" s="260" t="s">
        <v>271</v>
      </c>
      <c r="H15" s="24" t="s">
        <v>472</v>
      </c>
      <c r="I15" s="146" t="str">
        <f>'DP overall'!X22</f>
        <v>A</v>
      </c>
      <c r="J15" s="74"/>
      <c r="K15" s="135"/>
      <c r="L15" s="74"/>
      <c r="M15" s="135"/>
      <c r="N15" s="74"/>
      <c r="O15" s="74"/>
      <c r="P15" s="42"/>
    </row>
    <row r="16" spans="2:16" customFormat="1" ht="46" customHeight="1">
      <c r="C16" s="457"/>
      <c r="D16" s="461"/>
      <c r="E16" s="456"/>
      <c r="F16" s="173">
        <v>8</v>
      </c>
      <c r="G16" s="260" t="s">
        <v>277</v>
      </c>
      <c r="H16" s="24" t="s">
        <v>472</v>
      </c>
      <c r="I16" s="146" t="str">
        <f>'DP overall'!X23</f>
        <v>A</v>
      </c>
      <c r="J16" s="74"/>
      <c r="K16" s="135"/>
      <c r="L16" s="74"/>
      <c r="M16" s="135"/>
      <c r="N16" s="74"/>
      <c r="O16" s="42"/>
      <c r="P16" s="42"/>
    </row>
    <row r="17" spans="3:16" customFormat="1" ht="46" customHeight="1">
      <c r="C17" s="457"/>
      <c r="D17" s="461"/>
      <c r="E17" s="456"/>
      <c r="F17" s="173">
        <v>9</v>
      </c>
      <c r="G17" s="339" t="s">
        <v>283</v>
      </c>
      <c r="H17" s="24" t="s">
        <v>472</v>
      </c>
      <c r="I17" s="146" t="str">
        <f>'DP overall'!X24</f>
        <v>A</v>
      </c>
      <c r="J17" s="74"/>
      <c r="K17" s="135"/>
      <c r="L17" s="74"/>
      <c r="M17" s="135"/>
      <c r="N17" s="74"/>
      <c r="O17" s="42"/>
      <c r="P17" s="42"/>
    </row>
    <row r="18" spans="3:16" customFormat="1" ht="46" customHeight="1">
      <c r="C18" s="456" t="s">
        <v>101</v>
      </c>
      <c r="D18" s="461" t="s">
        <v>102</v>
      </c>
      <c r="E18" s="456" t="s">
        <v>103</v>
      </c>
      <c r="F18" s="173">
        <v>10</v>
      </c>
      <c r="G18" s="260" t="s">
        <v>290</v>
      </c>
      <c r="H18" s="24" t="s">
        <v>471</v>
      </c>
      <c r="I18" s="146" t="str">
        <f>'DP overall'!X25</f>
        <v>A</v>
      </c>
      <c r="J18" s="74"/>
      <c r="K18" s="135"/>
      <c r="L18" s="74"/>
      <c r="M18" s="135"/>
      <c r="N18" s="74"/>
      <c r="O18" s="74"/>
      <c r="P18" s="74"/>
    </row>
    <row r="19" spans="3:16" customFormat="1" ht="46" customHeight="1">
      <c r="C19" s="456"/>
      <c r="D19" s="462"/>
      <c r="E19" s="456"/>
      <c r="F19" s="173">
        <v>11</v>
      </c>
      <c r="G19" s="261" t="s">
        <v>296</v>
      </c>
      <c r="H19" s="24" t="s">
        <v>471</v>
      </c>
      <c r="I19" s="146" t="str">
        <f>'DP overall'!X26</f>
        <v>A</v>
      </c>
      <c r="J19" s="74"/>
      <c r="K19" s="137"/>
      <c r="L19" s="135"/>
      <c r="M19" s="135"/>
      <c r="N19" s="74"/>
      <c r="O19" s="74"/>
      <c r="P19" s="74"/>
    </row>
    <row r="20" spans="3:16" customFormat="1" ht="46" customHeight="1">
      <c r="C20" s="456"/>
      <c r="D20" s="462"/>
      <c r="E20" s="456"/>
      <c r="F20" s="173">
        <v>12</v>
      </c>
      <c r="G20" s="261" t="s">
        <v>301</v>
      </c>
      <c r="H20" s="24" t="s">
        <v>471</v>
      </c>
      <c r="I20" s="146" t="str">
        <f>'DP overall'!X27</f>
        <v>A</v>
      </c>
      <c r="J20" s="74"/>
      <c r="K20" s="46"/>
      <c r="L20" s="46"/>
      <c r="M20" s="46"/>
      <c r="N20" s="42"/>
      <c r="O20" s="74"/>
      <c r="P20" s="74"/>
    </row>
    <row r="21" spans="3:16" customFormat="1" ht="46" customHeight="1">
      <c r="C21" s="456" t="s">
        <v>117</v>
      </c>
      <c r="D21" s="462" t="s">
        <v>118</v>
      </c>
      <c r="E21" s="456" t="s">
        <v>103</v>
      </c>
      <c r="F21" s="173">
        <v>13</v>
      </c>
      <c r="G21" s="339" t="s">
        <v>308</v>
      </c>
      <c r="H21" s="24" t="s">
        <v>472</v>
      </c>
      <c r="I21" s="146" t="str">
        <f>'DP overall'!X28</f>
        <v>A</v>
      </c>
      <c r="J21" s="74"/>
      <c r="K21" s="135"/>
      <c r="L21" s="135"/>
      <c r="M21" s="135"/>
      <c r="N21" s="42"/>
      <c r="O21" s="74"/>
      <c r="P21" s="42"/>
    </row>
    <row r="22" spans="3:16" customFormat="1" ht="46" customHeight="1">
      <c r="C22" s="456"/>
      <c r="D22" s="462"/>
      <c r="E22" s="456"/>
      <c r="F22" s="173">
        <v>14</v>
      </c>
      <c r="G22" s="339" t="s">
        <v>314</v>
      </c>
      <c r="H22" s="24" t="s">
        <v>22</v>
      </c>
      <c r="I22" s="146" t="str">
        <f>'DP overall'!X29</f>
        <v>A</v>
      </c>
      <c r="J22" s="74"/>
      <c r="K22" s="135"/>
      <c r="L22" s="74"/>
      <c r="M22" s="135"/>
      <c r="N22" s="74"/>
      <c r="O22" s="74"/>
      <c r="P22" s="42"/>
    </row>
    <row r="23" spans="3:16" customFormat="1" ht="46" hidden="1" customHeight="1">
      <c r="C23" s="456"/>
      <c r="D23" s="462"/>
      <c r="E23" s="456"/>
      <c r="F23" s="173">
        <v>15</v>
      </c>
      <c r="G23" s="260" t="s">
        <v>473</v>
      </c>
      <c r="H23" s="24" t="s">
        <v>472</v>
      </c>
      <c r="I23" s="146" t="str">
        <f>'DP overall'!X30</f>
        <v>A</v>
      </c>
      <c r="J23" s="74"/>
      <c r="K23" s="135"/>
      <c r="L23" s="135"/>
      <c r="M23" s="135"/>
      <c r="N23" s="74"/>
      <c r="O23" s="74"/>
      <c r="P23" s="74"/>
    </row>
    <row r="24" spans="3:16" customFormat="1" ht="46" customHeight="1">
      <c r="C24" s="456"/>
      <c r="D24" s="462"/>
      <c r="E24" s="456"/>
      <c r="F24" s="173">
        <v>16</v>
      </c>
      <c r="G24" s="261" t="s">
        <v>321</v>
      </c>
      <c r="H24" s="24" t="s">
        <v>474</v>
      </c>
      <c r="I24" s="146" t="str">
        <f>'DP overall'!X31</f>
        <v>A</v>
      </c>
      <c r="J24" s="74"/>
      <c r="K24" s="46"/>
      <c r="L24" s="46"/>
      <c r="M24" s="46"/>
      <c r="N24" s="42"/>
      <c r="O24" s="74"/>
      <c r="P24" s="42"/>
    </row>
    <row r="25" spans="3:16" customFormat="1" ht="46" customHeight="1">
      <c r="C25" s="456"/>
      <c r="D25" s="462"/>
      <c r="E25" s="456"/>
      <c r="F25" s="173">
        <v>17</v>
      </c>
      <c r="G25" s="261" t="s">
        <v>329</v>
      </c>
      <c r="H25" s="24" t="s">
        <v>474</v>
      </c>
      <c r="I25" s="146" t="str">
        <f>'DP overall'!X32</f>
        <v>A</v>
      </c>
      <c r="J25" s="74"/>
      <c r="K25" s="135"/>
      <c r="L25" s="74"/>
      <c r="M25" s="46"/>
      <c r="N25" s="74"/>
      <c r="O25" s="42"/>
      <c r="P25" s="42"/>
    </row>
    <row r="26" spans="3:16" ht="94.5" customHeight="1">
      <c r="C26" s="456"/>
      <c r="D26" s="462"/>
      <c r="E26" s="456"/>
      <c r="F26" s="173">
        <v>18</v>
      </c>
      <c r="G26" s="340" t="s">
        <v>335</v>
      </c>
      <c r="H26" s="281" t="s">
        <v>474</v>
      </c>
      <c r="I26" s="146" t="str">
        <f>'DP overall'!X33</f>
        <v>A</v>
      </c>
      <c r="J26" s="358"/>
      <c r="K26" s="359"/>
      <c r="L26" s="359"/>
      <c r="M26" s="363"/>
      <c r="N26" s="358"/>
      <c r="O26" s="364"/>
      <c r="P26" s="364"/>
    </row>
    <row r="27" spans="3:16" customFormat="1" ht="46" customHeight="1">
      <c r="C27" s="456"/>
      <c r="D27" s="462"/>
      <c r="E27" s="456"/>
      <c r="F27" s="173">
        <v>19</v>
      </c>
      <c r="G27" s="261" t="s">
        <v>341</v>
      </c>
      <c r="H27" s="24" t="s">
        <v>474</v>
      </c>
      <c r="I27" s="146" t="str">
        <f>'DP overall'!X34</f>
        <v>A</v>
      </c>
      <c r="J27" s="74"/>
      <c r="K27" s="135"/>
      <c r="L27" s="74"/>
      <c r="M27" s="135"/>
      <c r="N27" s="74"/>
      <c r="O27" s="42"/>
      <c r="P27" s="42"/>
    </row>
    <row r="28" spans="3:16" customFormat="1" ht="46" customHeight="1">
      <c r="C28" s="456"/>
      <c r="D28" s="462"/>
      <c r="E28" s="456"/>
      <c r="F28" s="173">
        <v>20</v>
      </c>
      <c r="G28" s="261" t="s">
        <v>347</v>
      </c>
      <c r="H28" s="24" t="s">
        <v>474</v>
      </c>
      <c r="I28" s="146" t="str">
        <f>'DP overall'!X35</f>
        <v>A</v>
      </c>
      <c r="J28" s="74"/>
      <c r="K28" s="135"/>
      <c r="L28" s="74"/>
      <c r="M28" s="135"/>
      <c r="N28" s="74"/>
      <c r="O28" s="42"/>
      <c r="P28" s="42"/>
    </row>
    <row r="29" spans="3:16" ht="113.5" customHeight="1">
      <c r="C29" s="456"/>
      <c r="D29" s="462"/>
      <c r="E29" s="456"/>
      <c r="F29" s="173">
        <v>21</v>
      </c>
      <c r="G29" s="340" t="s">
        <v>353</v>
      </c>
      <c r="H29" s="281" t="s">
        <v>474</v>
      </c>
      <c r="I29" s="146" t="str">
        <f>'DP overall'!X36</f>
        <v>A</v>
      </c>
      <c r="J29" s="358"/>
      <c r="K29" s="359"/>
      <c r="L29" s="359"/>
      <c r="M29" s="359"/>
      <c r="N29" s="358"/>
      <c r="O29" s="364"/>
      <c r="P29" s="364"/>
    </row>
    <row r="30" spans="3:16" customFormat="1" ht="46" customHeight="1">
      <c r="C30" s="456"/>
      <c r="D30" s="462"/>
      <c r="E30" s="456"/>
      <c r="F30" s="173">
        <v>22</v>
      </c>
      <c r="G30" s="340" t="s">
        <v>359</v>
      </c>
      <c r="H30" s="24" t="s">
        <v>474</v>
      </c>
      <c r="I30" s="146" t="str">
        <f>'DP overall'!X37</f>
        <v>A</v>
      </c>
      <c r="J30" s="74"/>
      <c r="K30" s="135"/>
      <c r="L30" s="74"/>
      <c r="M30" s="46"/>
      <c r="N30" s="74"/>
      <c r="O30" s="42"/>
      <c r="P30" s="42"/>
    </row>
    <row r="31" spans="3:16" customFormat="1" ht="46" customHeight="1">
      <c r="C31" s="456"/>
      <c r="D31" s="462"/>
      <c r="E31" s="456"/>
      <c r="F31" s="173">
        <v>23</v>
      </c>
      <c r="G31" s="261" t="s">
        <v>365</v>
      </c>
      <c r="H31" s="24" t="s">
        <v>474</v>
      </c>
      <c r="I31" s="146" t="str">
        <f>'DP overall'!X38</f>
        <v>A</v>
      </c>
      <c r="J31" s="74"/>
      <c r="K31" s="135"/>
      <c r="L31" s="74"/>
      <c r="M31" s="135"/>
      <c r="N31" s="74"/>
      <c r="O31" s="42"/>
      <c r="P31" s="42"/>
    </row>
    <row r="32" spans="3:16" customFormat="1" ht="46" customHeight="1">
      <c r="C32" s="456"/>
      <c r="D32" s="462"/>
      <c r="E32" s="456"/>
      <c r="F32" s="173">
        <v>24</v>
      </c>
      <c r="G32" s="261" t="s">
        <v>371</v>
      </c>
      <c r="H32" s="24" t="s">
        <v>474</v>
      </c>
      <c r="I32" s="146" t="str">
        <f>'DP overall'!X39</f>
        <v>A</v>
      </c>
      <c r="J32" s="74"/>
      <c r="K32" s="135"/>
      <c r="L32" s="74"/>
      <c r="M32" s="135"/>
      <c r="N32" s="74"/>
      <c r="O32" s="42"/>
      <c r="P32" s="42"/>
    </row>
    <row r="33" spans="3:16" customFormat="1" ht="46" customHeight="1">
      <c r="C33" s="456"/>
      <c r="D33" s="462"/>
      <c r="E33" s="456"/>
      <c r="F33" s="173">
        <v>25</v>
      </c>
      <c r="G33" s="340" t="s">
        <v>377</v>
      </c>
      <c r="H33" s="24" t="s">
        <v>474</v>
      </c>
      <c r="I33" s="146" t="str">
        <f>'DP overall'!X40</f>
        <v>A</v>
      </c>
      <c r="J33" s="74"/>
      <c r="K33" s="135"/>
      <c r="L33" s="74"/>
      <c r="M33" s="135"/>
      <c r="N33" s="74"/>
      <c r="O33" s="42"/>
      <c r="P33" s="42"/>
    </row>
    <row r="34" spans="3:16" customFormat="1" ht="46" customHeight="1">
      <c r="C34" s="456"/>
      <c r="D34" s="462"/>
      <c r="E34" s="456"/>
      <c r="F34" s="173">
        <v>26</v>
      </c>
      <c r="G34" s="261" t="s">
        <v>383</v>
      </c>
      <c r="H34" s="24" t="s">
        <v>474</v>
      </c>
      <c r="I34" s="146" t="str">
        <f>'DP overall'!X41</f>
        <v>A</v>
      </c>
      <c r="J34" s="74"/>
      <c r="K34" s="135"/>
      <c r="L34" s="74"/>
      <c r="M34" s="135"/>
      <c r="N34" s="74"/>
      <c r="O34" s="42"/>
      <c r="P34" s="42"/>
    </row>
    <row r="35" spans="3:16" customFormat="1" ht="46" customHeight="1">
      <c r="C35" s="456"/>
      <c r="D35" s="462"/>
      <c r="E35" s="456"/>
      <c r="F35" s="173">
        <v>27</v>
      </c>
      <c r="G35" s="262" t="s">
        <v>389</v>
      </c>
      <c r="H35" s="24" t="s">
        <v>474</v>
      </c>
      <c r="I35" s="146" t="str">
        <f>'DP overall'!X42</f>
        <v>A</v>
      </c>
      <c r="J35" s="74"/>
      <c r="K35" s="137"/>
      <c r="L35" s="371"/>
      <c r="M35" s="137"/>
      <c r="N35" s="74"/>
      <c r="O35" s="42"/>
      <c r="P35" s="42"/>
    </row>
    <row r="36" spans="3:16" customFormat="1" ht="46" customHeight="1">
      <c r="C36" s="456"/>
      <c r="D36" s="462"/>
      <c r="E36" s="456"/>
      <c r="F36" s="173">
        <v>28</v>
      </c>
      <c r="G36" s="262" t="s">
        <v>395</v>
      </c>
      <c r="H36" s="24" t="s">
        <v>474</v>
      </c>
      <c r="I36" s="146" t="str">
        <f>'DP overall'!X43</f>
        <v>A</v>
      </c>
      <c r="J36" s="74"/>
      <c r="K36" s="372"/>
      <c r="L36" s="372"/>
      <c r="M36" s="372"/>
      <c r="N36" s="42"/>
      <c r="O36" s="42"/>
      <c r="P36" s="42"/>
    </row>
    <row r="37" spans="3:16" ht="66" customHeight="1">
      <c r="C37" s="456"/>
      <c r="D37" s="462"/>
      <c r="E37" s="456"/>
      <c r="F37" s="173">
        <v>29</v>
      </c>
      <c r="G37" s="341" t="s">
        <v>401</v>
      </c>
      <c r="H37" s="281" t="s">
        <v>474</v>
      </c>
      <c r="I37" s="146" t="str">
        <f>'DP overall'!X44</f>
        <v>A</v>
      </c>
      <c r="J37" s="358"/>
      <c r="K37" s="373"/>
      <c r="L37" s="373"/>
      <c r="M37" s="373"/>
      <c r="N37" s="364"/>
      <c r="O37" s="364"/>
      <c r="P37" s="364"/>
    </row>
    <row r="38" spans="3:16" customFormat="1" ht="46" customHeight="1">
      <c r="C38" s="456"/>
      <c r="D38" s="462"/>
      <c r="E38" s="456"/>
      <c r="F38" s="173">
        <v>30</v>
      </c>
      <c r="G38" s="262" t="s">
        <v>407</v>
      </c>
      <c r="H38" s="24" t="s">
        <v>474</v>
      </c>
      <c r="I38" s="146" t="str">
        <f>'DP overall'!X45</f>
        <v>A</v>
      </c>
      <c r="J38" s="74"/>
      <c r="K38" s="372"/>
      <c r="L38" s="372"/>
      <c r="M38" s="372"/>
      <c r="N38" s="42"/>
      <c r="O38" s="42"/>
      <c r="P38" s="42"/>
    </row>
    <row r="39" spans="3:16" customFormat="1" ht="46" customHeight="1">
      <c r="C39" s="547" t="s">
        <v>172</v>
      </c>
      <c r="D39" s="588" t="s">
        <v>173</v>
      </c>
      <c r="E39" s="547" t="s">
        <v>174</v>
      </c>
      <c r="F39" s="173">
        <v>31</v>
      </c>
      <c r="G39" s="260" t="s">
        <v>414</v>
      </c>
      <c r="H39" s="24" t="s">
        <v>471</v>
      </c>
      <c r="I39" s="146" t="str">
        <f>'DP overall'!X46</f>
        <v>A</v>
      </c>
      <c r="J39" s="74"/>
      <c r="K39" s="137"/>
      <c r="L39" s="371"/>
      <c r="M39" s="137"/>
      <c r="N39" s="74"/>
      <c r="O39" s="42"/>
      <c r="P39" s="42"/>
    </row>
    <row r="40" spans="3:16" ht="46" customHeight="1">
      <c r="C40" s="548"/>
      <c r="D40" s="589"/>
      <c r="E40" s="548"/>
      <c r="F40" s="173">
        <v>32</v>
      </c>
      <c r="G40" s="339" t="s">
        <v>419</v>
      </c>
      <c r="H40" s="281" t="s">
        <v>471</v>
      </c>
      <c r="I40" s="146" t="str">
        <f>'DP overall'!X47</f>
        <v>A</v>
      </c>
      <c r="J40" s="364"/>
      <c r="K40" s="373"/>
      <c r="L40" s="373"/>
      <c r="M40" s="373"/>
      <c r="N40" s="364"/>
      <c r="O40" s="364"/>
      <c r="P40" s="364"/>
    </row>
    <row r="41" spans="3:16" customFormat="1" ht="46" customHeight="1">
      <c r="C41" s="556"/>
      <c r="D41" s="590"/>
      <c r="E41" s="556"/>
      <c r="F41" s="173">
        <v>33</v>
      </c>
      <c r="G41" s="263" t="s">
        <v>423</v>
      </c>
      <c r="H41" s="24" t="s">
        <v>471</v>
      </c>
      <c r="I41" s="146">
        <f>'DP overall'!X48</f>
        <v>0</v>
      </c>
      <c r="J41" s="74"/>
      <c r="K41" s="135"/>
      <c r="L41" s="135"/>
      <c r="M41" s="135"/>
      <c r="N41" s="74"/>
      <c r="O41" s="74"/>
      <c r="P41" s="42"/>
    </row>
    <row r="42" spans="3:16">
      <c r="C42" s="342"/>
      <c r="D42" s="370"/>
      <c r="E42" s="342"/>
      <c r="F42" s="342"/>
      <c r="G42" s="345"/>
      <c r="H42" s="345"/>
      <c r="I42" s="344"/>
      <c r="J42" s="344"/>
      <c r="K42" s="345"/>
      <c r="L42" s="345"/>
      <c r="M42" s="345"/>
      <c r="N42" s="345"/>
      <c r="O42" s="345"/>
      <c r="P42" s="345"/>
    </row>
    <row r="43" spans="3:16">
      <c r="C43" s="342"/>
      <c r="D43" s="370"/>
      <c r="E43" s="342"/>
      <c r="F43" s="342"/>
      <c r="G43" s="345"/>
      <c r="H43" s="345"/>
      <c r="I43" s="344"/>
      <c r="J43" s="344"/>
      <c r="K43" s="345"/>
      <c r="L43" s="345"/>
      <c r="M43" s="345"/>
      <c r="N43" s="345"/>
      <c r="O43" s="345"/>
      <c r="P43" s="345"/>
    </row>
    <row r="44" spans="3:16">
      <c r="C44" s="342"/>
      <c r="D44" s="370"/>
      <c r="E44" s="342"/>
      <c r="F44" s="342"/>
      <c r="G44" s="345"/>
      <c r="H44" s="345"/>
      <c r="I44" s="344"/>
      <c r="J44" s="344"/>
      <c r="K44" s="345"/>
      <c r="L44" s="345"/>
      <c r="M44" s="345"/>
      <c r="N44" s="345"/>
      <c r="O44" s="345"/>
      <c r="P44" s="345"/>
    </row>
    <row r="45" spans="3:16" ht="66" customHeight="1">
      <c r="C45" s="342"/>
      <c r="D45" s="370"/>
      <c r="E45" s="342"/>
      <c r="F45" s="342"/>
      <c r="G45" s="365"/>
      <c r="H45" s="365"/>
      <c r="I45" s="344"/>
      <c r="J45" s="344"/>
      <c r="K45" s="345"/>
      <c r="L45" s="344"/>
      <c r="M45" s="345"/>
      <c r="N45" s="345"/>
      <c r="O45" s="345"/>
      <c r="P45" s="345"/>
    </row>
    <row r="46" spans="3:16" ht="66" customHeight="1">
      <c r="C46" s="342"/>
      <c r="D46" s="370"/>
      <c r="E46" s="342"/>
      <c r="F46" s="342"/>
      <c r="G46" s="365"/>
      <c r="H46" s="365"/>
      <c r="I46" s="344"/>
      <c r="J46" s="344"/>
      <c r="K46" s="345"/>
      <c r="L46" s="344"/>
      <c r="M46" s="345"/>
      <c r="N46" s="345"/>
      <c r="O46" s="345"/>
      <c r="P46" s="345"/>
    </row>
    <row r="47" spans="3:16" ht="82.5" customHeight="1">
      <c r="C47" s="342"/>
      <c r="D47" s="370"/>
      <c r="E47" s="342"/>
      <c r="F47" s="342"/>
      <c r="G47" s="365"/>
      <c r="H47" s="365"/>
      <c r="I47" s="366"/>
      <c r="J47" s="365"/>
      <c r="K47" s="365"/>
      <c r="L47" s="365"/>
      <c r="M47" s="365"/>
      <c r="N47" s="365"/>
      <c r="O47" s="365"/>
      <c r="P47" s="365"/>
    </row>
    <row r="48" spans="3:16" ht="82.5" customHeight="1">
      <c r="C48" s="342"/>
      <c r="D48" s="370"/>
      <c r="E48" s="342"/>
      <c r="F48" s="342"/>
      <c r="G48" s="365"/>
      <c r="H48" s="365"/>
      <c r="I48" s="366"/>
      <c r="J48" s="365"/>
      <c r="K48" s="365"/>
      <c r="L48" s="365"/>
      <c r="M48" s="365"/>
      <c r="N48" s="365"/>
      <c r="O48" s="365"/>
      <c r="P48" s="365"/>
    </row>
    <row r="49" spans="3:16" ht="18.75" customHeight="1">
      <c r="C49" s="342"/>
      <c r="D49" s="370"/>
      <c r="E49" s="342"/>
      <c r="F49" s="342"/>
      <c r="G49" s="365"/>
      <c r="H49" s="365"/>
      <c r="I49" s="366"/>
      <c r="J49" s="365"/>
      <c r="K49" s="365"/>
      <c r="L49" s="365"/>
      <c r="M49" s="365"/>
      <c r="N49" s="365"/>
      <c r="O49" s="365"/>
      <c r="P49" s="365"/>
    </row>
    <row r="50" spans="3:16" ht="18.75" customHeight="1">
      <c r="C50" s="342"/>
      <c r="D50" s="370"/>
      <c r="E50" s="342"/>
      <c r="F50" s="342"/>
      <c r="G50" s="365"/>
      <c r="H50" s="365"/>
      <c r="I50" s="366"/>
      <c r="J50" s="365"/>
      <c r="K50" s="365"/>
      <c r="L50" s="365"/>
      <c r="M50" s="365"/>
      <c r="N50" s="365"/>
      <c r="O50" s="365"/>
      <c r="P50" s="365"/>
    </row>
    <row r="51" spans="3:16" ht="18.75" customHeight="1">
      <c r="G51" s="365"/>
      <c r="H51" s="365"/>
      <c r="I51" s="366"/>
      <c r="J51" s="365"/>
      <c r="K51" s="365"/>
      <c r="L51" s="365"/>
      <c r="M51" s="365"/>
      <c r="N51" s="365"/>
      <c r="O51" s="365"/>
      <c r="P51" s="365"/>
    </row>
    <row r="52" spans="3:16" ht="337.5" customHeight="1">
      <c r="C52" s="367" t="s">
        <v>475</v>
      </c>
      <c r="G52" s="365"/>
      <c r="H52" s="365"/>
      <c r="I52" s="366"/>
      <c r="J52" s="366"/>
      <c r="K52" s="365"/>
      <c r="L52" s="365"/>
      <c r="M52" s="365"/>
      <c r="N52" s="365"/>
      <c r="O52" s="365"/>
      <c r="P52" s="365"/>
    </row>
    <row r="53" spans="3:16" ht="409.5" customHeight="1">
      <c r="C53" s="367" t="s">
        <v>476</v>
      </c>
      <c r="G53" s="368"/>
      <c r="H53" s="368"/>
      <c r="I53" s="366"/>
      <c r="J53" s="366"/>
      <c r="K53" s="365"/>
      <c r="L53" s="365"/>
      <c r="M53" s="365"/>
      <c r="N53" s="365"/>
      <c r="O53" s="365"/>
      <c r="P53" s="365"/>
    </row>
    <row r="54" spans="3:16" ht="18.75" customHeight="1">
      <c r="G54" s="368"/>
      <c r="H54" s="368"/>
      <c r="I54" s="366"/>
      <c r="J54" s="366"/>
      <c r="K54" s="365"/>
      <c r="L54" s="365"/>
      <c r="M54" s="365"/>
      <c r="N54" s="365"/>
      <c r="O54" s="365"/>
      <c r="P54" s="365"/>
    </row>
    <row r="55" spans="3:16">
      <c r="G55" s="345"/>
      <c r="H55" s="345"/>
      <c r="I55" s="369"/>
      <c r="J55" s="369"/>
      <c r="K55" s="368"/>
      <c r="L55" s="368"/>
      <c r="M55" s="368"/>
      <c r="N55" s="368"/>
      <c r="O55" s="368"/>
      <c r="P55" s="368"/>
    </row>
    <row r="56" spans="3:16">
      <c r="I56" s="369"/>
      <c r="J56" s="369"/>
      <c r="K56" s="368"/>
      <c r="L56" s="368"/>
      <c r="M56" s="368"/>
      <c r="N56" s="368"/>
      <c r="O56" s="368"/>
      <c r="P56" s="368"/>
    </row>
    <row r="57" spans="3:16">
      <c r="I57" s="344"/>
      <c r="J57" s="344"/>
      <c r="K57" s="345"/>
      <c r="L57" s="344"/>
      <c r="M57" s="345"/>
      <c r="N57" s="344"/>
      <c r="O57" s="344"/>
      <c r="P57" s="344"/>
    </row>
    <row r="58" spans="3:16">
      <c r="E58" s="367"/>
      <c r="F58" s="367"/>
      <c r="J58" s="149"/>
      <c r="L58" s="149"/>
      <c r="N58" s="149"/>
      <c r="O58" s="149"/>
      <c r="P58" s="149"/>
    </row>
    <row r="59" spans="3:16">
      <c r="J59" s="149"/>
      <c r="L59" s="149"/>
      <c r="N59" s="149"/>
      <c r="O59" s="149"/>
      <c r="P59" s="149"/>
    </row>
    <row r="60" spans="3:16">
      <c r="J60" s="149"/>
      <c r="L60" s="149"/>
      <c r="N60" s="149"/>
      <c r="O60" s="149"/>
      <c r="P60" s="149"/>
    </row>
    <row r="61" spans="3:16">
      <c r="J61" s="149"/>
      <c r="L61" s="149"/>
      <c r="N61" s="149"/>
      <c r="O61" s="149"/>
      <c r="P61" s="149"/>
    </row>
    <row r="62" spans="3:16">
      <c r="J62" s="149"/>
      <c r="P62" s="149"/>
    </row>
    <row r="63" spans="3:16">
      <c r="J63" s="149"/>
      <c r="P63" s="149"/>
    </row>
    <row r="64" spans="3:16">
      <c r="J64" s="149"/>
      <c r="P64" s="149"/>
    </row>
    <row r="65" spans="10:16">
      <c r="J65" s="149"/>
      <c r="P65" s="149"/>
    </row>
    <row r="66" spans="10:16">
      <c r="J66" s="149"/>
      <c r="P66" s="149"/>
    </row>
    <row r="67" spans="10:16">
      <c r="J67" s="149"/>
    </row>
    <row r="68" spans="10:16">
      <c r="J68" s="149"/>
    </row>
    <row r="69" spans="10:16">
      <c r="J69" s="149"/>
    </row>
    <row r="70" spans="10:16">
      <c r="J70" s="149"/>
    </row>
    <row r="71" spans="10:16">
      <c r="J71" s="149"/>
      <c r="L71" s="149"/>
    </row>
    <row r="72" spans="10:16">
      <c r="J72" s="149"/>
      <c r="L72" s="149"/>
    </row>
  </sheetData>
  <autoFilter ref="B8:P41" xr:uid="{D225CF40-C7D7-4D37-B9B1-50270664B72F}"/>
  <mergeCells count="32">
    <mergeCell ref="C18:C20"/>
    <mergeCell ref="D18:D20"/>
    <mergeCell ref="E18:E20"/>
    <mergeCell ref="D13:D17"/>
    <mergeCell ref="C13:C17"/>
    <mergeCell ref="E13:E17"/>
    <mergeCell ref="C9:C12"/>
    <mergeCell ref="E9:E12"/>
    <mergeCell ref="C6:C8"/>
    <mergeCell ref="D9:D12"/>
    <mergeCell ref="G6:G8"/>
    <mergeCell ref="F6:F8"/>
    <mergeCell ref="C39:C41"/>
    <mergeCell ref="D39:D41"/>
    <mergeCell ref="E39:E41"/>
    <mergeCell ref="C21:C38"/>
    <mergeCell ref="D21:D38"/>
    <mergeCell ref="E21:E38"/>
    <mergeCell ref="N1:P1"/>
    <mergeCell ref="D4:E4"/>
    <mergeCell ref="D6:D8"/>
    <mergeCell ref="E6:E8"/>
    <mergeCell ref="K6:K8"/>
    <mergeCell ref="L6:L8"/>
    <mergeCell ref="M6:M8"/>
    <mergeCell ref="I7:I8"/>
    <mergeCell ref="N7:N8"/>
    <mergeCell ref="N4:P4"/>
    <mergeCell ref="N6:P6"/>
    <mergeCell ref="O7:O8"/>
    <mergeCell ref="P7:P8"/>
    <mergeCell ref="H6:H8"/>
  </mergeCells>
  <phoneticPr fontId="6"/>
  <pageMargins left="0.23622047244094491" right="0.23622047244094491" top="0.15748031496062992" bottom="0.15748031496062992" header="0.31496062992125984" footer="0.31496062992125984"/>
  <pageSetup paperSize="8" scale="47"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D078-4D04-41DC-A05A-484B56C1E842}">
  <dimension ref="A1"/>
  <sheetViews>
    <sheetView workbookViewId="0"/>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A26D9-49C5-4921-9234-C2EE2CC912C1}">
  <sheetPr>
    <tabColor rgb="FFFFC000"/>
  </sheetPr>
  <dimension ref="B1:AG71"/>
  <sheetViews>
    <sheetView topLeftCell="K19" zoomScale="115" zoomScaleNormal="115" workbookViewId="0">
      <selection activeCell="K19" sqref="K19"/>
    </sheetView>
  </sheetViews>
  <sheetFormatPr defaultColWidth="8.54296875" defaultRowHeight="14.5"/>
  <cols>
    <col min="1" max="2" width="8.54296875" style="50"/>
    <col min="3" max="3" width="17.26953125" style="50" bestFit="1" customWidth="1"/>
    <col min="4" max="4" width="15.54296875" style="50" customWidth="1"/>
    <col min="5" max="5" width="12.453125" style="50" customWidth="1"/>
    <col min="6" max="6" width="9.1796875" style="50" customWidth="1"/>
    <col min="7" max="13" width="8.54296875" style="50"/>
    <col min="14" max="14" width="17.453125" style="50" customWidth="1"/>
    <col min="15" max="16384" width="8.54296875" style="50"/>
  </cols>
  <sheetData>
    <row r="1" spans="3:9">
      <c r="C1" s="50" t="s">
        <v>698</v>
      </c>
      <c r="F1" s="595" t="s">
        <v>699</v>
      </c>
      <c r="G1" s="596"/>
      <c r="H1" s="595" t="s">
        <v>700</v>
      </c>
      <c r="I1" s="596"/>
    </row>
    <row r="2" spans="3:9" ht="18" customHeight="1">
      <c r="C2" s="57"/>
      <c r="D2" s="57"/>
      <c r="E2" s="57"/>
      <c r="F2" s="269">
        <v>2025</v>
      </c>
      <c r="G2" s="57">
        <v>2028</v>
      </c>
      <c r="H2" s="269">
        <v>2025</v>
      </c>
      <c r="I2" s="57">
        <v>2028</v>
      </c>
    </row>
    <row r="3" spans="3:9" ht="16.5">
      <c r="C3" s="457" t="s">
        <v>231</v>
      </c>
      <c r="D3" s="265" t="s">
        <v>232</v>
      </c>
      <c r="E3" s="24" t="s">
        <v>471</v>
      </c>
      <c r="F3" s="57" t="str">
        <f>'DP instruction'!I9</f>
        <v>A</v>
      </c>
      <c r="G3" s="57"/>
      <c r="H3" s="57">
        <f>IF(F3="A",5,IF(F3="B+",4,IF(F3="B",3,IF(F3="B-",2,IF(F3="C",1,"-")))))</f>
        <v>5</v>
      </c>
      <c r="I3" s="57"/>
    </row>
    <row r="4" spans="3:9" ht="16.5">
      <c r="C4" s="457"/>
      <c r="D4" s="266" t="s">
        <v>240</v>
      </c>
      <c r="E4" s="24" t="s">
        <v>472</v>
      </c>
      <c r="F4" s="57" t="str">
        <f>'DP instruction'!I10</f>
        <v>A</v>
      </c>
      <c r="G4" s="57"/>
      <c r="H4" s="57">
        <f t="shared" ref="H4:H34" si="0">IF(F4="A",5,IF(F4="B+",4,IF(F4="B",3,IF(F4="B-",2,IF(F4="C",1,"-")))))</f>
        <v>5</v>
      </c>
      <c r="I4" s="57"/>
    </row>
    <row r="5" spans="3:9" ht="16.5">
      <c r="C5" s="457"/>
      <c r="D5" s="266" t="s">
        <v>246</v>
      </c>
      <c r="E5" s="24" t="s">
        <v>471</v>
      </c>
      <c r="F5" s="57" t="str">
        <f>'DP instruction'!I11</f>
        <v>A</v>
      </c>
      <c r="G5" s="57"/>
      <c r="H5" s="57">
        <f t="shared" si="0"/>
        <v>5</v>
      </c>
      <c r="I5" s="57"/>
    </row>
    <row r="6" spans="3:9" ht="18" customHeight="1">
      <c r="C6" s="457"/>
      <c r="D6" s="266" t="s">
        <v>252</v>
      </c>
      <c r="E6" s="24" t="s">
        <v>472</v>
      </c>
      <c r="F6" s="57" t="str">
        <f>'DP instruction'!I12</f>
        <v>A</v>
      </c>
      <c r="G6" s="57"/>
      <c r="H6" s="57">
        <f t="shared" si="0"/>
        <v>5</v>
      </c>
      <c r="I6" s="57"/>
    </row>
    <row r="7" spans="3:9" ht="16.5">
      <c r="C7" s="457" t="s">
        <v>78</v>
      </c>
      <c r="D7" s="266" t="s">
        <v>259</v>
      </c>
      <c r="E7" s="24" t="s">
        <v>472</v>
      </c>
      <c r="F7" s="57" t="str">
        <f>'DP instruction'!I13</f>
        <v>A</v>
      </c>
      <c r="G7" s="57"/>
      <c r="H7" s="57">
        <f t="shared" si="0"/>
        <v>5</v>
      </c>
      <c r="I7" s="57"/>
    </row>
    <row r="8" spans="3:9" ht="16.5">
      <c r="C8" s="457"/>
      <c r="D8" s="266" t="s">
        <v>265</v>
      </c>
      <c r="E8" s="24" t="s">
        <v>472</v>
      </c>
      <c r="F8" s="57" t="str">
        <f>'DP instruction'!I14</f>
        <v>A</v>
      </c>
      <c r="G8" s="57"/>
      <c r="H8" s="57">
        <f t="shared" si="0"/>
        <v>5</v>
      </c>
      <c r="I8" s="57"/>
    </row>
    <row r="9" spans="3:9" ht="16.5">
      <c r="C9" s="457"/>
      <c r="D9" s="266" t="s">
        <v>271</v>
      </c>
      <c r="E9" s="24" t="s">
        <v>472</v>
      </c>
      <c r="F9" s="57" t="str">
        <f>'DP instruction'!I15</f>
        <v>A</v>
      </c>
      <c r="G9" s="57"/>
      <c r="H9" s="57">
        <f t="shared" si="0"/>
        <v>5</v>
      </c>
      <c r="I9" s="57"/>
    </row>
    <row r="10" spans="3:9" ht="16.5">
      <c r="C10" s="457"/>
      <c r="D10" s="266" t="s">
        <v>277</v>
      </c>
      <c r="E10" s="24" t="s">
        <v>472</v>
      </c>
      <c r="F10" s="57" t="str">
        <f>'DP instruction'!I16</f>
        <v>A</v>
      </c>
      <c r="G10" s="57"/>
      <c r="H10" s="57">
        <f t="shared" si="0"/>
        <v>5</v>
      </c>
      <c r="I10" s="57"/>
    </row>
    <row r="11" spans="3:9" ht="18" customHeight="1">
      <c r="C11" s="457"/>
      <c r="D11" s="266" t="s">
        <v>283</v>
      </c>
      <c r="E11" s="24" t="s">
        <v>472</v>
      </c>
      <c r="F11" s="57" t="str">
        <f>'DP instruction'!I17</f>
        <v>A</v>
      </c>
      <c r="G11" s="57"/>
      <c r="H11" s="57">
        <f t="shared" si="0"/>
        <v>5</v>
      </c>
      <c r="I11" s="57"/>
    </row>
    <row r="12" spans="3:9" ht="16.5">
      <c r="C12" s="456" t="s">
        <v>101</v>
      </c>
      <c r="D12" s="266" t="s">
        <v>290</v>
      </c>
      <c r="E12" s="24" t="s">
        <v>471</v>
      </c>
      <c r="F12" s="57" t="str">
        <f>'DP instruction'!I18</f>
        <v>A</v>
      </c>
      <c r="G12" s="57"/>
      <c r="H12" s="57">
        <f t="shared" si="0"/>
        <v>5</v>
      </c>
      <c r="I12" s="57"/>
    </row>
    <row r="13" spans="3:9" ht="16.5">
      <c r="C13" s="456"/>
      <c r="D13" s="267" t="s">
        <v>296</v>
      </c>
      <c r="E13" s="24" t="s">
        <v>471</v>
      </c>
      <c r="F13" s="57" t="str">
        <f>'DP instruction'!I19</f>
        <v>A</v>
      </c>
      <c r="G13" s="57"/>
      <c r="H13" s="57">
        <f t="shared" si="0"/>
        <v>5</v>
      </c>
      <c r="I13" s="57"/>
    </row>
    <row r="14" spans="3:9" ht="18" customHeight="1">
      <c r="C14" s="456"/>
      <c r="D14" s="267" t="s">
        <v>301</v>
      </c>
      <c r="E14" s="24" t="s">
        <v>471</v>
      </c>
      <c r="F14" s="57" t="str">
        <f>'DP instruction'!I20</f>
        <v>A</v>
      </c>
      <c r="G14" s="57"/>
      <c r="H14" s="57">
        <f t="shared" si="0"/>
        <v>5</v>
      </c>
      <c r="I14" s="57"/>
    </row>
    <row r="15" spans="3:9" ht="16.5">
      <c r="C15" s="456" t="s">
        <v>117</v>
      </c>
      <c r="D15" s="266" t="s">
        <v>308</v>
      </c>
      <c r="E15" s="24" t="s">
        <v>472</v>
      </c>
      <c r="F15" s="57" t="str">
        <f>'DP instruction'!I21</f>
        <v>A</v>
      </c>
      <c r="G15" s="57"/>
      <c r="H15" s="57">
        <f t="shared" si="0"/>
        <v>5</v>
      </c>
      <c r="I15" s="57"/>
    </row>
    <row r="16" spans="3:9" ht="16.5">
      <c r="C16" s="456"/>
      <c r="D16" s="266" t="s">
        <v>314</v>
      </c>
      <c r="E16" s="24" t="s">
        <v>22</v>
      </c>
      <c r="F16" s="57" t="str">
        <f>'DP instruction'!I22</f>
        <v>A</v>
      </c>
      <c r="G16" s="57"/>
      <c r="H16" s="57">
        <f t="shared" si="0"/>
        <v>5</v>
      </c>
      <c r="I16" s="57"/>
    </row>
    <row r="17" spans="3:9" ht="16.5">
      <c r="C17" s="456"/>
      <c r="D17" s="267" t="s">
        <v>321</v>
      </c>
      <c r="E17" s="24" t="s">
        <v>474</v>
      </c>
      <c r="F17" s="57" t="str">
        <f>'DP instruction'!I24</f>
        <v>A</v>
      </c>
      <c r="G17" s="57"/>
      <c r="H17" s="57">
        <f t="shared" si="0"/>
        <v>5</v>
      </c>
      <c r="I17" s="57"/>
    </row>
    <row r="18" spans="3:9" ht="16.5">
      <c r="C18" s="456"/>
      <c r="D18" s="267" t="s">
        <v>329</v>
      </c>
      <c r="E18" s="24" t="s">
        <v>474</v>
      </c>
      <c r="F18" s="57" t="str">
        <f>'DP instruction'!I25</f>
        <v>A</v>
      </c>
      <c r="G18" s="57"/>
      <c r="H18" s="57">
        <f t="shared" si="0"/>
        <v>5</v>
      </c>
      <c r="I18" s="57"/>
    </row>
    <row r="19" spans="3:9" ht="16.5">
      <c r="C19" s="456"/>
      <c r="D19" s="267" t="s">
        <v>335</v>
      </c>
      <c r="E19" s="24" t="s">
        <v>474</v>
      </c>
      <c r="F19" s="57" t="str">
        <f>'DP instruction'!I26</f>
        <v>A</v>
      </c>
      <c r="G19" s="57"/>
      <c r="H19" s="57">
        <f t="shared" si="0"/>
        <v>5</v>
      </c>
      <c r="I19" s="57"/>
    </row>
    <row r="20" spans="3:9" ht="18" customHeight="1">
      <c r="C20" s="456"/>
      <c r="D20" s="267" t="s">
        <v>341</v>
      </c>
      <c r="E20" s="24" t="s">
        <v>474</v>
      </c>
      <c r="F20" s="57" t="str">
        <f>'DP instruction'!I27</f>
        <v>A</v>
      </c>
      <c r="G20" s="57"/>
      <c r="H20" s="57">
        <f t="shared" si="0"/>
        <v>5</v>
      </c>
      <c r="I20" s="57"/>
    </row>
    <row r="21" spans="3:9" ht="16.5">
      <c r="C21" s="456"/>
      <c r="D21" s="267" t="s">
        <v>347</v>
      </c>
      <c r="E21" s="24" t="s">
        <v>474</v>
      </c>
      <c r="F21" s="57" t="str">
        <f>'DP instruction'!I28</f>
        <v>A</v>
      </c>
      <c r="G21" s="57"/>
      <c r="H21" s="57">
        <f t="shared" si="0"/>
        <v>5</v>
      </c>
      <c r="I21" s="57"/>
    </row>
    <row r="22" spans="3:9" ht="16.5">
      <c r="C22" s="456"/>
      <c r="D22" s="267" t="s">
        <v>353</v>
      </c>
      <c r="E22" s="24" t="s">
        <v>474</v>
      </c>
      <c r="F22" s="57" t="str">
        <f>'DP instruction'!I29</f>
        <v>A</v>
      </c>
      <c r="G22" s="57"/>
      <c r="H22" s="57">
        <f t="shared" si="0"/>
        <v>5</v>
      </c>
      <c r="I22" s="57"/>
    </row>
    <row r="23" spans="3:9" ht="16.5">
      <c r="C23" s="456"/>
      <c r="D23" s="267" t="s">
        <v>359</v>
      </c>
      <c r="E23" s="24" t="s">
        <v>474</v>
      </c>
      <c r="F23" s="57" t="str">
        <f>'DP instruction'!I30</f>
        <v>A</v>
      </c>
      <c r="G23" s="57"/>
      <c r="H23" s="57">
        <f t="shared" si="0"/>
        <v>5</v>
      </c>
      <c r="I23" s="57"/>
    </row>
    <row r="24" spans="3:9" ht="18" customHeight="1">
      <c r="C24" s="456"/>
      <c r="D24" s="267" t="s">
        <v>365</v>
      </c>
      <c r="E24" s="24" t="s">
        <v>474</v>
      </c>
      <c r="F24" s="57" t="str">
        <f>'DP instruction'!I31</f>
        <v>A</v>
      </c>
      <c r="G24" s="57"/>
      <c r="H24" s="57">
        <f t="shared" si="0"/>
        <v>5</v>
      </c>
      <c r="I24" s="57"/>
    </row>
    <row r="25" spans="3:9" ht="16.5">
      <c r="C25" s="456"/>
      <c r="D25" s="267" t="s">
        <v>371</v>
      </c>
      <c r="E25" s="24" t="s">
        <v>474</v>
      </c>
      <c r="F25" s="57" t="str">
        <f>'DP instruction'!I32</f>
        <v>A</v>
      </c>
      <c r="G25" s="57"/>
      <c r="H25" s="57">
        <f t="shared" si="0"/>
        <v>5</v>
      </c>
      <c r="I25" s="57"/>
    </row>
    <row r="26" spans="3:9" ht="16.5">
      <c r="C26" s="456"/>
      <c r="D26" s="267" t="s">
        <v>377</v>
      </c>
      <c r="E26" s="24" t="s">
        <v>474</v>
      </c>
      <c r="F26" s="57" t="str">
        <f>'DP instruction'!I33</f>
        <v>A</v>
      </c>
      <c r="G26" s="57"/>
      <c r="H26" s="57">
        <f t="shared" si="0"/>
        <v>5</v>
      </c>
      <c r="I26" s="57"/>
    </row>
    <row r="27" spans="3:9" ht="16.5">
      <c r="C27" s="456"/>
      <c r="D27" s="267" t="s">
        <v>383</v>
      </c>
      <c r="E27" s="24" t="s">
        <v>474</v>
      </c>
      <c r="F27" s="57" t="str">
        <f>'DP instruction'!I34</f>
        <v>A</v>
      </c>
      <c r="G27" s="57"/>
      <c r="H27" s="57">
        <f t="shared" si="0"/>
        <v>5</v>
      </c>
      <c r="I27" s="57"/>
    </row>
    <row r="28" spans="3:9" ht="16.5">
      <c r="C28" s="456"/>
      <c r="D28" s="268" t="s">
        <v>389</v>
      </c>
      <c r="E28" s="24" t="s">
        <v>474</v>
      </c>
      <c r="F28" s="57" t="str">
        <f>'DP instruction'!I35</f>
        <v>A</v>
      </c>
      <c r="G28" s="57"/>
      <c r="H28" s="57">
        <f t="shared" si="0"/>
        <v>5</v>
      </c>
      <c r="I28" s="57"/>
    </row>
    <row r="29" spans="3:9" ht="16.5">
      <c r="C29" s="456"/>
      <c r="D29" s="268" t="s">
        <v>395</v>
      </c>
      <c r="E29" s="24" t="s">
        <v>474</v>
      </c>
      <c r="F29" s="57" t="str">
        <f>'DP instruction'!I36</f>
        <v>A</v>
      </c>
      <c r="G29" s="57"/>
      <c r="H29" s="57">
        <f t="shared" si="0"/>
        <v>5</v>
      </c>
      <c r="I29" s="57"/>
    </row>
    <row r="30" spans="3:9" ht="16.5">
      <c r="C30" s="456"/>
      <c r="D30" s="268" t="s">
        <v>401</v>
      </c>
      <c r="E30" s="24" t="s">
        <v>474</v>
      </c>
      <c r="F30" s="57" t="str">
        <f>'DP instruction'!I37</f>
        <v>A</v>
      </c>
      <c r="G30" s="57"/>
      <c r="H30" s="57">
        <f t="shared" si="0"/>
        <v>5</v>
      </c>
      <c r="I30" s="57"/>
    </row>
    <row r="31" spans="3:9" ht="16.5">
      <c r="C31" s="456"/>
      <c r="D31" s="268" t="s">
        <v>407</v>
      </c>
      <c r="E31" s="24" t="s">
        <v>474</v>
      </c>
      <c r="F31" s="57" t="str">
        <f>'DP instruction'!I38</f>
        <v>A</v>
      </c>
      <c r="G31" s="57"/>
      <c r="H31" s="57">
        <f t="shared" si="0"/>
        <v>5</v>
      </c>
      <c r="I31" s="57"/>
    </row>
    <row r="32" spans="3:9" ht="16.5">
      <c r="C32" s="547" t="s">
        <v>172</v>
      </c>
      <c r="D32" s="266" t="s">
        <v>414</v>
      </c>
      <c r="E32" s="24" t="s">
        <v>471</v>
      </c>
      <c r="F32" s="57" t="str">
        <f>'DP instruction'!I39</f>
        <v>A</v>
      </c>
      <c r="G32" s="57"/>
      <c r="H32" s="57">
        <f t="shared" si="0"/>
        <v>5</v>
      </c>
      <c r="I32" s="57"/>
    </row>
    <row r="33" spans="2:33" ht="16.5">
      <c r="C33" s="548"/>
      <c r="D33" s="266" t="s">
        <v>419</v>
      </c>
      <c r="E33" s="24" t="s">
        <v>471</v>
      </c>
      <c r="F33" s="57" t="str">
        <f>'DP instruction'!I40</f>
        <v>A</v>
      </c>
      <c r="G33" s="57"/>
      <c r="H33" s="57">
        <f t="shared" si="0"/>
        <v>5</v>
      </c>
      <c r="I33" s="57"/>
    </row>
    <row r="34" spans="2:33" ht="16.5">
      <c r="C34" s="556"/>
      <c r="D34" s="266" t="s">
        <v>423</v>
      </c>
      <c r="E34" s="24" t="s">
        <v>471</v>
      </c>
      <c r="F34" s="57">
        <f>'DP instruction'!I41</f>
        <v>0</v>
      </c>
      <c r="G34" s="57"/>
      <c r="H34" s="57" t="str">
        <f t="shared" si="0"/>
        <v>-</v>
      </c>
      <c r="I34" s="57"/>
    </row>
    <row r="37" spans="2:33">
      <c r="B37" s="67" t="s">
        <v>698</v>
      </c>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row>
    <row r="38" spans="2:33">
      <c r="B38" s="68"/>
    </row>
    <row r="39" spans="2:33">
      <c r="C39" s="272" t="s">
        <v>701</v>
      </c>
      <c r="O39" s="50" t="s">
        <v>702</v>
      </c>
      <c r="V39" s="50" t="s">
        <v>703</v>
      </c>
    </row>
    <row r="40" spans="2:33">
      <c r="C40" s="57"/>
      <c r="D40" s="57">
        <v>2025</v>
      </c>
      <c r="E40" s="57">
        <v>2028</v>
      </c>
    </row>
    <row r="41" spans="2:33">
      <c r="B41" s="76"/>
      <c r="C41" s="271" t="s">
        <v>22</v>
      </c>
      <c r="D41" s="75">
        <f>AVERAGEIFS($H$3:$H$34,$E$3:$E$34,$C$41)</f>
        <v>5</v>
      </c>
      <c r="E41" s="75"/>
    </row>
    <row r="42" spans="2:33">
      <c r="B42" s="76"/>
      <c r="C42" s="271" t="s">
        <v>23</v>
      </c>
      <c r="D42" s="75">
        <f>AVERAGEIFS($H$3:$H$34,$E$3:$E$34,$C$42)</f>
        <v>5</v>
      </c>
      <c r="E42" s="75"/>
    </row>
    <row r="43" spans="2:33">
      <c r="B43" s="76"/>
      <c r="C43" s="271" t="s">
        <v>20</v>
      </c>
      <c r="D43" s="75">
        <f>AVERAGEIFS($H$3:$H$34,$E$3:$E$34,$C$43)</f>
        <v>5</v>
      </c>
      <c r="E43" s="75"/>
    </row>
    <row r="44" spans="2:33">
      <c r="C44" s="57" t="s">
        <v>704</v>
      </c>
      <c r="D44" s="270">
        <f>AVERAGE(D41:D43)</f>
        <v>5</v>
      </c>
      <c r="E44" s="57"/>
    </row>
    <row r="46" spans="2:33">
      <c r="C46" s="273" t="s">
        <v>705</v>
      </c>
      <c r="D46" s="594">
        <v>2025</v>
      </c>
      <c r="E46" s="594"/>
      <c r="F46" s="594">
        <v>2028</v>
      </c>
      <c r="G46" s="594"/>
    </row>
    <row r="47" spans="2:33">
      <c r="C47" s="57"/>
      <c r="D47" s="274" t="s">
        <v>706</v>
      </c>
      <c r="E47" s="274" t="s">
        <v>707</v>
      </c>
      <c r="F47" s="274" t="s">
        <v>706</v>
      </c>
      <c r="G47" s="274" t="s">
        <v>707</v>
      </c>
    </row>
    <row r="48" spans="2:33">
      <c r="B48" s="76"/>
      <c r="C48" s="271" t="s">
        <v>231</v>
      </c>
      <c r="D48" s="75">
        <f>MIN(H3:H6)</f>
        <v>5</v>
      </c>
      <c r="E48" s="75">
        <f>AVERAGE(H3:H6)</f>
        <v>5</v>
      </c>
      <c r="F48" s="75">
        <f>MIN(I3:I5)</f>
        <v>0</v>
      </c>
      <c r="G48" s="75" t="e">
        <f>AVERAGE(I3:I5)</f>
        <v>#DIV/0!</v>
      </c>
    </row>
    <row r="49" spans="2:14">
      <c r="B49" s="76"/>
      <c r="C49" s="271" t="s">
        <v>258</v>
      </c>
      <c r="D49" s="75">
        <f>MIN(H7:H11)</f>
        <v>5</v>
      </c>
      <c r="E49" s="75">
        <f>AVERAGE(H7:H11)</f>
        <v>5</v>
      </c>
      <c r="F49" s="75">
        <f>MIN(I6:I11)</f>
        <v>0</v>
      </c>
      <c r="G49" s="75" t="e">
        <f>AVERAGE(I6:I11)</f>
        <v>#DIV/0!</v>
      </c>
    </row>
    <row r="50" spans="2:14">
      <c r="B50" s="76"/>
      <c r="C50" s="271" t="s">
        <v>289</v>
      </c>
      <c r="D50" s="75">
        <f>MIN(H12:H14)</f>
        <v>5</v>
      </c>
      <c r="E50" s="75">
        <f>AVERAGE(H12:H14)</f>
        <v>5</v>
      </c>
      <c r="F50" s="75">
        <f>MIN(I12:I14)</f>
        <v>0</v>
      </c>
      <c r="G50" s="75" t="e">
        <f>AVERAGE(I12:I14)</f>
        <v>#DIV/0!</v>
      </c>
    </row>
    <row r="51" spans="2:14">
      <c r="B51" s="76"/>
      <c r="C51" s="271" t="s">
        <v>307</v>
      </c>
      <c r="D51" s="75">
        <f>MIN(H15:H31)</f>
        <v>5</v>
      </c>
      <c r="E51" s="75">
        <f>AVERAGE(H15:H31)</f>
        <v>5</v>
      </c>
      <c r="F51" s="75">
        <f>MIN(I15:I25)</f>
        <v>0</v>
      </c>
      <c r="G51" s="75" t="e">
        <f>AVERAGE(I15:I25)</f>
        <v>#DIV/0!</v>
      </c>
    </row>
    <row r="52" spans="2:14">
      <c r="B52" s="76"/>
      <c r="C52" s="271" t="s">
        <v>413</v>
      </c>
      <c r="D52" s="75">
        <f>MIN(H32:H34)</f>
        <v>5</v>
      </c>
      <c r="E52" s="75">
        <f>AVERAGE(H32:H34)</f>
        <v>5</v>
      </c>
      <c r="F52" s="75">
        <f>MIN(I26:I32)</f>
        <v>0</v>
      </c>
      <c r="G52" s="75" t="e">
        <f>AVERAGE(I26:I32)</f>
        <v>#DIV/0!</v>
      </c>
    </row>
    <row r="54" spans="2:14">
      <c r="C54" s="272" t="s">
        <v>708</v>
      </c>
    </row>
    <row r="55" spans="2:14">
      <c r="C55" s="57"/>
      <c r="D55" s="57"/>
      <c r="E55" s="57">
        <v>2025</v>
      </c>
      <c r="F55" s="57">
        <v>2026</v>
      </c>
      <c r="I55" s="57"/>
      <c r="J55" s="57"/>
      <c r="K55" s="274" t="s">
        <v>709</v>
      </c>
      <c r="L55" s="57" t="s">
        <v>16</v>
      </c>
      <c r="M55" s="57" t="s">
        <v>17</v>
      </c>
      <c r="N55" s="57" t="s">
        <v>18</v>
      </c>
    </row>
    <row r="56" spans="2:14">
      <c r="C56" s="276" t="s">
        <v>472</v>
      </c>
      <c r="D56" s="274" t="s">
        <v>709</v>
      </c>
      <c r="E56" s="57">
        <f>COUNTIFS($E$3:$E$34,C56,$H$3:$H$34,4)+COUNTIFS($E$3:$E$34,C56,$H$3:$H$34,5)</f>
        <v>8</v>
      </c>
      <c r="F56" s="57">
        <f>COUNTIFS($E$3:$E$32,$C$56,$I$3:$I$32,4)+COUNTIFS($E$3:$E$32,$C$56,$I$3:$I$32,5)</f>
        <v>0</v>
      </c>
      <c r="I56" s="275" t="s">
        <v>471</v>
      </c>
      <c r="J56" s="57">
        <v>2025</v>
      </c>
      <c r="K56" s="77">
        <f>E68/SUM(E68:E71)</f>
        <v>1</v>
      </c>
      <c r="L56" s="77">
        <f>E69/SUM(E68:E71)</f>
        <v>0</v>
      </c>
      <c r="M56" s="77">
        <f>E70/SUM(E68:E71)</f>
        <v>0</v>
      </c>
      <c r="N56" s="77">
        <f>E71/SUM(E68:E71)</f>
        <v>0</v>
      </c>
    </row>
    <row r="57" spans="2:14">
      <c r="C57" s="57"/>
      <c r="D57" s="274" t="s">
        <v>223</v>
      </c>
      <c r="E57" s="57">
        <f>COUNTIFS($E$3:$E$34,$C$56,$H$3:$H$34,3)</f>
        <v>0</v>
      </c>
      <c r="F57" s="57">
        <f>COUNTIFS($E$3:$E$32,$C$56,$I$3:$I$32,3)</f>
        <v>0</v>
      </c>
      <c r="I57" s="57"/>
      <c r="J57" s="57">
        <v>2026</v>
      </c>
      <c r="K57" s="77" t="e">
        <f>F68/SUM(F68:F71)</f>
        <v>#DIV/0!</v>
      </c>
      <c r="L57" s="77" t="e">
        <f>F69/SUM(F68:F71)</f>
        <v>#DIV/0!</v>
      </c>
      <c r="M57" s="77" t="e">
        <f>F70/SUM(F68:F71)</f>
        <v>#DIV/0!</v>
      </c>
      <c r="N57" s="77" t="e">
        <f>F71/SUM(F68:F71)</f>
        <v>#DIV/0!</v>
      </c>
    </row>
    <row r="58" spans="2:14">
      <c r="C58" s="57"/>
      <c r="D58" s="57" t="s">
        <v>17</v>
      </c>
      <c r="E58" s="57">
        <f>COUNTIFS($E$3:$E$34,$C$56,$H$3:$H$34,2)</f>
        <v>0</v>
      </c>
      <c r="F58" s="57">
        <f>COUNTIFS($E$3:$E$32,$C$56,$I$3:$I$32,2)</f>
        <v>0</v>
      </c>
      <c r="I58" s="275" t="s">
        <v>474</v>
      </c>
      <c r="J58" s="57">
        <v>2025</v>
      </c>
      <c r="K58" s="77">
        <f>E62/SUM(E62:E65)</f>
        <v>1</v>
      </c>
      <c r="L58" s="77">
        <f>E63/SUM(E62:E65)</f>
        <v>0</v>
      </c>
      <c r="M58" s="77">
        <f>E64/SUM(E62:E65)</f>
        <v>0</v>
      </c>
      <c r="N58" s="77">
        <f>E65/SUM(E62:E65)</f>
        <v>0</v>
      </c>
    </row>
    <row r="59" spans="2:14">
      <c r="C59" s="57"/>
      <c r="D59" s="57" t="s">
        <v>18</v>
      </c>
      <c r="E59" s="57">
        <f>COUNTIFS($E$3:$E$34,$C$56,$H$3:$H$34,1)</f>
        <v>0</v>
      </c>
      <c r="F59" s="57">
        <f>COUNTIFS($E$3:$E$32,$C$56,$I$3:$I$32,1)</f>
        <v>0</v>
      </c>
      <c r="I59" s="57"/>
      <c r="J59" s="57">
        <v>2026</v>
      </c>
      <c r="K59" s="77" t="e">
        <f>F62/SUM(F62:F65)</f>
        <v>#DIV/0!</v>
      </c>
      <c r="L59" s="77" t="e">
        <f>F63/SUM(F62:F65)</f>
        <v>#DIV/0!</v>
      </c>
      <c r="M59" s="77" t="e">
        <f>F64/SUM(F62:F65)</f>
        <v>#DIV/0!</v>
      </c>
      <c r="N59" s="77" t="e">
        <f>F65/SUM(F62:F65)</f>
        <v>#DIV/0!</v>
      </c>
    </row>
    <row r="60" spans="2:14">
      <c r="I60" s="275" t="s">
        <v>472</v>
      </c>
      <c r="J60" s="57">
        <v>2025</v>
      </c>
      <c r="K60" s="77">
        <f>E56/SUM(E56:E59)</f>
        <v>1</v>
      </c>
      <c r="L60" s="77">
        <f>E57/SUM(E56:E59)</f>
        <v>0</v>
      </c>
      <c r="M60" s="77">
        <f>E58/SUM(E56:E59)</f>
        <v>0</v>
      </c>
      <c r="N60" s="77">
        <f>E59/SUM(E56:E59)</f>
        <v>0</v>
      </c>
    </row>
    <row r="61" spans="2:14">
      <c r="C61" s="57"/>
      <c r="D61" s="57"/>
      <c r="E61" s="57">
        <v>2025</v>
      </c>
      <c r="F61" s="57">
        <v>2026</v>
      </c>
      <c r="I61" s="57"/>
      <c r="J61" s="57">
        <v>2026</v>
      </c>
      <c r="K61" s="77" t="e">
        <f>F56/SUM(F56:F59)</f>
        <v>#DIV/0!</v>
      </c>
      <c r="L61" s="77" t="e">
        <f>F57/SUM(F56:F59)</f>
        <v>#DIV/0!</v>
      </c>
      <c r="M61" s="77" t="e">
        <f>F58/SUM(F56:F59)</f>
        <v>#DIV/0!</v>
      </c>
      <c r="N61" s="77" t="e">
        <f>F59/SUM(F56:F59)</f>
        <v>#DIV/0!</v>
      </c>
    </row>
    <row r="62" spans="2:14">
      <c r="C62" s="276" t="s">
        <v>474</v>
      </c>
      <c r="D62" s="274" t="s">
        <v>709</v>
      </c>
      <c r="E62" s="57">
        <f>COUNTIFS($E$3:$E$34,C62,$H$3:$H$34,4)+COUNTIFS($E$3:$E$34,C62,$H$3:$H$34,5)</f>
        <v>16</v>
      </c>
      <c r="F62" s="57">
        <f>COUNTIFS($E$3:$E$32,$C$62,$I$3:$I$32,4)+COUNTIFS($E$3:$E$32,$C$62,$I$3:$I$32,5)</f>
        <v>0</v>
      </c>
    </row>
    <row r="63" spans="2:14">
      <c r="C63" s="57"/>
      <c r="D63" s="274" t="s">
        <v>223</v>
      </c>
      <c r="E63" s="57">
        <f>COUNTIFS($E$3:$E$34,$C$62,$H$3:$H$34,3)</f>
        <v>0</v>
      </c>
      <c r="F63" s="57">
        <f>COUNTIFS($E$3:$E$32,$C$62,$I$3:$I$32,3)</f>
        <v>0</v>
      </c>
    </row>
    <row r="64" spans="2:14">
      <c r="C64" s="57"/>
      <c r="D64" s="57" t="s">
        <v>17</v>
      </c>
      <c r="E64" s="57">
        <f>COUNTIFS($E$3:$E$34,$C$62,$H$3:$H$34,2)</f>
        <v>0</v>
      </c>
      <c r="F64" s="57">
        <f>COUNTIFS($E$3:$E$32,$C$62,$I$3:$I$32,2)</f>
        <v>0</v>
      </c>
    </row>
    <row r="65" spans="3:6">
      <c r="C65" s="57"/>
      <c r="D65" s="57" t="s">
        <v>18</v>
      </c>
      <c r="E65" s="57">
        <f>COUNTIFS($E$3:$E$34,$C$62,$H$3:$H$34,1)</f>
        <v>0</v>
      </c>
      <c r="F65" s="57">
        <f>COUNTIFS($E$3:$E$32,$C$62,$I$3:$I$32,1)</f>
        <v>0</v>
      </c>
    </row>
    <row r="67" spans="3:6">
      <c r="C67" s="57"/>
      <c r="D67" s="57"/>
      <c r="E67" s="57">
        <v>2025</v>
      </c>
      <c r="F67" s="57">
        <v>2026</v>
      </c>
    </row>
    <row r="68" spans="3:6">
      <c r="C68" s="276" t="s">
        <v>471</v>
      </c>
      <c r="D68" s="274" t="s">
        <v>709</v>
      </c>
      <c r="E68" s="57">
        <f>COUNTIFS($E$3:$E$34,C68,$H$3:$H$34,4)+COUNTIFS($E$3:$E$34,C68,$H$3:$H$34,5)</f>
        <v>7</v>
      </c>
      <c r="F68" s="57">
        <f>COUNTIFS($E$3:$E$32,$C$68,$I$3:$I$32,4)+COUNTIFS($E$3:$E$32,$C$68,$I$3:$I$32,5)</f>
        <v>0</v>
      </c>
    </row>
    <row r="69" spans="3:6">
      <c r="C69" s="57"/>
      <c r="D69" s="57" t="s">
        <v>16</v>
      </c>
      <c r="E69" s="57">
        <f>COUNTIFS($E$3:$E$32,$C$68,$H$3:$H$32,3)</f>
        <v>0</v>
      </c>
      <c r="F69" s="57">
        <f>COUNTIFS($E$3:$E$32,$C$68,$I$3:$I$32,3)</f>
        <v>0</v>
      </c>
    </row>
    <row r="70" spans="3:6">
      <c r="C70" s="57"/>
      <c r="D70" s="57" t="s">
        <v>17</v>
      </c>
      <c r="E70" s="57">
        <f>COUNTIFS($E$3:$E$32,$C$68,$H$3:$H$32,2)</f>
        <v>0</v>
      </c>
      <c r="F70" s="57">
        <f>COUNTIFS($E$3:$E$32,$C$68,$I$3:$I$32,2)</f>
        <v>0</v>
      </c>
    </row>
    <row r="71" spans="3:6">
      <c r="C71" s="57"/>
      <c r="D71" s="57" t="s">
        <v>18</v>
      </c>
      <c r="E71" s="57">
        <f>COUNTIFS($E$3:$E$32,$C$68,$H$3:$H$32,1)</f>
        <v>0</v>
      </c>
      <c r="F71" s="57">
        <f>COUNTIFS($E$3:$E$32,$C$68,$I$3:$I$32,1)</f>
        <v>0</v>
      </c>
    </row>
  </sheetData>
  <mergeCells count="9">
    <mergeCell ref="D46:E46"/>
    <mergeCell ref="F46:G46"/>
    <mergeCell ref="F1:G1"/>
    <mergeCell ref="C32:C34"/>
    <mergeCell ref="H1:I1"/>
    <mergeCell ref="C3:C6"/>
    <mergeCell ref="C7:C11"/>
    <mergeCell ref="C12:C14"/>
    <mergeCell ref="C15:C31"/>
  </mergeCells>
  <phoneticPr fontId="6"/>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3AAD-7A4A-453E-87D2-75576E95C4C0}">
  <sheetPr>
    <tabColor rgb="FFFFC000"/>
  </sheetPr>
  <dimension ref="B2:AT80"/>
  <sheetViews>
    <sheetView zoomScale="74" workbookViewId="0">
      <selection activeCell="F1" sqref="F1"/>
    </sheetView>
  </sheetViews>
  <sheetFormatPr defaultColWidth="8.54296875" defaultRowHeight="14.5"/>
  <cols>
    <col min="1" max="1" width="8.54296875" style="50"/>
    <col min="2" max="2" width="17.26953125" style="50" bestFit="1" customWidth="1"/>
    <col min="3" max="3" width="24.81640625" style="50" customWidth="1"/>
    <col min="4" max="4" width="16" style="50" customWidth="1"/>
    <col min="5" max="16" width="8.54296875" style="50"/>
    <col min="17" max="17" width="25.1796875" style="50" customWidth="1"/>
    <col min="18" max="30" width="8.54296875" style="50"/>
    <col min="31" max="31" width="14.1796875" style="50" bestFit="1" customWidth="1"/>
    <col min="32" max="36" width="8.54296875" style="50"/>
    <col min="37" max="37" width="16.81640625" style="50" customWidth="1"/>
    <col min="38" max="16384" width="8.54296875" style="50"/>
  </cols>
  <sheetData>
    <row r="2" spans="2:46">
      <c r="B2" s="50" t="s">
        <v>497</v>
      </c>
      <c r="E2" s="69"/>
      <c r="F2" s="69"/>
      <c r="G2" s="69"/>
      <c r="H2" s="69"/>
      <c r="I2" s="69"/>
      <c r="J2" s="69"/>
      <c r="K2" s="69"/>
      <c r="L2" s="69"/>
      <c r="M2" s="69"/>
    </row>
    <row r="3" spans="2:46">
      <c r="B3" s="50">
        <v>2024</v>
      </c>
      <c r="E3" s="69"/>
      <c r="F3" s="69"/>
      <c r="G3" s="69"/>
      <c r="H3" s="69"/>
      <c r="I3" s="69"/>
      <c r="J3" s="69"/>
      <c r="K3" s="69"/>
      <c r="L3" s="69"/>
      <c r="M3" s="69"/>
    </row>
    <row r="4" spans="2:46">
      <c r="B4" s="57"/>
      <c r="C4" s="57"/>
      <c r="D4" s="57"/>
      <c r="E4" s="65" t="s">
        <v>710</v>
      </c>
      <c r="F4" s="65" t="s">
        <v>711</v>
      </c>
      <c r="G4" s="65" t="s">
        <v>712</v>
      </c>
      <c r="H4" s="65" t="s">
        <v>713</v>
      </c>
      <c r="I4" s="65" t="s">
        <v>714</v>
      </c>
      <c r="J4" s="65" t="s">
        <v>715</v>
      </c>
      <c r="K4" s="65" t="s">
        <v>716</v>
      </c>
      <c r="L4" s="65" t="s">
        <v>717</v>
      </c>
      <c r="M4" s="65" t="s">
        <v>718</v>
      </c>
      <c r="P4" s="57"/>
      <c r="Q4" s="57"/>
      <c r="R4" s="57"/>
      <c r="S4" s="65" t="s">
        <v>710</v>
      </c>
      <c r="T4" s="65" t="s">
        <v>711</v>
      </c>
      <c r="U4" s="65" t="s">
        <v>712</v>
      </c>
      <c r="V4" s="65" t="s">
        <v>713</v>
      </c>
      <c r="W4" s="65" t="s">
        <v>714</v>
      </c>
      <c r="X4" s="65" t="s">
        <v>715</v>
      </c>
      <c r="Y4" s="65" t="s">
        <v>716</v>
      </c>
      <c r="Z4" s="65" t="s">
        <v>717</v>
      </c>
      <c r="AA4" s="65" t="s">
        <v>718</v>
      </c>
      <c r="AK4" s="57"/>
      <c r="AL4" s="65" t="s">
        <v>710</v>
      </c>
      <c r="AM4" s="65" t="s">
        <v>711</v>
      </c>
      <c r="AN4" s="65" t="s">
        <v>712</v>
      </c>
      <c r="AO4" s="65" t="s">
        <v>713</v>
      </c>
      <c r="AP4" s="65" t="s">
        <v>714</v>
      </c>
      <c r="AQ4" s="65" t="s">
        <v>715</v>
      </c>
      <c r="AR4" s="65" t="s">
        <v>716</v>
      </c>
      <c r="AS4" s="65" t="s">
        <v>717</v>
      </c>
      <c r="AT4" s="65" t="s">
        <v>718</v>
      </c>
    </row>
    <row r="5" spans="2:46" ht="16.5">
      <c r="B5" s="57" t="s">
        <v>719</v>
      </c>
      <c r="C5" s="59" t="s">
        <v>57</v>
      </c>
      <c r="D5" s="57" t="s">
        <v>239</v>
      </c>
      <c r="E5" s="57">
        <v>4</v>
      </c>
      <c r="F5" s="57">
        <v>5</v>
      </c>
      <c r="G5" s="57">
        <v>5</v>
      </c>
      <c r="H5" s="57">
        <v>3</v>
      </c>
      <c r="I5" s="57">
        <v>1</v>
      </c>
      <c r="J5" s="57">
        <v>5</v>
      </c>
      <c r="K5" s="57">
        <v>5</v>
      </c>
      <c r="L5" s="57">
        <v>5</v>
      </c>
      <c r="M5" s="57">
        <v>5</v>
      </c>
      <c r="P5" s="57" t="s">
        <v>719</v>
      </c>
      <c r="Q5" s="59" t="s">
        <v>57</v>
      </c>
      <c r="R5" s="57" t="s">
        <v>239</v>
      </c>
      <c r="S5" s="73" t="str">
        <f>IF(E5=1,"C",IF(E5=2,"B-",IF(E5=3,"B",IF(E5=4,"B+",IF(E5=5,"A","-")))))</f>
        <v>B+</v>
      </c>
      <c r="T5" s="73" t="str">
        <f t="shared" ref="T5:AA20" si="0">IF(F5=1,"C",IF(F5=2,"B-",IF(F5=3,"B",IF(F5=4,"B+",IF(F5=5,"A","-")))))</f>
        <v>A</v>
      </c>
      <c r="U5" s="73" t="str">
        <f t="shared" si="0"/>
        <v>A</v>
      </c>
      <c r="V5" s="73" t="str">
        <f t="shared" si="0"/>
        <v>B</v>
      </c>
      <c r="W5" s="73" t="str">
        <f t="shared" si="0"/>
        <v>C</v>
      </c>
      <c r="X5" s="73" t="str">
        <f t="shared" si="0"/>
        <v>A</v>
      </c>
      <c r="Y5" s="73" t="str">
        <f t="shared" si="0"/>
        <v>A</v>
      </c>
      <c r="Z5" s="73" t="str">
        <f t="shared" si="0"/>
        <v>A</v>
      </c>
      <c r="AA5" s="73" t="str">
        <f t="shared" si="0"/>
        <v>A</v>
      </c>
      <c r="AK5" s="57" t="s">
        <v>719</v>
      </c>
      <c r="AL5" s="72">
        <f t="shared" ref="AL5:AT5" si="1">AVERAGE(E5:E7)</f>
        <v>4.333333333333333</v>
      </c>
      <c r="AM5" s="72">
        <f t="shared" si="1"/>
        <v>3.6666666666666665</v>
      </c>
      <c r="AN5" s="72">
        <f t="shared" si="1"/>
        <v>5</v>
      </c>
      <c r="AO5" s="72">
        <f t="shared" si="1"/>
        <v>3.6666666666666665</v>
      </c>
      <c r="AP5" s="72">
        <f t="shared" si="1"/>
        <v>3.6666666666666665</v>
      </c>
      <c r="AQ5" s="72">
        <f t="shared" si="1"/>
        <v>5</v>
      </c>
      <c r="AR5" s="72">
        <f t="shared" si="1"/>
        <v>4.666666666666667</v>
      </c>
      <c r="AS5" s="72">
        <f t="shared" si="1"/>
        <v>4.666666666666667</v>
      </c>
      <c r="AT5" s="72">
        <f t="shared" si="1"/>
        <v>3.6666666666666665</v>
      </c>
    </row>
    <row r="6" spans="2:46" ht="33">
      <c r="B6" s="57"/>
      <c r="C6" s="59" t="s">
        <v>64</v>
      </c>
      <c r="D6" s="57" t="s">
        <v>245</v>
      </c>
      <c r="E6" s="57">
        <v>5</v>
      </c>
      <c r="F6" s="57">
        <v>1</v>
      </c>
      <c r="G6" s="57">
        <v>5</v>
      </c>
      <c r="H6" s="57">
        <v>5</v>
      </c>
      <c r="I6" s="57">
        <v>5</v>
      </c>
      <c r="J6" s="57">
        <v>5</v>
      </c>
      <c r="K6" s="57">
        <v>5</v>
      </c>
      <c r="L6" s="57">
        <v>4</v>
      </c>
      <c r="M6" s="57">
        <v>1</v>
      </c>
      <c r="P6" s="57"/>
      <c r="Q6" s="59" t="s">
        <v>64</v>
      </c>
      <c r="R6" s="57" t="s">
        <v>245</v>
      </c>
      <c r="S6" s="73" t="str">
        <f t="shared" ref="S6:S33" si="2">IF(E6=1,"C",IF(E6=2,"B-",IF(E6=3,"B",IF(E6=4,"B+",IF(E6=5,"A","-")))))</f>
        <v>A</v>
      </c>
      <c r="T6" s="73" t="str">
        <f t="shared" si="0"/>
        <v>C</v>
      </c>
      <c r="U6" s="73" t="str">
        <f t="shared" si="0"/>
        <v>A</v>
      </c>
      <c r="V6" s="73" t="str">
        <f t="shared" si="0"/>
        <v>A</v>
      </c>
      <c r="W6" s="73" t="str">
        <f t="shared" si="0"/>
        <v>A</v>
      </c>
      <c r="X6" s="73" t="str">
        <f t="shared" si="0"/>
        <v>A</v>
      </c>
      <c r="Y6" s="73" t="str">
        <f t="shared" si="0"/>
        <v>A</v>
      </c>
      <c r="Z6" s="73" t="str">
        <f t="shared" si="0"/>
        <v>B+</v>
      </c>
      <c r="AA6" s="73" t="str">
        <f t="shared" si="0"/>
        <v>C</v>
      </c>
      <c r="AK6" s="57" t="s">
        <v>720</v>
      </c>
      <c r="AL6" s="72">
        <f t="shared" ref="AL6:AT6" si="3">AVERAGE(E8:E14)</f>
        <v>3.1666666666666665</v>
      </c>
      <c r="AM6" s="72">
        <f t="shared" si="3"/>
        <v>3</v>
      </c>
      <c r="AN6" s="72">
        <f t="shared" si="3"/>
        <v>4.5</v>
      </c>
      <c r="AO6" s="72">
        <f t="shared" si="3"/>
        <v>2</v>
      </c>
      <c r="AP6" s="72">
        <f t="shared" si="3"/>
        <v>2.8333333333333335</v>
      </c>
      <c r="AQ6" s="72">
        <f t="shared" si="3"/>
        <v>5</v>
      </c>
      <c r="AR6" s="72">
        <f t="shared" si="3"/>
        <v>2.1666666666666665</v>
      </c>
      <c r="AS6" s="72">
        <f t="shared" si="3"/>
        <v>1.8333333333333333</v>
      </c>
      <c r="AT6" s="72">
        <f t="shared" si="3"/>
        <v>4.666666666666667</v>
      </c>
    </row>
    <row r="7" spans="2:46" ht="33">
      <c r="B7" s="57"/>
      <c r="C7" s="59" t="s">
        <v>70</v>
      </c>
      <c r="D7" s="57" t="s">
        <v>239</v>
      </c>
      <c r="E7" s="57">
        <v>4</v>
      </c>
      <c r="F7" s="57">
        <v>5</v>
      </c>
      <c r="G7" s="57">
        <v>5</v>
      </c>
      <c r="H7" s="57">
        <v>3</v>
      </c>
      <c r="I7" s="57">
        <v>5</v>
      </c>
      <c r="J7" s="57">
        <v>5</v>
      </c>
      <c r="K7" s="57">
        <v>4</v>
      </c>
      <c r="L7" s="57">
        <v>5</v>
      </c>
      <c r="M7" s="57">
        <v>5</v>
      </c>
      <c r="P7" s="57"/>
      <c r="Q7" s="59" t="s">
        <v>70</v>
      </c>
      <c r="R7" s="57" t="s">
        <v>239</v>
      </c>
      <c r="S7" s="73" t="str">
        <f t="shared" si="2"/>
        <v>B+</v>
      </c>
      <c r="T7" s="73" t="str">
        <f t="shared" si="0"/>
        <v>A</v>
      </c>
      <c r="U7" s="73" t="str">
        <f t="shared" si="0"/>
        <v>A</v>
      </c>
      <c r="V7" s="73" t="str">
        <f t="shared" si="0"/>
        <v>B</v>
      </c>
      <c r="W7" s="73" t="str">
        <f t="shared" si="0"/>
        <v>A</v>
      </c>
      <c r="X7" s="73" t="str">
        <f t="shared" si="0"/>
        <v>A</v>
      </c>
      <c r="Y7" s="73" t="str">
        <f t="shared" si="0"/>
        <v>B+</v>
      </c>
      <c r="Z7" s="73" t="str">
        <f t="shared" si="0"/>
        <v>A</v>
      </c>
      <c r="AA7" s="73" t="str">
        <f t="shared" si="0"/>
        <v>A</v>
      </c>
      <c r="AK7" s="57" t="s">
        <v>721</v>
      </c>
      <c r="AL7" s="72">
        <f t="shared" ref="AL7:AT7" si="4">AVERAGE(E15:E17)</f>
        <v>4</v>
      </c>
      <c r="AM7" s="72">
        <f t="shared" si="4"/>
        <v>4.333333333333333</v>
      </c>
      <c r="AN7" s="72">
        <f t="shared" si="4"/>
        <v>3.3333333333333335</v>
      </c>
      <c r="AO7" s="72">
        <f t="shared" si="4"/>
        <v>2</v>
      </c>
      <c r="AP7" s="72">
        <f t="shared" si="4"/>
        <v>3.3333333333333335</v>
      </c>
      <c r="AQ7" s="72">
        <f t="shared" si="4"/>
        <v>3.3333333333333335</v>
      </c>
      <c r="AR7" s="72">
        <f t="shared" si="4"/>
        <v>4</v>
      </c>
      <c r="AS7" s="72">
        <f t="shared" si="4"/>
        <v>4</v>
      </c>
      <c r="AT7" s="72">
        <f t="shared" si="4"/>
        <v>5</v>
      </c>
    </row>
    <row r="8" spans="2:46" ht="49.5">
      <c r="B8" s="57" t="s">
        <v>720</v>
      </c>
      <c r="C8" s="59" t="s">
        <v>75</v>
      </c>
      <c r="D8" s="57" t="s">
        <v>245</v>
      </c>
      <c r="E8" s="57">
        <v>5</v>
      </c>
      <c r="F8" s="57">
        <v>5</v>
      </c>
      <c r="G8" s="57">
        <v>5</v>
      </c>
      <c r="H8" s="57">
        <v>3</v>
      </c>
      <c r="I8" s="57">
        <v>5</v>
      </c>
      <c r="J8" s="57">
        <v>5</v>
      </c>
      <c r="K8" s="57">
        <v>3</v>
      </c>
      <c r="L8" s="57">
        <v>5</v>
      </c>
      <c r="M8" s="57">
        <v>5</v>
      </c>
      <c r="P8" s="57" t="s">
        <v>720</v>
      </c>
      <c r="Q8" s="59" t="s">
        <v>75</v>
      </c>
      <c r="R8" s="57" t="s">
        <v>245</v>
      </c>
      <c r="S8" s="73" t="str">
        <f t="shared" si="2"/>
        <v>A</v>
      </c>
      <c r="T8" s="73" t="str">
        <f t="shared" si="0"/>
        <v>A</v>
      </c>
      <c r="U8" s="73" t="str">
        <f t="shared" si="0"/>
        <v>A</v>
      </c>
      <c r="V8" s="73" t="str">
        <f t="shared" si="0"/>
        <v>B</v>
      </c>
      <c r="W8" s="73" t="str">
        <f t="shared" si="0"/>
        <v>A</v>
      </c>
      <c r="X8" s="73" t="str">
        <f t="shared" si="0"/>
        <v>A</v>
      </c>
      <c r="Y8" s="73" t="str">
        <f t="shared" si="0"/>
        <v>B</v>
      </c>
      <c r="Z8" s="73" t="str">
        <f t="shared" si="0"/>
        <v>A</v>
      </c>
      <c r="AA8" s="73" t="str">
        <f t="shared" si="0"/>
        <v>A</v>
      </c>
      <c r="AK8" s="57" t="s">
        <v>722</v>
      </c>
      <c r="AL8" s="72">
        <f t="shared" ref="AL8:AT8" si="5">AVERAGE(E18:E28)</f>
        <v>3.7777777777777777</v>
      </c>
      <c r="AM8" s="72">
        <f t="shared" si="5"/>
        <v>3.6666666666666665</v>
      </c>
      <c r="AN8" s="72">
        <f t="shared" si="5"/>
        <v>4.4444444444444446</v>
      </c>
      <c r="AO8" s="72">
        <f t="shared" si="5"/>
        <v>2.7777777777777777</v>
      </c>
      <c r="AP8" s="72">
        <f t="shared" si="5"/>
        <v>2.6666666666666665</v>
      </c>
      <c r="AQ8" s="72">
        <f t="shared" si="5"/>
        <v>4</v>
      </c>
      <c r="AR8" s="72">
        <f t="shared" si="5"/>
        <v>2.4444444444444446</v>
      </c>
      <c r="AS8" s="72">
        <f t="shared" si="5"/>
        <v>3.3333333333333335</v>
      </c>
      <c r="AT8" s="72">
        <f t="shared" si="5"/>
        <v>4.1111111111111107</v>
      </c>
    </row>
    <row r="9" spans="2:46" ht="33">
      <c r="B9" s="57"/>
      <c r="C9" s="59" t="s">
        <v>80</v>
      </c>
      <c r="D9" s="57" t="s">
        <v>245</v>
      </c>
      <c r="E9" s="57">
        <v>3</v>
      </c>
      <c r="F9" s="57">
        <v>4</v>
      </c>
      <c r="G9" s="57">
        <v>4</v>
      </c>
      <c r="H9" s="57">
        <v>1</v>
      </c>
      <c r="I9" s="57">
        <v>2</v>
      </c>
      <c r="J9" s="57">
        <v>5</v>
      </c>
      <c r="K9" s="57">
        <v>2</v>
      </c>
      <c r="L9" s="57">
        <v>1</v>
      </c>
      <c r="M9" s="57">
        <v>5</v>
      </c>
      <c r="P9" s="57"/>
      <c r="Q9" s="59" t="s">
        <v>80</v>
      </c>
      <c r="R9" s="57" t="s">
        <v>245</v>
      </c>
      <c r="S9" s="73" t="str">
        <f t="shared" si="2"/>
        <v>B</v>
      </c>
      <c r="T9" s="73" t="str">
        <f t="shared" si="0"/>
        <v>B+</v>
      </c>
      <c r="U9" s="73" t="str">
        <f t="shared" si="0"/>
        <v>B+</v>
      </c>
      <c r="V9" s="73" t="str">
        <f t="shared" si="0"/>
        <v>C</v>
      </c>
      <c r="W9" s="73" t="str">
        <f t="shared" si="0"/>
        <v>B-</v>
      </c>
      <c r="X9" s="73" t="str">
        <f t="shared" si="0"/>
        <v>A</v>
      </c>
      <c r="Y9" s="73" t="str">
        <f t="shared" si="0"/>
        <v>B-</v>
      </c>
      <c r="Z9" s="73" t="str">
        <f t="shared" si="0"/>
        <v>C</v>
      </c>
      <c r="AA9" s="73" t="str">
        <f t="shared" si="0"/>
        <v>A</v>
      </c>
      <c r="AK9" s="57" t="s">
        <v>723</v>
      </c>
      <c r="AL9" s="72">
        <f t="shared" ref="AL9:AT9" si="6">AVERAGE(E29:E33)</f>
        <v>3.75</v>
      </c>
      <c r="AM9" s="72">
        <f t="shared" si="6"/>
        <v>3.75</v>
      </c>
      <c r="AN9" s="72">
        <f t="shared" si="6"/>
        <v>3.5</v>
      </c>
      <c r="AO9" s="72">
        <f t="shared" si="6"/>
        <v>2.5</v>
      </c>
      <c r="AP9" s="72">
        <f t="shared" si="6"/>
        <v>2.5</v>
      </c>
      <c r="AQ9" s="72">
        <f t="shared" si="6"/>
        <v>4.25</v>
      </c>
      <c r="AR9" s="72">
        <f t="shared" si="6"/>
        <v>3</v>
      </c>
      <c r="AS9" s="72">
        <f t="shared" si="6"/>
        <v>3.5</v>
      </c>
      <c r="AT9" s="72">
        <f t="shared" si="6"/>
        <v>4</v>
      </c>
    </row>
    <row r="10" spans="2:46" ht="16.5">
      <c r="B10" s="57"/>
      <c r="C10" s="59" t="s">
        <v>83</v>
      </c>
      <c r="D10" s="57" t="s">
        <v>245</v>
      </c>
      <c r="E10" s="57">
        <v>3</v>
      </c>
      <c r="F10" s="57">
        <v>1</v>
      </c>
      <c r="G10" s="57">
        <v>5</v>
      </c>
      <c r="H10" s="57">
        <v>3</v>
      </c>
      <c r="I10" s="57">
        <v>5</v>
      </c>
      <c r="J10" s="57">
        <v>5</v>
      </c>
      <c r="K10" s="57">
        <v>3</v>
      </c>
      <c r="L10" s="57">
        <v>1</v>
      </c>
      <c r="M10" s="57">
        <v>3</v>
      </c>
      <c r="P10" s="57"/>
      <c r="Q10" s="59" t="s">
        <v>83</v>
      </c>
      <c r="R10" s="57" t="s">
        <v>245</v>
      </c>
      <c r="S10" s="73" t="str">
        <f t="shared" si="2"/>
        <v>B</v>
      </c>
      <c r="T10" s="73" t="str">
        <f t="shared" si="0"/>
        <v>C</v>
      </c>
      <c r="U10" s="73" t="str">
        <f t="shared" si="0"/>
        <v>A</v>
      </c>
      <c r="V10" s="73" t="str">
        <f t="shared" si="0"/>
        <v>B</v>
      </c>
      <c r="W10" s="73" t="str">
        <f t="shared" si="0"/>
        <v>A</v>
      </c>
      <c r="X10" s="73" t="str">
        <f t="shared" si="0"/>
        <v>A</v>
      </c>
      <c r="Y10" s="73" t="str">
        <f t="shared" si="0"/>
        <v>B</v>
      </c>
      <c r="Z10" s="73" t="str">
        <f t="shared" si="0"/>
        <v>C</v>
      </c>
      <c r="AA10" s="73" t="str">
        <f t="shared" si="0"/>
        <v>B</v>
      </c>
      <c r="AK10" s="57" t="s">
        <v>724</v>
      </c>
      <c r="AL10" s="72">
        <f>AVERAGE(AL5:AL9)</f>
        <v>3.8055555555555558</v>
      </c>
      <c r="AM10" s="72">
        <f t="shared" ref="AM10:AT10" si="7">AVERAGE(AM5:AM9)</f>
        <v>3.6833333333333327</v>
      </c>
      <c r="AN10" s="72">
        <f t="shared" si="7"/>
        <v>4.1555555555555559</v>
      </c>
      <c r="AO10" s="72">
        <f t="shared" si="7"/>
        <v>2.5888888888888886</v>
      </c>
      <c r="AP10" s="72">
        <f t="shared" si="7"/>
        <v>3</v>
      </c>
      <c r="AQ10" s="72">
        <f t="shared" si="7"/>
        <v>4.3166666666666673</v>
      </c>
      <c r="AR10" s="72">
        <f t="shared" si="7"/>
        <v>3.2555555555555555</v>
      </c>
      <c r="AS10" s="72">
        <f t="shared" si="7"/>
        <v>3.4666666666666672</v>
      </c>
      <c r="AT10" s="72">
        <f t="shared" si="7"/>
        <v>4.2888888888888888</v>
      </c>
    </row>
    <row r="11" spans="2:46" ht="16.5">
      <c r="B11" s="57"/>
      <c r="C11" s="59" t="s">
        <v>88</v>
      </c>
      <c r="D11" s="57" t="s">
        <v>245</v>
      </c>
      <c r="E11" s="57">
        <v>3</v>
      </c>
      <c r="F11" s="57">
        <v>1</v>
      </c>
      <c r="G11" s="57">
        <v>3</v>
      </c>
      <c r="H11" s="57">
        <v>1</v>
      </c>
      <c r="I11" s="57">
        <v>3</v>
      </c>
      <c r="J11" s="57">
        <v>5</v>
      </c>
      <c r="K11" s="57">
        <v>3</v>
      </c>
      <c r="L11" s="57">
        <v>1</v>
      </c>
      <c r="M11" s="57">
        <v>5</v>
      </c>
      <c r="P11" s="57"/>
      <c r="Q11" s="59" t="s">
        <v>88</v>
      </c>
      <c r="R11" s="57" t="s">
        <v>245</v>
      </c>
      <c r="S11" s="73" t="str">
        <f t="shared" si="2"/>
        <v>B</v>
      </c>
      <c r="T11" s="73" t="str">
        <f t="shared" si="0"/>
        <v>C</v>
      </c>
      <c r="U11" s="73" t="str">
        <f t="shared" si="0"/>
        <v>B</v>
      </c>
      <c r="V11" s="73" t="str">
        <f t="shared" si="0"/>
        <v>C</v>
      </c>
      <c r="W11" s="73" t="str">
        <f t="shared" si="0"/>
        <v>B</v>
      </c>
      <c r="X11" s="73" t="str">
        <f t="shared" si="0"/>
        <v>A</v>
      </c>
      <c r="Y11" s="73" t="str">
        <f t="shared" si="0"/>
        <v>B</v>
      </c>
      <c r="Z11" s="73" t="str">
        <f t="shared" si="0"/>
        <v>C</v>
      </c>
      <c r="AA11" s="73" t="str">
        <f t="shared" si="0"/>
        <v>A</v>
      </c>
    </row>
    <row r="12" spans="2:46" ht="16.5">
      <c r="B12" s="57"/>
      <c r="C12" s="59" t="s">
        <v>93</v>
      </c>
      <c r="D12" s="57" t="s">
        <v>320</v>
      </c>
      <c r="E12" s="57">
        <v>4</v>
      </c>
      <c r="F12" s="57">
        <v>2</v>
      </c>
      <c r="G12" s="57">
        <v>5</v>
      </c>
      <c r="H12" s="57"/>
      <c r="I12" s="57">
        <v>1</v>
      </c>
      <c r="J12" s="57">
        <v>5</v>
      </c>
      <c r="K12" s="57">
        <v>1</v>
      </c>
      <c r="L12" s="57">
        <v>1</v>
      </c>
      <c r="M12" s="57">
        <v>5</v>
      </c>
      <c r="P12" s="57"/>
      <c r="Q12" s="59" t="s">
        <v>93</v>
      </c>
      <c r="R12" s="57" t="s">
        <v>320</v>
      </c>
      <c r="S12" s="73" t="str">
        <f t="shared" si="2"/>
        <v>B+</v>
      </c>
      <c r="T12" s="73" t="str">
        <f t="shared" si="0"/>
        <v>B-</v>
      </c>
      <c r="U12" s="73" t="str">
        <f t="shared" si="0"/>
        <v>A</v>
      </c>
      <c r="V12" s="73" t="str">
        <f t="shared" si="0"/>
        <v>-</v>
      </c>
      <c r="W12" s="73" t="str">
        <f t="shared" si="0"/>
        <v>C</v>
      </c>
      <c r="X12" s="73" t="str">
        <f t="shared" si="0"/>
        <v>A</v>
      </c>
      <c r="Y12" s="73" t="str">
        <f t="shared" si="0"/>
        <v>C</v>
      </c>
      <c r="Z12" s="73" t="str">
        <f t="shared" si="0"/>
        <v>C</v>
      </c>
      <c r="AA12" s="73" t="str">
        <f t="shared" si="0"/>
        <v>A</v>
      </c>
    </row>
    <row r="13" spans="2:46">
      <c r="B13" s="57"/>
      <c r="C13"/>
      <c r="D13" s="57" t="s">
        <v>320</v>
      </c>
      <c r="E13" s="57"/>
      <c r="F13" s="57"/>
      <c r="G13" s="57"/>
      <c r="H13" s="57"/>
      <c r="I13" s="57"/>
      <c r="J13" s="57"/>
      <c r="K13" s="57"/>
      <c r="L13" s="57"/>
      <c r="M13" s="57"/>
      <c r="P13" s="57"/>
      <c r="Q13"/>
      <c r="R13" s="57" t="s">
        <v>320</v>
      </c>
      <c r="S13" s="73" t="str">
        <f t="shared" si="2"/>
        <v>-</v>
      </c>
      <c r="T13" s="73" t="str">
        <f t="shared" si="0"/>
        <v>-</v>
      </c>
      <c r="U13" s="73" t="str">
        <f t="shared" si="0"/>
        <v>-</v>
      </c>
      <c r="V13" s="73" t="str">
        <f t="shared" si="0"/>
        <v>-</v>
      </c>
      <c r="W13" s="73" t="str">
        <f t="shared" si="0"/>
        <v>-</v>
      </c>
      <c r="X13" s="73" t="str">
        <f t="shared" si="0"/>
        <v>-</v>
      </c>
      <c r="Y13" s="73" t="str">
        <f t="shared" si="0"/>
        <v>-</v>
      </c>
      <c r="Z13" s="73" t="str">
        <f t="shared" si="0"/>
        <v>-</v>
      </c>
      <c r="AA13" s="73" t="str">
        <f t="shared" si="0"/>
        <v>-</v>
      </c>
    </row>
    <row r="14" spans="2:46" ht="16.5">
      <c r="B14" s="57"/>
      <c r="C14" s="59" t="s">
        <v>98</v>
      </c>
      <c r="D14" s="57" t="s">
        <v>320</v>
      </c>
      <c r="E14" s="57">
        <v>1</v>
      </c>
      <c r="F14" s="57">
        <v>5</v>
      </c>
      <c r="G14" s="57">
        <v>5</v>
      </c>
      <c r="H14" s="57" t="s">
        <v>725</v>
      </c>
      <c r="I14" s="57">
        <v>1</v>
      </c>
      <c r="J14" s="57">
        <v>5</v>
      </c>
      <c r="K14" s="57">
        <v>1</v>
      </c>
      <c r="L14" s="57">
        <v>2</v>
      </c>
      <c r="M14" s="57">
        <v>5</v>
      </c>
      <c r="P14" s="57"/>
      <c r="Q14" s="59" t="s">
        <v>98</v>
      </c>
      <c r="R14" s="57" t="s">
        <v>320</v>
      </c>
      <c r="S14" s="73" t="str">
        <f t="shared" si="2"/>
        <v>C</v>
      </c>
      <c r="T14" s="73" t="str">
        <f t="shared" si="0"/>
        <v>A</v>
      </c>
      <c r="U14" s="73" t="str">
        <f t="shared" si="0"/>
        <v>A</v>
      </c>
      <c r="V14" s="73" t="str">
        <f t="shared" si="0"/>
        <v>-</v>
      </c>
      <c r="W14" s="73" t="str">
        <f t="shared" si="0"/>
        <v>C</v>
      </c>
      <c r="X14" s="73" t="str">
        <f t="shared" si="0"/>
        <v>A</v>
      </c>
      <c r="Y14" s="73" t="str">
        <f t="shared" si="0"/>
        <v>C</v>
      </c>
      <c r="Z14" s="73" t="str">
        <f t="shared" si="0"/>
        <v>B-</v>
      </c>
      <c r="AA14" s="73" t="str">
        <f t="shared" si="0"/>
        <v>A</v>
      </c>
      <c r="AK14" s="57"/>
      <c r="AL14" s="65" t="s">
        <v>710</v>
      </c>
      <c r="AM14" s="65" t="s">
        <v>711</v>
      </c>
      <c r="AN14" s="65" t="s">
        <v>712</v>
      </c>
      <c r="AO14" s="65" t="s">
        <v>713</v>
      </c>
      <c r="AP14" s="65" t="s">
        <v>714</v>
      </c>
      <c r="AQ14" s="65" t="s">
        <v>715</v>
      </c>
      <c r="AR14" s="65" t="s">
        <v>716</v>
      </c>
      <c r="AS14" s="65" t="s">
        <v>717</v>
      </c>
      <c r="AT14" s="65" t="s">
        <v>718</v>
      </c>
    </row>
    <row r="15" spans="2:46" ht="49.5">
      <c r="B15" s="57" t="s">
        <v>721</v>
      </c>
      <c r="C15" s="59" t="s">
        <v>104</v>
      </c>
      <c r="D15" s="57" t="s">
        <v>239</v>
      </c>
      <c r="E15" s="57">
        <v>3</v>
      </c>
      <c r="F15" s="57">
        <v>4</v>
      </c>
      <c r="G15" s="57">
        <v>1</v>
      </c>
      <c r="H15" s="57">
        <v>1</v>
      </c>
      <c r="I15" s="57">
        <v>4</v>
      </c>
      <c r="J15" s="57">
        <v>1</v>
      </c>
      <c r="K15" s="57">
        <v>5</v>
      </c>
      <c r="L15" s="57">
        <v>3</v>
      </c>
      <c r="M15" s="57">
        <v>5</v>
      </c>
      <c r="P15" s="57" t="s">
        <v>721</v>
      </c>
      <c r="Q15" s="59" t="s">
        <v>104</v>
      </c>
      <c r="R15" s="57" t="s">
        <v>239</v>
      </c>
      <c r="S15" s="73" t="str">
        <f t="shared" si="2"/>
        <v>B</v>
      </c>
      <c r="T15" s="73" t="str">
        <f t="shared" si="0"/>
        <v>B+</v>
      </c>
      <c r="U15" s="73" t="str">
        <f t="shared" si="0"/>
        <v>C</v>
      </c>
      <c r="V15" s="73" t="str">
        <f t="shared" si="0"/>
        <v>C</v>
      </c>
      <c r="W15" s="73" t="str">
        <f t="shared" si="0"/>
        <v>B+</v>
      </c>
      <c r="X15" s="73" t="str">
        <f t="shared" si="0"/>
        <v>C</v>
      </c>
      <c r="Y15" s="73" t="str">
        <f t="shared" si="0"/>
        <v>A</v>
      </c>
      <c r="Z15" s="73" t="str">
        <f t="shared" si="0"/>
        <v>B</v>
      </c>
      <c r="AA15" s="73" t="str">
        <f t="shared" si="0"/>
        <v>A</v>
      </c>
      <c r="AK15" s="57" t="s">
        <v>327</v>
      </c>
      <c r="AL15" s="72">
        <f t="shared" ref="AL15:AT17" si="8">AVERAGEIFS(E$5:E$33,$D$5:$D$33,$AK15)</f>
        <v>3.25</v>
      </c>
      <c r="AM15" s="72">
        <f t="shared" si="8"/>
        <v>4</v>
      </c>
      <c r="AN15" s="72">
        <f t="shared" si="8"/>
        <v>4.75</v>
      </c>
      <c r="AO15" s="72">
        <f t="shared" si="8"/>
        <v>4</v>
      </c>
      <c r="AP15" s="72">
        <f t="shared" si="8"/>
        <v>2.25</v>
      </c>
      <c r="AQ15" s="72">
        <f t="shared" si="8"/>
        <v>4.75</v>
      </c>
      <c r="AR15" s="72">
        <f t="shared" si="8"/>
        <v>1.75</v>
      </c>
      <c r="AS15" s="72">
        <f t="shared" si="8"/>
        <v>3</v>
      </c>
      <c r="AT15" s="72">
        <f t="shared" si="8"/>
        <v>4.5</v>
      </c>
    </row>
    <row r="16" spans="2:46" ht="33">
      <c r="B16" s="57"/>
      <c r="C16" s="59" t="s">
        <v>109</v>
      </c>
      <c r="D16" s="57" t="s">
        <v>239</v>
      </c>
      <c r="E16" s="57">
        <v>4</v>
      </c>
      <c r="F16" s="57">
        <v>4</v>
      </c>
      <c r="G16" s="57">
        <v>4</v>
      </c>
      <c r="H16" s="57">
        <v>4</v>
      </c>
      <c r="I16" s="57">
        <v>3</v>
      </c>
      <c r="J16" s="57">
        <v>4</v>
      </c>
      <c r="K16" s="57">
        <v>3</v>
      </c>
      <c r="L16" s="57">
        <v>4</v>
      </c>
      <c r="M16" s="57">
        <v>5</v>
      </c>
      <c r="P16" s="57"/>
      <c r="Q16" s="59" t="s">
        <v>109</v>
      </c>
      <c r="R16" s="57" t="s">
        <v>239</v>
      </c>
      <c r="S16" s="73" t="str">
        <f t="shared" si="2"/>
        <v>B+</v>
      </c>
      <c r="T16" s="73" t="str">
        <f t="shared" si="0"/>
        <v>B+</v>
      </c>
      <c r="U16" s="73" t="str">
        <f t="shared" si="0"/>
        <v>B+</v>
      </c>
      <c r="V16" s="73" t="str">
        <f t="shared" si="0"/>
        <v>B+</v>
      </c>
      <c r="W16" s="73" t="str">
        <f t="shared" si="0"/>
        <v>B</v>
      </c>
      <c r="X16" s="73" t="str">
        <f t="shared" si="0"/>
        <v>B+</v>
      </c>
      <c r="Y16" s="73" t="str">
        <f t="shared" si="0"/>
        <v>B</v>
      </c>
      <c r="Z16" s="73" t="str">
        <f t="shared" si="0"/>
        <v>B+</v>
      </c>
      <c r="AA16" s="73" t="str">
        <f t="shared" si="0"/>
        <v>A</v>
      </c>
      <c r="AK16" s="57" t="s">
        <v>239</v>
      </c>
      <c r="AL16" s="72">
        <f t="shared" si="8"/>
        <v>3.9230769230769229</v>
      </c>
      <c r="AM16" s="72">
        <f t="shared" si="8"/>
        <v>4</v>
      </c>
      <c r="AN16" s="72">
        <f t="shared" si="8"/>
        <v>4</v>
      </c>
      <c r="AO16" s="72">
        <f t="shared" si="8"/>
        <v>2.6153846153846154</v>
      </c>
      <c r="AP16" s="72">
        <f t="shared" si="8"/>
        <v>2.6153846153846154</v>
      </c>
      <c r="AQ16" s="72">
        <f t="shared" si="8"/>
        <v>3.9230769230769229</v>
      </c>
      <c r="AR16" s="72">
        <f t="shared" si="8"/>
        <v>3.6153846153846154</v>
      </c>
      <c r="AS16" s="72">
        <f t="shared" si="8"/>
        <v>3.8461538461538463</v>
      </c>
      <c r="AT16" s="72">
        <f t="shared" si="8"/>
        <v>4.5384615384615383</v>
      </c>
    </row>
    <row r="17" spans="2:46" ht="16.5">
      <c r="B17" s="57"/>
      <c r="C17" s="59" t="s">
        <v>114</v>
      </c>
      <c r="D17" s="57" t="s">
        <v>239</v>
      </c>
      <c r="E17" s="57">
        <v>5</v>
      </c>
      <c r="F17" s="57">
        <v>5</v>
      </c>
      <c r="G17" s="57">
        <v>5</v>
      </c>
      <c r="H17" s="57">
        <v>1</v>
      </c>
      <c r="I17" s="57">
        <v>3</v>
      </c>
      <c r="J17" s="57">
        <v>5</v>
      </c>
      <c r="K17" s="57">
        <v>4</v>
      </c>
      <c r="L17" s="57">
        <v>5</v>
      </c>
      <c r="M17" s="57">
        <v>5</v>
      </c>
      <c r="P17" s="57"/>
      <c r="Q17" s="59" t="s">
        <v>114</v>
      </c>
      <c r="R17" s="57" t="s">
        <v>239</v>
      </c>
      <c r="S17" s="73" t="str">
        <f t="shared" si="2"/>
        <v>A</v>
      </c>
      <c r="T17" s="73" t="str">
        <f t="shared" si="0"/>
        <v>A</v>
      </c>
      <c r="U17" s="73" t="str">
        <f t="shared" si="0"/>
        <v>A</v>
      </c>
      <c r="V17" s="73" t="str">
        <f t="shared" si="0"/>
        <v>C</v>
      </c>
      <c r="W17" s="73" t="str">
        <f t="shared" si="0"/>
        <v>B</v>
      </c>
      <c r="X17" s="73" t="str">
        <f t="shared" si="0"/>
        <v>A</v>
      </c>
      <c r="Y17" s="73" t="str">
        <f t="shared" si="0"/>
        <v>B+</v>
      </c>
      <c r="Z17" s="73" t="str">
        <f t="shared" si="0"/>
        <v>A</v>
      </c>
      <c r="AA17" s="73" t="str">
        <f t="shared" si="0"/>
        <v>A</v>
      </c>
      <c r="AK17" s="57" t="s">
        <v>245</v>
      </c>
      <c r="AL17" s="72">
        <f t="shared" si="8"/>
        <v>3.625</v>
      </c>
      <c r="AM17" s="72">
        <f t="shared" si="8"/>
        <v>2.75</v>
      </c>
      <c r="AN17" s="72">
        <f t="shared" si="8"/>
        <v>4.375</v>
      </c>
      <c r="AO17" s="72">
        <f t="shared" si="8"/>
        <v>2.25</v>
      </c>
      <c r="AP17" s="72">
        <f t="shared" si="8"/>
        <v>3.625</v>
      </c>
      <c r="AQ17" s="72">
        <f t="shared" si="8"/>
        <v>4.75</v>
      </c>
      <c r="AR17" s="72">
        <f t="shared" si="8"/>
        <v>2.375</v>
      </c>
      <c r="AS17" s="72">
        <f t="shared" si="8"/>
        <v>2.375</v>
      </c>
      <c r="AT17" s="72">
        <f t="shared" si="8"/>
        <v>3.75</v>
      </c>
    </row>
    <row r="18" spans="2:46" ht="33">
      <c r="B18" s="57" t="s">
        <v>722</v>
      </c>
      <c r="C18" s="59" t="s">
        <v>130</v>
      </c>
      <c r="D18" s="57" t="s">
        <v>320</v>
      </c>
      <c r="E18" s="57" t="s">
        <v>725</v>
      </c>
      <c r="F18" s="57" t="s">
        <v>725</v>
      </c>
      <c r="G18" s="57" t="s">
        <v>725</v>
      </c>
      <c r="H18" s="57" t="s">
        <v>725</v>
      </c>
      <c r="I18" s="57" t="s">
        <v>725</v>
      </c>
      <c r="J18" s="57" t="s">
        <v>725</v>
      </c>
      <c r="K18" s="57" t="s">
        <v>725</v>
      </c>
      <c r="L18" s="57" t="s">
        <v>725</v>
      </c>
      <c r="M18" s="57" t="s">
        <v>725</v>
      </c>
      <c r="P18" s="57" t="s">
        <v>722</v>
      </c>
      <c r="Q18" s="59" t="s">
        <v>130</v>
      </c>
      <c r="R18" s="57" t="s">
        <v>320</v>
      </c>
      <c r="S18" s="73" t="str">
        <f t="shared" si="2"/>
        <v>-</v>
      </c>
      <c r="T18" s="73" t="str">
        <f t="shared" si="0"/>
        <v>-</v>
      </c>
      <c r="U18" s="73" t="str">
        <f t="shared" si="0"/>
        <v>-</v>
      </c>
      <c r="V18" s="73" t="str">
        <f t="shared" si="0"/>
        <v>-</v>
      </c>
      <c r="W18" s="73" t="str">
        <f t="shared" si="0"/>
        <v>-</v>
      </c>
      <c r="X18" s="73" t="str">
        <f t="shared" si="0"/>
        <v>-</v>
      </c>
      <c r="Y18" s="73" t="str">
        <f t="shared" si="0"/>
        <v>-</v>
      </c>
      <c r="Z18" s="73" t="str">
        <f t="shared" si="0"/>
        <v>-</v>
      </c>
      <c r="AA18" s="73" t="str">
        <f t="shared" si="0"/>
        <v>-</v>
      </c>
    </row>
    <row r="19" spans="2:46" ht="16.5">
      <c r="B19" s="57"/>
      <c r="C19" s="59" t="s">
        <v>125</v>
      </c>
      <c r="D19" s="57" t="s">
        <v>245</v>
      </c>
      <c r="E19" s="57">
        <v>4</v>
      </c>
      <c r="F19" s="57">
        <v>4</v>
      </c>
      <c r="G19" s="57">
        <v>5</v>
      </c>
      <c r="H19" s="57">
        <v>1</v>
      </c>
      <c r="I19" s="57">
        <v>3</v>
      </c>
      <c r="J19" s="57">
        <v>5</v>
      </c>
      <c r="K19" s="57">
        <v>1</v>
      </c>
      <c r="L19" s="57">
        <v>2</v>
      </c>
      <c r="M19" s="57">
        <v>1</v>
      </c>
      <c r="P19" s="57"/>
      <c r="Q19" s="59" t="s">
        <v>125</v>
      </c>
      <c r="R19" s="57" t="s">
        <v>245</v>
      </c>
      <c r="S19" s="73" t="str">
        <f t="shared" si="2"/>
        <v>B+</v>
      </c>
      <c r="T19" s="73" t="str">
        <f t="shared" si="0"/>
        <v>B+</v>
      </c>
      <c r="U19" s="73" t="str">
        <f t="shared" si="0"/>
        <v>A</v>
      </c>
      <c r="V19" s="73" t="str">
        <f t="shared" si="0"/>
        <v>C</v>
      </c>
      <c r="W19" s="73" t="str">
        <f t="shared" si="0"/>
        <v>B</v>
      </c>
      <c r="X19" s="73" t="str">
        <f t="shared" si="0"/>
        <v>A</v>
      </c>
      <c r="Y19" s="73" t="str">
        <f t="shared" si="0"/>
        <v>C</v>
      </c>
      <c r="Z19" s="73" t="str">
        <f t="shared" si="0"/>
        <v>B-</v>
      </c>
      <c r="AA19" s="73" t="str">
        <f t="shared" si="0"/>
        <v>C</v>
      </c>
    </row>
    <row r="20" spans="2:46" ht="33">
      <c r="B20" s="57"/>
      <c r="C20" s="59" t="s">
        <v>131</v>
      </c>
      <c r="D20" s="57" t="s">
        <v>320</v>
      </c>
      <c r="E20" s="57">
        <v>4</v>
      </c>
      <c r="F20" s="57">
        <v>5</v>
      </c>
      <c r="G20" s="57">
        <v>4</v>
      </c>
      <c r="H20" s="57">
        <v>4</v>
      </c>
      <c r="I20" s="57">
        <v>4</v>
      </c>
      <c r="J20" s="57">
        <v>4</v>
      </c>
      <c r="K20" s="57">
        <v>2</v>
      </c>
      <c r="L20" s="57">
        <v>4</v>
      </c>
      <c r="M20" s="57">
        <v>3</v>
      </c>
      <c r="P20" s="57"/>
      <c r="Q20" s="59" t="s">
        <v>131</v>
      </c>
      <c r="R20" s="57" t="s">
        <v>320</v>
      </c>
      <c r="S20" s="73" t="str">
        <f t="shared" si="2"/>
        <v>B+</v>
      </c>
      <c r="T20" s="73" t="str">
        <f t="shared" si="0"/>
        <v>A</v>
      </c>
      <c r="U20" s="73" t="str">
        <f t="shared" si="0"/>
        <v>B+</v>
      </c>
      <c r="V20" s="73" t="str">
        <f t="shared" si="0"/>
        <v>B+</v>
      </c>
      <c r="W20" s="73" t="str">
        <f t="shared" si="0"/>
        <v>B+</v>
      </c>
      <c r="X20" s="73" t="str">
        <f t="shared" si="0"/>
        <v>B+</v>
      </c>
      <c r="Y20" s="73" t="str">
        <f t="shared" si="0"/>
        <v>B-</v>
      </c>
      <c r="Z20" s="73" t="str">
        <f t="shared" si="0"/>
        <v>B+</v>
      </c>
      <c r="AA20" s="73" t="str">
        <f t="shared" si="0"/>
        <v>B</v>
      </c>
    </row>
    <row r="21" spans="2:46" ht="33">
      <c r="B21" s="57"/>
      <c r="C21" s="59" t="s">
        <v>134</v>
      </c>
      <c r="D21" s="57" t="s">
        <v>245</v>
      </c>
      <c r="E21" s="57">
        <v>4</v>
      </c>
      <c r="F21" s="57">
        <v>3</v>
      </c>
      <c r="G21" s="57">
        <v>3</v>
      </c>
      <c r="H21" s="57">
        <v>1</v>
      </c>
      <c r="I21" s="57">
        <v>3</v>
      </c>
      <c r="J21" s="57">
        <v>5</v>
      </c>
      <c r="K21" s="57">
        <v>1</v>
      </c>
      <c r="L21" s="57">
        <v>3</v>
      </c>
      <c r="M21" s="57">
        <v>5</v>
      </c>
      <c r="P21" s="57"/>
      <c r="Q21" s="59" t="s">
        <v>134</v>
      </c>
      <c r="R21" s="57" t="s">
        <v>245</v>
      </c>
      <c r="S21" s="73" t="str">
        <f t="shared" si="2"/>
        <v>B+</v>
      </c>
      <c r="T21" s="73" t="str">
        <f t="shared" ref="T21:T33" si="9">IF(F21=1,"C",IF(F21=2,"B-",IF(F21=3,"B",IF(F21=4,"B+",IF(F21=5,"A","-")))))</f>
        <v>B</v>
      </c>
      <c r="U21" s="73" t="str">
        <f t="shared" ref="U21:U33" si="10">IF(G21=1,"C",IF(G21=2,"B-",IF(G21=3,"B",IF(G21=4,"B+",IF(G21=5,"A","-")))))</f>
        <v>B</v>
      </c>
      <c r="V21" s="73" t="str">
        <f t="shared" ref="V21:V33" si="11">IF(H21=1,"C",IF(H21=2,"B-",IF(H21=3,"B",IF(H21=4,"B+",IF(H21=5,"A","-")))))</f>
        <v>C</v>
      </c>
      <c r="W21" s="73" t="str">
        <f t="shared" ref="W21:W33" si="12">IF(I21=1,"C",IF(I21=2,"B-",IF(I21=3,"B",IF(I21=4,"B+",IF(I21=5,"A","-")))))</f>
        <v>B</v>
      </c>
      <c r="X21" s="73" t="str">
        <f t="shared" ref="X21:X33" si="13">IF(J21=1,"C",IF(J21=2,"B-",IF(J21=3,"B",IF(J21=4,"B+",IF(J21=5,"A","-")))))</f>
        <v>A</v>
      </c>
      <c r="Y21" s="73" t="str">
        <f t="shared" ref="Y21:Y33" si="14">IF(K21=1,"C",IF(K21=2,"B-",IF(K21=3,"B",IF(K21=4,"B+",IF(K21=5,"A","-")))))</f>
        <v>C</v>
      </c>
      <c r="Z21" s="73" t="str">
        <f t="shared" ref="Z21:Z33" si="15">IF(L21=1,"C",IF(L21=2,"B-",IF(L21=3,"B",IF(L21=4,"B+",IF(L21=5,"A","-")))))</f>
        <v>B</v>
      </c>
      <c r="AA21" s="73" t="str">
        <f t="shared" ref="AA21:AA33" si="16">IF(M21=1,"C",IF(M21=2,"B-",IF(M21=3,"B",IF(M21=4,"B+",IF(M21=5,"A","-")))))</f>
        <v>A</v>
      </c>
    </row>
    <row r="22" spans="2:46" ht="16.5">
      <c r="B22" s="57"/>
      <c r="C22" s="59" t="s">
        <v>139</v>
      </c>
      <c r="D22" s="57" t="s">
        <v>245</v>
      </c>
      <c r="E22" s="57">
        <v>2</v>
      </c>
      <c r="F22" s="57">
        <v>3</v>
      </c>
      <c r="G22" s="57">
        <v>5</v>
      </c>
      <c r="H22" s="57">
        <v>3</v>
      </c>
      <c r="I22" s="57">
        <v>3</v>
      </c>
      <c r="J22" s="57">
        <v>3</v>
      </c>
      <c r="K22" s="57">
        <v>1</v>
      </c>
      <c r="L22" s="57">
        <v>2</v>
      </c>
      <c r="M22" s="57">
        <v>5</v>
      </c>
      <c r="P22" s="57"/>
      <c r="Q22" s="59" t="s">
        <v>139</v>
      </c>
      <c r="R22" s="57" t="s">
        <v>245</v>
      </c>
      <c r="S22" s="73" t="str">
        <f t="shared" si="2"/>
        <v>B-</v>
      </c>
      <c r="T22" s="73" t="str">
        <f t="shared" si="9"/>
        <v>B</v>
      </c>
      <c r="U22" s="73" t="str">
        <f t="shared" si="10"/>
        <v>A</v>
      </c>
      <c r="V22" s="73" t="str">
        <f t="shared" si="11"/>
        <v>B</v>
      </c>
      <c r="W22" s="73" t="str">
        <f t="shared" si="12"/>
        <v>B</v>
      </c>
      <c r="X22" s="73" t="str">
        <f t="shared" si="13"/>
        <v>B</v>
      </c>
      <c r="Y22" s="73" t="str">
        <f t="shared" si="14"/>
        <v>C</v>
      </c>
      <c r="Z22" s="73" t="str">
        <f t="shared" si="15"/>
        <v>B-</v>
      </c>
      <c r="AA22" s="73" t="str">
        <f t="shared" si="16"/>
        <v>A</v>
      </c>
    </row>
    <row r="23" spans="2:46" ht="16.5">
      <c r="B23" s="57"/>
      <c r="C23" s="59" t="s">
        <v>144</v>
      </c>
      <c r="D23" s="57" t="s">
        <v>320</v>
      </c>
      <c r="E23" s="57">
        <v>4</v>
      </c>
      <c r="F23" s="57">
        <v>4</v>
      </c>
      <c r="G23" s="57">
        <v>5</v>
      </c>
      <c r="H23" s="57">
        <v>4</v>
      </c>
      <c r="I23" s="57">
        <v>3</v>
      </c>
      <c r="J23" s="57">
        <v>5</v>
      </c>
      <c r="K23" s="57">
        <v>3</v>
      </c>
      <c r="L23" s="57">
        <v>5</v>
      </c>
      <c r="M23" s="57">
        <v>5</v>
      </c>
      <c r="P23" s="57"/>
      <c r="Q23" s="59" t="s">
        <v>144</v>
      </c>
      <c r="R23" s="57" t="s">
        <v>320</v>
      </c>
      <c r="S23" s="73" t="str">
        <f t="shared" si="2"/>
        <v>B+</v>
      </c>
      <c r="T23" s="73" t="str">
        <f t="shared" si="9"/>
        <v>B+</v>
      </c>
      <c r="U23" s="73" t="str">
        <f t="shared" si="10"/>
        <v>A</v>
      </c>
      <c r="V23" s="73" t="str">
        <f t="shared" si="11"/>
        <v>B+</v>
      </c>
      <c r="W23" s="73" t="str">
        <f t="shared" si="12"/>
        <v>B</v>
      </c>
      <c r="X23" s="73" t="str">
        <f t="shared" si="13"/>
        <v>A</v>
      </c>
      <c r="Y23" s="73" t="str">
        <f t="shared" si="14"/>
        <v>B</v>
      </c>
      <c r="Z23" s="73" t="str">
        <f t="shared" si="15"/>
        <v>A</v>
      </c>
      <c r="AA23" s="73" t="str">
        <f t="shared" si="16"/>
        <v>A</v>
      </c>
    </row>
    <row r="24" spans="2:46" ht="16.5">
      <c r="B24" s="57"/>
      <c r="C24" s="59" t="s">
        <v>149</v>
      </c>
      <c r="D24" s="57" t="s">
        <v>245</v>
      </c>
      <c r="E24" s="57" t="s">
        <v>725</v>
      </c>
      <c r="F24" s="57" t="s">
        <v>725</v>
      </c>
      <c r="G24" s="57" t="s">
        <v>725</v>
      </c>
      <c r="H24" s="57" t="s">
        <v>725</v>
      </c>
      <c r="I24" s="57" t="s">
        <v>725</v>
      </c>
      <c r="J24" s="57" t="s">
        <v>725</v>
      </c>
      <c r="K24" s="57" t="s">
        <v>725</v>
      </c>
      <c r="L24" s="57" t="s">
        <v>725</v>
      </c>
      <c r="M24" s="57" t="s">
        <v>725</v>
      </c>
      <c r="P24" s="57"/>
      <c r="Q24" s="59" t="s">
        <v>149</v>
      </c>
      <c r="R24" s="57" t="s">
        <v>245</v>
      </c>
      <c r="S24" s="73" t="str">
        <f t="shared" si="2"/>
        <v>-</v>
      </c>
      <c r="T24" s="73" t="str">
        <f t="shared" si="9"/>
        <v>-</v>
      </c>
      <c r="U24" s="73" t="str">
        <f t="shared" si="10"/>
        <v>-</v>
      </c>
      <c r="V24" s="73" t="str">
        <f t="shared" si="11"/>
        <v>-</v>
      </c>
      <c r="W24" s="73" t="str">
        <f t="shared" si="12"/>
        <v>-</v>
      </c>
      <c r="X24" s="73" t="str">
        <f t="shared" si="13"/>
        <v>-</v>
      </c>
      <c r="Y24" s="73" t="str">
        <f t="shared" si="14"/>
        <v>-</v>
      </c>
      <c r="Z24" s="73" t="str">
        <f t="shared" si="15"/>
        <v>-</v>
      </c>
      <c r="AA24" s="73" t="str">
        <f t="shared" si="16"/>
        <v>-</v>
      </c>
    </row>
    <row r="25" spans="2:46" ht="33">
      <c r="B25" s="57"/>
      <c r="C25" s="59" t="s">
        <v>152</v>
      </c>
      <c r="D25" s="57" t="s">
        <v>239</v>
      </c>
      <c r="E25" s="57">
        <v>4</v>
      </c>
      <c r="F25" s="57">
        <v>4</v>
      </c>
      <c r="G25" s="57">
        <v>5</v>
      </c>
      <c r="H25" s="57">
        <v>3</v>
      </c>
      <c r="I25" s="57">
        <v>4</v>
      </c>
      <c r="J25" s="57">
        <v>4</v>
      </c>
      <c r="K25" s="57">
        <v>4</v>
      </c>
      <c r="L25" s="57">
        <v>4</v>
      </c>
      <c r="M25" s="57">
        <v>4</v>
      </c>
      <c r="P25" s="57"/>
      <c r="Q25" s="59" t="s">
        <v>152</v>
      </c>
      <c r="R25" s="57" t="s">
        <v>239</v>
      </c>
      <c r="S25" s="73" t="str">
        <f t="shared" si="2"/>
        <v>B+</v>
      </c>
      <c r="T25" s="73" t="str">
        <f t="shared" si="9"/>
        <v>B+</v>
      </c>
      <c r="U25" s="73" t="str">
        <f t="shared" si="10"/>
        <v>A</v>
      </c>
      <c r="V25" s="73" t="str">
        <f t="shared" si="11"/>
        <v>B</v>
      </c>
      <c r="W25" s="73" t="str">
        <f t="shared" si="12"/>
        <v>B+</v>
      </c>
      <c r="X25" s="73" t="str">
        <f t="shared" si="13"/>
        <v>B+</v>
      </c>
      <c r="Y25" s="73" t="str">
        <f t="shared" si="14"/>
        <v>B+</v>
      </c>
      <c r="Z25" s="73" t="str">
        <f t="shared" si="15"/>
        <v>B+</v>
      </c>
      <c r="AA25" s="73" t="str">
        <f t="shared" si="16"/>
        <v>B+</v>
      </c>
    </row>
    <row r="26" spans="2:46" ht="33">
      <c r="B26" s="57"/>
      <c r="C26" s="59" t="s">
        <v>157</v>
      </c>
      <c r="D26" s="57" t="s">
        <v>239</v>
      </c>
      <c r="E26" s="57">
        <v>5</v>
      </c>
      <c r="F26" s="57">
        <v>4</v>
      </c>
      <c r="G26" s="57">
        <v>5</v>
      </c>
      <c r="H26" s="57">
        <v>3</v>
      </c>
      <c r="I26" s="57">
        <v>1</v>
      </c>
      <c r="J26" s="57">
        <v>4</v>
      </c>
      <c r="K26" s="57">
        <v>4</v>
      </c>
      <c r="L26" s="57">
        <v>4</v>
      </c>
      <c r="M26" s="57">
        <v>4</v>
      </c>
      <c r="P26" s="57"/>
      <c r="Q26" s="59" t="s">
        <v>157</v>
      </c>
      <c r="R26" s="57" t="s">
        <v>239</v>
      </c>
      <c r="S26" s="73" t="str">
        <f t="shared" si="2"/>
        <v>A</v>
      </c>
      <c r="T26" s="73" t="str">
        <f t="shared" si="9"/>
        <v>B+</v>
      </c>
      <c r="U26" s="73" t="str">
        <f t="shared" si="10"/>
        <v>A</v>
      </c>
      <c r="V26" s="73" t="str">
        <f t="shared" si="11"/>
        <v>B</v>
      </c>
      <c r="W26" s="73" t="str">
        <f t="shared" si="12"/>
        <v>C</v>
      </c>
      <c r="X26" s="73" t="str">
        <f t="shared" si="13"/>
        <v>B+</v>
      </c>
      <c r="Y26" s="73" t="str">
        <f t="shared" si="14"/>
        <v>B+</v>
      </c>
      <c r="Z26" s="73" t="str">
        <f t="shared" si="15"/>
        <v>B+</v>
      </c>
      <c r="AA26" s="73" t="str">
        <f t="shared" si="16"/>
        <v>B+</v>
      </c>
    </row>
    <row r="27" spans="2:46" ht="33">
      <c r="B27" s="57"/>
      <c r="C27" s="59" t="s">
        <v>162</v>
      </c>
      <c r="D27" s="57" t="s">
        <v>239</v>
      </c>
      <c r="E27" s="57">
        <v>4</v>
      </c>
      <c r="F27" s="57">
        <v>3</v>
      </c>
      <c r="G27" s="57">
        <v>5</v>
      </c>
      <c r="H27" s="57">
        <v>3</v>
      </c>
      <c r="I27" s="57">
        <v>1</v>
      </c>
      <c r="J27" s="57">
        <v>3</v>
      </c>
      <c r="K27" s="57">
        <v>4</v>
      </c>
      <c r="L27" s="57">
        <v>3</v>
      </c>
      <c r="M27" s="57">
        <v>5</v>
      </c>
      <c r="P27" s="57"/>
      <c r="Q27" s="59" t="s">
        <v>162</v>
      </c>
      <c r="R27" s="57" t="s">
        <v>239</v>
      </c>
      <c r="S27" s="73" t="str">
        <f t="shared" si="2"/>
        <v>B+</v>
      </c>
      <c r="T27" s="73" t="str">
        <f t="shared" si="9"/>
        <v>B</v>
      </c>
      <c r="U27" s="73" t="str">
        <f t="shared" si="10"/>
        <v>A</v>
      </c>
      <c r="V27" s="73" t="str">
        <f t="shared" si="11"/>
        <v>B</v>
      </c>
      <c r="W27" s="73" t="str">
        <f t="shared" si="12"/>
        <v>C</v>
      </c>
      <c r="X27" s="73" t="str">
        <f t="shared" si="13"/>
        <v>B</v>
      </c>
      <c r="Y27" s="73" t="str">
        <f t="shared" si="14"/>
        <v>B+</v>
      </c>
      <c r="Z27" s="73" t="str">
        <f t="shared" si="15"/>
        <v>B</v>
      </c>
      <c r="AA27" s="73" t="str">
        <f t="shared" si="16"/>
        <v>A</v>
      </c>
    </row>
    <row r="28" spans="2:46" ht="33">
      <c r="B28" s="57"/>
      <c r="C28" s="59" t="s">
        <v>167</v>
      </c>
      <c r="D28" s="57" t="s">
        <v>239</v>
      </c>
      <c r="E28" s="57">
        <v>3</v>
      </c>
      <c r="F28" s="57">
        <v>3</v>
      </c>
      <c r="G28" s="57">
        <v>3</v>
      </c>
      <c r="H28" s="57">
        <v>3</v>
      </c>
      <c r="I28" s="57">
        <v>2</v>
      </c>
      <c r="J28" s="57">
        <v>3</v>
      </c>
      <c r="K28" s="57">
        <v>2</v>
      </c>
      <c r="L28" s="57">
        <v>3</v>
      </c>
      <c r="M28" s="57">
        <v>5</v>
      </c>
      <c r="P28" s="57"/>
      <c r="Q28" s="59" t="s">
        <v>167</v>
      </c>
      <c r="R28" s="57" t="s">
        <v>239</v>
      </c>
      <c r="S28" s="73" t="str">
        <f t="shared" si="2"/>
        <v>B</v>
      </c>
      <c r="T28" s="73" t="str">
        <f t="shared" si="9"/>
        <v>B</v>
      </c>
      <c r="U28" s="73" t="str">
        <f t="shared" si="10"/>
        <v>B</v>
      </c>
      <c r="V28" s="73" t="str">
        <f t="shared" si="11"/>
        <v>B</v>
      </c>
      <c r="W28" s="73" t="str">
        <f t="shared" si="12"/>
        <v>B-</v>
      </c>
      <c r="X28" s="73" t="str">
        <f t="shared" si="13"/>
        <v>B</v>
      </c>
      <c r="Y28" s="73" t="str">
        <f t="shared" si="14"/>
        <v>B-</v>
      </c>
      <c r="Z28" s="73" t="str">
        <f t="shared" si="15"/>
        <v>B</v>
      </c>
      <c r="AA28" s="73" t="str">
        <f t="shared" si="16"/>
        <v>A</v>
      </c>
    </row>
    <row r="29" spans="2:46" ht="16.5">
      <c r="B29" s="57" t="s">
        <v>723</v>
      </c>
      <c r="C29" s="59" t="s">
        <v>175</v>
      </c>
      <c r="D29" s="57" t="s">
        <v>239</v>
      </c>
      <c r="E29" s="57">
        <v>3</v>
      </c>
      <c r="F29" s="57">
        <v>5</v>
      </c>
      <c r="G29" s="57">
        <v>4</v>
      </c>
      <c r="H29" s="57">
        <v>4</v>
      </c>
      <c r="I29" s="57">
        <v>2</v>
      </c>
      <c r="J29" s="57">
        <v>5</v>
      </c>
      <c r="K29" s="57">
        <v>4</v>
      </c>
      <c r="L29" s="57">
        <v>4</v>
      </c>
      <c r="M29" s="57">
        <v>4</v>
      </c>
      <c r="P29" s="57" t="s">
        <v>723</v>
      </c>
      <c r="Q29" s="59" t="s">
        <v>175</v>
      </c>
      <c r="R29" s="57" t="s">
        <v>239</v>
      </c>
      <c r="S29" s="73" t="str">
        <f t="shared" si="2"/>
        <v>B</v>
      </c>
      <c r="T29" s="73" t="str">
        <f t="shared" si="9"/>
        <v>A</v>
      </c>
      <c r="U29" s="73" t="str">
        <f t="shared" si="10"/>
        <v>B+</v>
      </c>
      <c r="V29" s="73" t="str">
        <f t="shared" si="11"/>
        <v>B+</v>
      </c>
      <c r="W29" s="73" t="str">
        <f t="shared" si="12"/>
        <v>B-</v>
      </c>
      <c r="X29" s="73" t="str">
        <f t="shared" si="13"/>
        <v>A</v>
      </c>
      <c r="Y29" s="73" t="str">
        <f t="shared" si="14"/>
        <v>B+</v>
      </c>
      <c r="Z29" s="73" t="str">
        <f t="shared" si="15"/>
        <v>B+</v>
      </c>
      <c r="AA29" s="73" t="str">
        <f t="shared" si="16"/>
        <v>B+</v>
      </c>
    </row>
    <row r="30" spans="2:46">
      <c r="B30" s="57"/>
      <c r="C30"/>
      <c r="D30" s="57" t="s">
        <v>239</v>
      </c>
      <c r="E30" s="57">
        <v>3</v>
      </c>
      <c r="F30" s="57">
        <v>5</v>
      </c>
      <c r="G30" s="57">
        <v>4</v>
      </c>
      <c r="H30" s="57">
        <v>3</v>
      </c>
      <c r="I30" s="57">
        <v>2</v>
      </c>
      <c r="J30" s="57">
        <v>5</v>
      </c>
      <c r="K30" s="57">
        <v>3</v>
      </c>
      <c r="L30" s="57">
        <v>5</v>
      </c>
      <c r="M30" s="57">
        <v>4</v>
      </c>
      <c r="P30" s="57"/>
      <c r="Q30"/>
      <c r="R30" s="57" t="s">
        <v>239</v>
      </c>
      <c r="S30" s="73" t="str">
        <f t="shared" si="2"/>
        <v>B</v>
      </c>
      <c r="T30" s="73" t="str">
        <f t="shared" si="9"/>
        <v>A</v>
      </c>
      <c r="U30" s="73" t="str">
        <f t="shared" si="10"/>
        <v>B+</v>
      </c>
      <c r="V30" s="73" t="str">
        <f t="shared" si="11"/>
        <v>B</v>
      </c>
      <c r="W30" s="73" t="str">
        <f t="shared" si="12"/>
        <v>B-</v>
      </c>
      <c r="X30" s="73" t="str">
        <f t="shared" si="13"/>
        <v>A</v>
      </c>
      <c r="Y30" s="73" t="str">
        <f t="shared" si="14"/>
        <v>B</v>
      </c>
      <c r="Z30" s="73" t="str">
        <f t="shared" si="15"/>
        <v>A</v>
      </c>
      <c r="AA30" s="73" t="str">
        <f t="shared" si="16"/>
        <v>B+</v>
      </c>
    </row>
    <row r="31" spans="2:46" ht="16.5">
      <c r="B31" s="57"/>
      <c r="C31" s="59" t="s">
        <v>178</v>
      </c>
      <c r="D31" s="57" t="s">
        <v>239</v>
      </c>
      <c r="E31" s="57">
        <v>4</v>
      </c>
      <c r="F31" s="57">
        <v>1</v>
      </c>
      <c r="G31" s="57">
        <v>2</v>
      </c>
      <c r="H31" s="57">
        <v>1</v>
      </c>
      <c r="I31" s="57">
        <v>1</v>
      </c>
      <c r="J31" s="57">
        <v>2</v>
      </c>
      <c r="K31" s="57">
        <v>1</v>
      </c>
      <c r="L31" s="57">
        <v>1</v>
      </c>
      <c r="M31" s="57">
        <v>3</v>
      </c>
      <c r="P31" s="57"/>
      <c r="Q31" s="59" t="s">
        <v>178</v>
      </c>
      <c r="R31" s="57" t="s">
        <v>239</v>
      </c>
      <c r="S31" s="73" t="str">
        <f t="shared" si="2"/>
        <v>B+</v>
      </c>
      <c r="T31" s="73" t="str">
        <f t="shared" si="9"/>
        <v>C</v>
      </c>
      <c r="U31" s="73" t="str">
        <f t="shared" si="10"/>
        <v>B-</v>
      </c>
      <c r="V31" s="73" t="str">
        <f t="shared" si="11"/>
        <v>C</v>
      </c>
      <c r="W31" s="73" t="str">
        <f t="shared" si="12"/>
        <v>C</v>
      </c>
      <c r="X31" s="73" t="str">
        <f t="shared" si="13"/>
        <v>B-</v>
      </c>
      <c r="Y31" s="73" t="str">
        <f t="shared" si="14"/>
        <v>C</v>
      </c>
      <c r="Z31" s="73" t="str">
        <f t="shared" si="15"/>
        <v>C</v>
      </c>
      <c r="AA31" s="73" t="str">
        <f t="shared" si="16"/>
        <v>B</v>
      </c>
    </row>
    <row r="32" spans="2:46" ht="16.5">
      <c r="B32" s="57"/>
      <c r="C32" s="58"/>
      <c r="D32" s="57" t="s">
        <v>239</v>
      </c>
      <c r="E32" s="57" t="s">
        <v>725</v>
      </c>
      <c r="F32" s="57" t="s">
        <v>725</v>
      </c>
      <c r="G32" s="57" t="s">
        <v>725</v>
      </c>
      <c r="H32" s="57" t="s">
        <v>725</v>
      </c>
      <c r="I32" s="57" t="s">
        <v>725</v>
      </c>
      <c r="J32" s="57" t="s">
        <v>725</v>
      </c>
      <c r="K32" s="57" t="s">
        <v>725</v>
      </c>
      <c r="L32" s="57" t="s">
        <v>725</v>
      </c>
      <c r="M32" s="57" t="s">
        <v>725</v>
      </c>
      <c r="P32" s="57"/>
      <c r="Q32" s="58"/>
      <c r="R32" s="57" t="s">
        <v>239</v>
      </c>
      <c r="S32" s="73" t="str">
        <f t="shared" si="2"/>
        <v>-</v>
      </c>
      <c r="T32" s="73" t="str">
        <f t="shared" si="9"/>
        <v>-</v>
      </c>
      <c r="U32" s="73" t="str">
        <f t="shared" si="10"/>
        <v>-</v>
      </c>
      <c r="V32" s="73" t="str">
        <f t="shared" si="11"/>
        <v>-</v>
      </c>
      <c r="W32" s="73" t="str">
        <f t="shared" si="12"/>
        <v>-</v>
      </c>
      <c r="X32" s="73" t="str">
        <f t="shared" si="13"/>
        <v>-</v>
      </c>
      <c r="Y32" s="73" t="str">
        <f t="shared" si="14"/>
        <v>-</v>
      </c>
      <c r="Z32" s="73" t="str">
        <f t="shared" si="15"/>
        <v>-</v>
      </c>
      <c r="AA32" s="73" t="str">
        <f t="shared" si="16"/>
        <v>-</v>
      </c>
    </row>
    <row r="33" spans="2:27" ht="16.5">
      <c r="B33" s="57"/>
      <c r="C33" s="58" t="s">
        <v>184</v>
      </c>
      <c r="D33" s="57" t="s">
        <v>239</v>
      </c>
      <c r="E33" s="57">
        <v>5</v>
      </c>
      <c r="F33" s="57">
        <v>4</v>
      </c>
      <c r="G33" s="57">
        <v>4</v>
      </c>
      <c r="H33" s="57">
        <v>2</v>
      </c>
      <c r="I33" s="57">
        <v>5</v>
      </c>
      <c r="J33" s="57">
        <v>5</v>
      </c>
      <c r="K33" s="57">
        <v>4</v>
      </c>
      <c r="L33" s="57">
        <v>4</v>
      </c>
      <c r="M33" s="57">
        <v>5</v>
      </c>
      <c r="P33" s="57"/>
      <c r="Q33" s="58" t="s">
        <v>184</v>
      </c>
      <c r="R33" s="57" t="s">
        <v>239</v>
      </c>
      <c r="S33" s="73" t="str">
        <f t="shared" si="2"/>
        <v>A</v>
      </c>
      <c r="T33" s="73" t="str">
        <f t="shared" si="9"/>
        <v>B+</v>
      </c>
      <c r="U33" s="73" t="str">
        <f t="shared" si="10"/>
        <v>B+</v>
      </c>
      <c r="V33" s="73" t="str">
        <f t="shared" si="11"/>
        <v>B-</v>
      </c>
      <c r="W33" s="73" t="str">
        <f t="shared" si="12"/>
        <v>A</v>
      </c>
      <c r="X33" s="73" t="str">
        <f t="shared" si="13"/>
        <v>A</v>
      </c>
      <c r="Y33" s="73" t="str">
        <f t="shared" si="14"/>
        <v>B+</v>
      </c>
      <c r="Z33" s="73" t="str">
        <f t="shared" si="15"/>
        <v>B+</v>
      </c>
      <c r="AA33" s="73" t="str">
        <f t="shared" si="16"/>
        <v>A</v>
      </c>
    </row>
    <row r="35" spans="2:27" hidden="1"/>
    <row r="36" spans="2:27" hidden="1">
      <c r="D36" s="57" t="s">
        <v>719</v>
      </c>
      <c r="E36" s="72">
        <f>AVERAGE(E5:E7)</f>
        <v>4.333333333333333</v>
      </c>
      <c r="F36" s="72">
        <f t="shared" ref="F36:M36" si="17">AVERAGE(F5:F7)</f>
        <v>3.6666666666666665</v>
      </c>
      <c r="G36" s="72">
        <f t="shared" si="17"/>
        <v>5</v>
      </c>
      <c r="H36" s="72">
        <f t="shared" si="17"/>
        <v>3.6666666666666665</v>
      </c>
      <c r="I36" s="72">
        <f t="shared" si="17"/>
        <v>3.6666666666666665</v>
      </c>
      <c r="J36" s="72">
        <f t="shared" si="17"/>
        <v>5</v>
      </c>
      <c r="K36" s="72">
        <f t="shared" si="17"/>
        <v>4.666666666666667</v>
      </c>
      <c r="L36" s="72">
        <f t="shared" si="17"/>
        <v>4.666666666666667</v>
      </c>
      <c r="M36" s="72">
        <f t="shared" si="17"/>
        <v>3.6666666666666665</v>
      </c>
    </row>
    <row r="37" spans="2:27" hidden="1">
      <c r="D37" s="57" t="s">
        <v>720</v>
      </c>
      <c r="E37" s="72">
        <f>AVERAGE(E8:E14)</f>
        <v>3.1666666666666665</v>
      </c>
      <c r="F37" s="72">
        <f t="shared" ref="F37:M37" si="18">AVERAGE(F8:F14)</f>
        <v>3</v>
      </c>
      <c r="G37" s="72">
        <f t="shared" si="18"/>
        <v>4.5</v>
      </c>
      <c r="H37" s="72">
        <f t="shared" si="18"/>
        <v>2</v>
      </c>
      <c r="I37" s="72">
        <f t="shared" si="18"/>
        <v>2.8333333333333335</v>
      </c>
      <c r="J37" s="72">
        <f t="shared" si="18"/>
        <v>5</v>
      </c>
      <c r="K37" s="72">
        <f t="shared" si="18"/>
        <v>2.1666666666666665</v>
      </c>
      <c r="L37" s="72">
        <f t="shared" si="18"/>
        <v>1.8333333333333333</v>
      </c>
      <c r="M37" s="72">
        <f t="shared" si="18"/>
        <v>4.666666666666667</v>
      </c>
    </row>
    <row r="38" spans="2:27" hidden="1">
      <c r="D38" s="57" t="s">
        <v>721</v>
      </c>
      <c r="E38" s="72">
        <f>AVERAGE(E15:E17)</f>
        <v>4</v>
      </c>
      <c r="F38" s="72">
        <f t="shared" ref="F38:M38" si="19">AVERAGE(F15:F17)</f>
        <v>4.333333333333333</v>
      </c>
      <c r="G38" s="72">
        <f t="shared" si="19"/>
        <v>3.3333333333333335</v>
      </c>
      <c r="H38" s="72">
        <f t="shared" si="19"/>
        <v>2</v>
      </c>
      <c r="I38" s="72">
        <f t="shared" si="19"/>
        <v>3.3333333333333335</v>
      </c>
      <c r="J38" s="72">
        <f t="shared" si="19"/>
        <v>3.3333333333333335</v>
      </c>
      <c r="K38" s="72">
        <f t="shared" si="19"/>
        <v>4</v>
      </c>
      <c r="L38" s="72">
        <f t="shared" si="19"/>
        <v>4</v>
      </c>
      <c r="M38" s="72">
        <f t="shared" si="19"/>
        <v>5</v>
      </c>
    </row>
    <row r="39" spans="2:27" hidden="1">
      <c r="D39" s="57" t="s">
        <v>722</v>
      </c>
      <c r="E39" s="72">
        <f>AVERAGE(E18:E28)</f>
        <v>3.7777777777777777</v>
      </c>
      <c r="F39" s="72">
        <f t="shared" ref="F39:M39" si="20">AVERAGE(F18:F28)</f>
        <v>3.6666666666666665</v>
      </c>
      <c r="G39" s="72">
        <f t="shared" si="20"/>
        <v>4.4444444444444446</v>
      </c>
      <c r="H39" s="72">
        <f t="shared" si="20"/>
        <v>2.7777777777777777</v>
      </c>
      <c r="I39" s="72">
        <f t="shared" si="20"/>
        <v>2.6666666666666665</v>
      </c>
      <c r="J39" s="72">
        <f t="shared" si="20"/>
        <v>4</v>
      </c>
      <c r="K39" s="72">
        <f t="shared" si="20"/>
        <v>2.4444444444444446</v>
      </c>
      <c r="L39" s="72">
        <f t="shared" si="20"/>
        <v>3.3333333333333335</v>
      </c>
      <c r="M39" s="72">
        <f t="shared" si="20"/>
        <v>4.1111111111111107</v>
      </c>
    </row>
    <row r="40" spans="2:27" hidden="1">
      <c r="D40" s="57" t="s">
        <v>723</v>
      </c>
      <c r="E40" s="72">
        <f>AVERAGE(E29:E33)</f>
        <v>3.75</v>
      </c>
      <c r="F40" s="72">
        <f t="shared" ref="F40:M40" si="21">AVERAGE(F29:F33)</f>
        <v>3.75</v>
      </c>
      <c r="G40" s="72">
        <f t="shared" si="21"/>
        <v>3.5</v>
      </c>
      <c r="H40" s="72">
        <f t="shared" si="21"/>
        <v>2.5</v>
      </c>
      <c r="I40" s="72">
        <f t="shared" si="21"/>
        <v>2.5</v>
      </c>
      <c r="J40" s="72">
        <f t="shared" si="21"/>
        <v>4.25</v>
      </c>
      <c r="K40" s="72">
        <f t="shared" si="21"/>
        <v>3</v>
      </c>
      <c r="L40" s="72">
        <f t="shared" si="21"/>
        <v>3.5</v>
      </c>
      <c r="M40" s="72">
        <f t="shared" si="21"/>
        <v>4</v>
      </c>
    </row>
    <row r="41" spans="2:27" hidden="1">
      <c r="E41" s="78">
        <f>AVERAGE(E36:E40)</f>
        <v>3.8055555555555558</v>
      </c>
      <c r="F41" s="78">
        <f t="shared" ref="F41:M41" si="22">AVERAGE(F36:F40)</f>
        <v>3.6833333333333327</v>
      </c>
      <c r="G41" s="78">
        <f t="shared" si="22"/>
        <v>4.1555555555555559</v>
      </c>
      <c r="H41" s="78">
        <f t="shared" si="22"/>
        <v>2.5888888888888886</v>
      </c>
      <c r="I41" s="78">
        <f t="shared" si="22"/>
        <v>3</v>
      </c>
      <c r="J41" s="78">
        <f t="shared" si="22"/>
        <v>4.3166666666666673</v>
      </c>
      <c r="K41" s="78">
        <f t="shared" si="22"/>
        <v>3.2555555555555555</v>
      </c>
      <c r="L41" s="78">
        <f t="shared" si="22"/>
        <v>3.4666666666666672</v>
      </c>
      <c r="M41" s="78">
        <f t="shared" si="22"/>
        <v>4.2888888888888888</v>
      </c>
    </row>
    <row r="42" spans="2:27" hidden="1"/>
    <row r="43" spans="2:27" hidden="1">
      <c r="D43" s="57" t="s">
        <v>245</v>
      </c>
      <c r="E43" s="72">
        <f>AVERAGEIF($D$5:$D$33,$D43,E$5:E$33)</f>
        <v>3.625</v>
      </c>
      <c r="F43" s="72">
        <f t="shared" ref="F43:M44" si="23">AVERAGEIF($D$5:$D$33,$D43,F$5:F$33)</f>
        <v>2.75</v>
      </c>
      <c r="G43" s="72">
        <f t="shared" si="23"/>
        <v>4.375</v>
      </c>
      <c r="H43" s="72">
        <f t="shared" si="23"/>
        <v>2.25</v>
      </c>
      <c r="I43" s="72">
        <f t="shared" si="23"/>
        <v>3.625</v>
      </c>
      <c r="J43" s="72">
        <f t="shared" si="23"/>
        <v>4.75</v>
      </c>
      <c r="K43" s="72">
        <f t="shared" si="23"/>
        <v>2.375</v>
      </c>
      <c r="L43" s="72">
        <f t="shared" si="23"/>
        <v>2.375</v>
      </c>
      <c r="M43" s="72">
        <f t="shared" si="23"/>
        <v>3.75</v>
      </c>
    </row>
    <row r="44" spans="2:27" hidden="1">
      <c r="D44" s="57" t="s">
        <v>327</v>
      </c>
      <c r="E44" s="72">
        <f>AVERAGEIF($D$5:$D$33,$D44,E$5:E$33)</f>
        <v>3.25</v>
      </c>
      <c r="F44" s="72">
        <f t="shared" si="23"/>
        <v>4</v>
      </c>
      <c r="G44" s="72">
        <f t="shared" si="23"/>
        <v>4.75</v>
      </c>
      <c r="H44" s="72">
        <f t="shared" si="23"/>
        <v>4</v>
      </c>
      <c r="I44" s="72">
        <f t="shared" si="23"/>
        <v>2.25</v>
      </c>
      <c r="J44" s="72">
        <f t="shared" si="23"/>
        <v>4.75</v>
      </c>
      <c r="K44" s="72">
        <f t="shared" si="23"/>
        <v>1.75</v>
      </c>
      <c r="L44" s="72">
        <f t="shared" si="23"/>
        <v>3</v>
      </c>
      <c r="M44" s="72">
        <f t="shared" si="23"/>
        <v>4.5</v>
      </c>
    </row>
    <row r="45" spans="2:27" hidden="1">
      <c r="D45" s="57" t="s">
        <v>239</v>
      </c>
      <c r="E45" s="72">
        <f t="shared" ref="E45:M45" si="24">AVERAGEIF($D$5:$D$33,$D45,E$5:E$33)</f>
        <v>3.9230769230769229</v>
      </c>
      <c r="F45" s="72">
        <f t="shared" si="24"/>
        <v>4</v>
      </c>
      <c r="G45" s="72">
        <f t="shared" si="24"/>
        <v>4</v>
      </c>
      <c r="H45" s="72">
        <f t="shared" si="24"/>
        <v>2.6153846153846154</v>
      </c>
      <c r="I45" s="72">
        <f t="shared" si="24"/>
        <v>2.6153846153846154</v>
      </c>
      <c r="J45" s="72">
        <f t="shared" si="24"/>
        <v>3.9230769230769229</v>
      </c>
      <c r="K45" s="72">
        <f t="shared" si="24"/>
        <v>3.6153846153846154</v>
      </c>
      <c r="L45" s="72">
        <f t="shared" si="24"/>
        <v>3.8461538461538463</v>
      </c>
      <c r="M45" s="72">
        <f t="shared" si="24"/>
        <v>4.5384615384615383</v>
      </c>
    </row>
    <row r="46" spans="2:27" hidden="1">
      <c r="E46" s="78">
        <f>AVERAGE(E43:E45)</f>
        <v>3.5993589743589745</v>
      </c>
      <c r="F46" s="78">
        <f t="shared" ref="F46:M46" si="25">AVERAGE(F43:F45)</f>
        <v>3.5833333333333335</v>
      </c>
      <c r="G46" s="78">
        <f t="shared" si="25"/>
        <v>4.375</v>
      </c>
      <c r="H46" s="78">
        <f t="shared" si="25"/>
        <v>2.9551282051282048</v>
      </c>
      <c r="I46" s="78">
        <f t="shared" si="25"/>
        <v>2.8301282051282048</v>
      </c>
      <c r="J46" s="78">
        <f t="shared" si="25"/>
        <v>4.4743589743589745</v>
      </c>
      <c r="K46" s="78">
        <f t="shared" si="25"/>
        <v>2.5801282051282048</v>
      </c>
      <c r="L46" s="78">
        <f t="shared" si="25"/>
        <v>3.0737179487179489</v>
      </c>
      <c r="M46" s="78">
        <f t="shared" si="25"/>
        <v>4.2628205128205128</v>
      </c>
    </row>
    <row r="47" spans="2:27" hidden="1">
      <c r="E47" s="78"/>
      <c r="F47" s="78"/>
      <c r="G47" s="78"/>
      <c r="H47" s="78"/>
      <c r="I47" s="78"/>
      <c r="J47" s="78"/>
      <c r="K47" s="78"/>
      <c r="L47" s="78"/>
      <c r="M47" s="78"/>
    </row>
    <row r="48" spans="2:27">
      <c r="B48" s="50" t="s">
        <v>238</v>
      </c>
    </row>
    <row r="49" spans="2:46">
      <c r="B49" s="50">
        <v>2024</v>
      </c>
    </row>
    <row r="50" spans="2:46">
      <c r="B50" s="57"/>
      <c r="C50" s="57"/>
      <c r="D50" s="57"/>
      <c r="E50" s="65" t="s">
        <v>710</v>
      </c>
      <c r="F50" s="65" t="s">
        <v>711</v>
      </c>
      <c r="G50" s="65" t="s">
        <v>712</v>
      </c>
      <c r="H50" s="65" t="s">
        <v>713</v>
      </c>
      <c r="I50" s="65" t="s">
        <v>714</v>
      </c>
      <c r="J50" s="65" t="s">
        <v>715</v>
      </c>
      <c r="K50" s="65" t="s">
        <v>716</v>
      </c>
      <c r="L50" s="65" t="s">
        <v>717</v>
      </c>
      <c r="M50" s="65" t="s">
        <v>718</v>
      </c>
      <c r="P50" s="57"/>
      <c r="Q50" s="57"/>
      <c r="R50" s="57"/>
      <c r="S50" s="65" t="s">
        <v>710</v>
      </c>
      <c r="T50" s="65" t="s">
        <v>711</v>
      </c>
      <c r="U50" s="65" t="s">
        <v>712</v>
      </c>
      <c r="V50" s="65" t="s">
        <v>713</v>
      </c>
      <c r="W50" s="65" t="s">
        <v>714</v>
      </c>
      <c r="X50" s="65" t="s">
        <v>715</v>
      </c>
      <c r="Y50" s="65" t="s">
        <v>716</v>
      </c>
      <c r="Z50" s="65" t="s">
        <v>717</v>
      </c>
      <c r="AA50" s="65" t="s">
        <v>718</v>
      </c>
      <c r="AK50" s="57"/>
      <c r="AL50" s="65" t="s">
        <v>710</v>
      </c>
      <c r="AM50" s="65" t="s">
        <v>711</v>
      </c>
      <c r="AN50" s="65" t="s">
        <v>712</v>
      </c>
      <c r="AO50" s="65" t="s">
        <v>713</v>
      </c>
      <c r="AP50" s="65" t="s">
        <v>714</v>
      </c>
      <c r="AQ50" s="65" t="s">
        <v>715</v>
      </c>
      <c r="AR50" s="65" t="s">
        <v>716</v>
      </c>
      <c r="AS50" s="65" t="s">
        <v>717</v>
      </c>
      <c r="AT50" s="65" t="s">
        <v>718</v>
      </c>
    </row>
    <row r="51" spans="2:46" ht="33">
      <c r="B51" s="57" t="s">
        <v>719</v>
      </c>
      <c r="C51" s="57" t="s">
        <v>63</v>
      </c>
      <c r="D51" s="57" t="s">
        <v>239</v>
      </c>
      <c r="E51" s="57">
        <v>3</v>
      </c>
      <c r="F51" s="57">
        <v>5</v>
      </c>
      <c r="G51" s="57">
        <v>2</v>
      </c>
      <c r="H51" s="57">
        <v>3</v>
      </c>
      <c r="I51" s="57">
        <v>1</v>
      </c>
      <c r="J51" s="57">
        <v>5</v>
      </c>
      <c r="K51" s="57">
        <v>5</v>
      </c>
      <c r="L51" s="57">
        <v>3</v>
      </c>
      <c r="M51" s="57">
        <v>5</v>
      </c>
      <c r="P51" s="57" t="s">
        <v>719</v>
      </c>
      <c r="Q51" s="59" t="s">
        <v>232</v>
      </c>
      <c r="R51" s="57" t="s">
        <v>239</v>
      </c>
      <c r="S51" s="73" t="str">
        <f t="shared" ref="S51:S80" si="26">IF(E51=1,"C",IF(E51=2,"B-",IF(E51=3,"B",IF(E51=4,"B+",IF(E51=5,"A","-")))))</f>
        <v>B</v>
      </c>
      <c r="T51" s="73" t="str">
        <f t="shared" ref="T51:T80" si="27">IF(F51=1,"C",IF(F51=2,"B-",IF(F51=3,"B",IF(F51=4,"B+",IF(F51=5,"A","-")))))</f>
        <v>A</v>
      </c>
      <c r="U51" s="73" t="str">
        <f t="shared" ref="U51:U80" si="28">IF(G51=1,"C",IF(G51=2,"B-",IF(G51=3,"B",IF(G51=4,"B+",IF(G51=5,"A","-")))))</f>
        <v>B-</v>
      </c>
      <c r="V51" s="73" t="str">
        <f t="shared" ref="V51:V80" si="29">IF(H51=1,"C",IF(H51=2,"B-",IF(H51=3,"B",IF(H51=4,"B+",IF(H51=5,"A","-")))))</f>
        <v>B</v>
      </c>
      <c r="W51" s="73" t="str">
        <f t="shared" ref="W51:W80" si="30">IF(I51=1,"C",IF(I51=2,"B-",IF(I51=3,"B",IF(I51=4,"B+",IF(I51=5,"A","-")))))</f>
        <v>C</v>
      </c>
      <c r="X51" s="73" t="str">
        <f t="shared" ref="X51:X80" si="31">IF(J51=1,"C",IF(J51=2,"B-",IF(J51=3,"B",IF(J51=4,"B+",IF(J51=5,"A","-")))))</f>
        <v>A</v>
      </c>
      <c r="Y51" s="73" t="str">
        <f t="shared" ref="Y51:Y80" si="32">IF(K51=1,"C",IF(K51=2,"B-",IF(K51=3,"B",IF(K51=4,"B+",IF(K51=5,"A","-")))))</f>
        <v>A</v>
      </c>
      <c r="Z51" s="73" t="str">
        <f t="shared" ref="Z51:Z80" si="33">IF(L51=1,"C",IF(L51=2,"B-",IF(L51=3,"B",IF(L51=4,"B+",IF(L51=5,"A","-")))))</f>
        <v>B</v>
      </c>
      <c r="AA51" s="73" t="str">
        <f t="shared" ref="AA51:AA80" si="34">IF(M51=1,"C",IF(M51=2,"B-",IF(M51=3,"B",IF(M51=4,"B+",IF(M51=5,"A","-")))))</f>
        <v>A</v>
      </c>
      <c r="AC51" s="50" t="s">
        <v>726</v>
      </c>
      <c r="AE51" s="59" t="s">
        <v>232</v>
      </c>
      <c r="AK51" s="57" t="s">
        <v>719</v>
      </c>
      <c r="AL51" s="72">
        <f t="shared" ref="AL51:AT51" si="35">AVERAGE(E51:E53)</f>
        <v>4</v>
      </c>
      <c r="AM51" s="72">
        <f t="shared" si="35"/>
        <v>3.6666666666666665</v>
      </c>
      <c r="AN51" s="72">
        <f t="shared" si="35"/>
        <v>3.6666666666666665</v>
      </c>
      <c r="AO51" s="72">
        <f t="shared" si="35"/>
        <v>3.6666666666666665</v>
      </c>
      <c r="AP51" s="72">
        <f t="shared" si="35"/>
        <v>3</v>
      </c>
      <c r="AQ51" s="72">
        <f t="shared" si="35"/>
        <v>5</v>
      </c>
      <c r="AR51" s="72">
        <f t="shared" si="35"/>
        <v>4.666666666666667</v>
      </c>
      <c r="AS51" s="72">
        <f t="shared" si="35"/>
        <v>4</v>
      </c>
      <c r="AT51" s="72">
        <f t="shared" si="35"/>
        <v>3.6666666666666665</v>
      </c>
    </row>
    <row r="52" spans="2:46" ht="33">
      <c r="B52" s="57"/>
      <c r="C52" s="57" t="s">
        <v>69</v>
      </c>
      <c r="D52" s="57" t="s">
        <v>245</v>
      </c>
      <c r="E52" s="57">
        <v>5</v>
      </c>
      <c r="F52" s="57">
        <v>1</v>
      </c>
      <c r="G52" s="57">
        <v>5</v>
      </c>
      <c r="H52" s="57">
        <v>5</v>
      </c>
      <c r="I52" s="57">
        <v>3</v>
      </c>
      <c r="J52" s="57">
        <v>5</v>
      </c>
      <c r="K52" s="57">
        <v>5</v>
      </c>
      <c r="L52" s="57">
        <v>4</v>
      </c>
      <c r="M52" s="57">
        <v>1</v>
      </c>
      <c r="P52" s="57"/>
      <c r="Q52" s="59" t="s">
        <v>240</v>
      </c>
      <c r="R52" s="57" t="s">
        <v>245</v>
      </c>
      <c r="S52" s="73" t="str">
        <f t="shared" si="26"/>
        <v>A</v>
      </c>
      <c r="T52" s="73" t="str">
        <f t="shared" si="27"/>
        <v>C</v>
      </c>
      <c r="U52" s="73" t="str">
        <f t="shared" si="28"/>
        <v>A</v>
      </c>
      <c r="V52" s="73" t="str">
        <f t="shared" si="29"/>
        <v>A</v>
      </c>
      <c r="W52" s="73" t="str">
        <f t="shared" si="30"/>
        <v>B</v>
      </c>
      <c r="X52" s="73" t="str">
        <f t="shared" si="31"/>
        <v>A</v>
      </c>
      <c r="Y52" s="73" t="str">
        <f t="shared" si="32"/>
        <v>A</v>
      </c>
      <c r="Z52" s="73" t="str">
        <f t="shared" si="33"/>
        <v>B+</v>
      </c>
      <c r="AA52" s="73" t="str">
        <f t="shared" si="34"/>
        <v>C</v>
      </c>
      <c r="AC52" s="50" t="s">
        <v>727</v>
      </c>
      <c r="AE52" s="59" t="s">
        <v>240</v>
      </c>
      <c r="AK52" s="57" t="s">
        <v>720</v>
      </c>
      <c r="AL52" s="72">
        <f t="shared" ref="AL52:AT52" si="36">AVERAGE(E54:E59)</f>
        <v>3.6666666666666665</v>
      </c>
      <c r="AM52" s="72">
        <f t="shared" si="36"/>
        <v>3.8333333333333335</v>
      </c>
      <c r="AN52" s="72">
        <f t="shared" si="36"/>
        <v>4</v>
      </c>
      <c r="AO52" s="72">
        <f t="shared" si="36"/>
        <v>3.25</v>
      </c>
      <c r="AP52" s="72">
        <f t="shared" si="36"/>
        <v>4.333333333333333</v>
      </c>
      <c r="AQ52" s="72">
        <f t="shared" si="36"/>
        <v>3.6666666666666665</v>
      </c>
      <c r="AR52" s="72">
        <f t="shared" si="36"/>
        <v>3</v>
      </c>
      <c r="AS52" s="72">
        <f t="shared" si="36"/>
        <v>5</v>
      </c>
      <c r="AT52" s="72">
        <f t="shared" si="36"/>
        <v>4.333333333333333</v>
      </c>
    </row>
    <row r="53" spans="2:46" ht="16.5">
      <c r="B53" s="57"/>
      <c r="C53" s="57" t="s">
        <v>728</v>
      </c>
      <c r="D53" s="57" t="s">
        <v>239</v>
      </c>
      <c r="E53" s="57">
        <v>4</v>
      </c>
      <c r="F53" s="57">
        <v>5</v>
      </c>
      <c r="G53" s="57">
        <v>4</v>
      </c>
      <c r="H53" s="57">
        <v>3</v>
      </c>
      <c r="I53" s="57">
        <v>5</v>
      </c>
      <c r="J53" s="57">
        <v>5</v>
      </c>
      <c r="K53" s="57">
        <v>4</v>
      </c>
      <c r="L53" s="57">
        <v>5</v>
      </c>
      <c r="M53" s="57">
        <v>5</v>
      </c>
      <c r="P53" s="57"/>
      <c r="Q53" s="58" t="s">
        <v>729</v>
      </c>
      <c r="R53" s="57" t="s">
        <v>239</v>
      </c>
      <c r="S53" s="73" t="str">
        <f t="shared" si="26"/>
        <v>B+</v>
      </c>
      <c r="T53" s="73" t="str">
        <f t="shared" si="27"/>
        <v>A</v>
      </c>
      <c r="U53" s="73" t="str">
        <f t="shared" si="28"/>
        <v>B+</v>
      </c>
      <c r="V53" s="73" t="str">
        <f t="shared" si="29"/>
        <v>B</v>
      </c>
      <c r="W53" s="73" t="str">
        <f t="shared" si="30"/>
        <v>A</v>
      </c>
      <c r="X53" s="73" t="str">
        <f t="shared" si="31"/>
        <v>A</v>
      </c>
      <c r="Y53" s="73" t="str">
        <f t="shared" si="32"/>
        <v>B+</v>
      </c>
      <c r="Z53" s="73" t="str">
        <f t="shared" si="33"/>
        <v>A</v>
      </c>
      <c r="AA53" s="73" t="str">
        <f t="shared" si="34"/>
        <v>A</v>
      </c>
      <c r="AC53" s="50" t="s">
        <v>730</v>
      </c>
      <c r="AE53" s="58" t="s">
        <v>729</v>
      </c>
      <c r="AK53" s="57" t="s">
        <v>721</v>
      </c>
      <c r="AL53" s="72">
        <f t="shared" ref="AL53:AT53" si="37">AVERAGE(E60:E62)</f>
        <v>3</v>
      </c>
      <c r="AM53" s="72">
        <f t="shared" si="37"/>
        <v>4.333333333333333</v>
      </c>
      <c r="AN53" s="72">
        <f t="shared" si="37"/>
        <v>3.3333333333333335</v>
      </c>
      <c r="AO53" s="72">
        <f t="shared" si="37"/>
        <v>2</v>
      </c>
      <c r="AP53" s="72">
        <f t="shared" si="37"/>
        <v>4.333333333333333</v>
      </c>
      <c r="AQ53" s="72">
        <f t="shared" si="37"/>
        <v>3.3333333333333335</v>
      </c>
      <c r="AR53" s="72">
        <f t="shared" si="37"/>
        <v>4</v>
      </c>
      <c r="AS53" s="72">
        <f t="shared" si="37"/>
        <v>4</v>
      </c>
      <c r="AT53" s="72">
        <f t="shared" si="37"/>
        <v>5</v>
      </c>
    </row>
    <row r="54" spans="2:46" ht="49.5">
      <c r="B54" s="57" t="s">
        <v>720</v>
      </c>
      <c r="C54" s="57" t="s">
        <v>77</v>
      </c>
      <c r="D54" s="57" t="s">
        <v>245</v>
      </c>
      <c r="E54" s="57">
        <v>5</v>
      </c>
      <c r="F54" s="57">
        <v>3</v>
      </c>
      <c r="G54" s="57">
        <v>5</v>
      </c>
      <c r="H54" s="57">
        <v>3</v>
      </c>
      <c r="I54" s="57">
        <v>5</v>
      </c>
      <c r="J54" s="57">
        <v>3</v>
      </c>
      <c r="K54" s="57">
        <v>3</v>
      </c>
      <c r="L54" s="57">
        <v>5</v>
      </c>
      <c r="M54" s="57">
        <v>5</v>
      </c>
      <c r="P54" s="57" t="s">
        <v>720</v>
      </c>
      <c r="Q54" s="59" t="s">
        <v>252</v>
      </c>
      <c r="R54" s="57" t="s">
        <v>245</v>
      </c>
      <c r="S54" s="73" t="str">
        <f t="shared" si="26"/>
        <v>A</v>
      </c>
      <c r="T54" s="73" t="str">
        <f t="shared" si="27"/>
        <v>B</v>
      </c>
      <c r="U54" s="73" t="str">
        <f t="shared" si="28"/>
        <v>A</v>
      </c>
      <c r="V54" s="73" t="str">
        <f t="shared" si="29"/>
        <v>B</v>
      </c>
      <c r="W54" s="73" t="str">
        <f t="shared" si="30"/>
        <v>A</v>
      </c>
      <c r="X54" s="73" t="str">
        <f t="shared" si="31"/>
        <v>B</v>
      </c>
      <c r="Y54" s="73" t="str">
        <f t="shared" si="32"/>
        <v>B</v>
      </c>
      <c r="Z54" s="73" t="str">
        <f t="shared" si="33"/>
        <v>A</v>
      </c>
      <c r="AA54" s="73" t="str">
        <f t="shared" si="34"/>
        <v>A</v>
      </c>
      <c r="AC54" s="50" t="s">
        <v>731</v>
      </c>
      <c r="AE54" s="59" t="s">
        <v>252</v>
      </c>
      <c r="AK54" s="57" t="s">
        <v>722</v>
      </c>
      <c r="AL54" s="72">
        <f t="shared" ref="AL54:AT54" si="38">AVERAGE(E63:E74)</f>
        <v>4</v>
      </c>
      <c r="AM54" s="72">
        <f t="shared" si="38"/>
        <v>4.3</v>
      </c>
      <c r="AN54" s="72">
        <f t="shared" si="38"/>
        <v>4.4000000000000004</v>
      </c>
      <c r="AO54" s="72">
        <f t="shared" si="38"/>
        <v>2.4</v>
      </c>
      <c r="AP54" s="72">
        <f t="shared" si="38"/>
        <v>4</v>
      </c>
      <c r="AQ54" s="72">
        <f t="shared" si="38"/>
        <v>4.0999999999999996</v>
      </c>
      <c r="AR54" s="72">
        <f t="shared" si="38"/>
        <v>2.75</v>
      </c>
      <c r="AS54" s="72">
        <f t="shared" si="38"/>
        <v>4.083333333333333</v>
      </c>
      <c r="AT54" s="72">
        <f t="shared" si="38"/>
        <v>3.1666666666666665</v>
      </c>
    </row>
    <row r="55" spans="2:46" ht="33">
      <c r="B55" s="57"/>
      <c r="C55" s="57" t="s">
        <v>732</v>
      </c>
      <c r="D55" s="57" t="s">
        <v>245</v>
      </c>
      <c r="E55" s="57">
        <v>3</v>
      </c>
      <c r="F55" s="57">
        <v>3</v>
      </c>
      <c r="G55" s="57">
        <v>3</v>
      </c>
      <c r="H55" s="57">
        <v>4</v>
      </c>
      <c r="I55" s="57">
        <v>3</v>
      </c>
      <c r="J55" s="57">
        <v>5</v>
      </c>
      <c r="K55" s="57">
        <v>3</v>
      </c>
      <c r="L55" s="57">
        <v>5</v>
      </c>
      <c r="M55" s="57">
        <v>3</v>
      </c>
      <c r="P55" s="57"/>
      <c r="Q55" s="59" t="s">
        <v>733</v>
      </c>
      <c r="R55" s="57" t="s">
        <v>245</v>
      </c>
      <c r="S55" s="73" t="str">
        <f t="shared" si="26"/>
        <v>B</v>
      </c>
      <c r="T55" s="73" t="str">
        <f t="shared" si="27"/>
        <v>B</v>
      </c>
      <c r="U55" s="73" t="str">
        <f t="shared" si="28"/>
        <v>B</v>
      </c>
      <c r="V55" s="73" t="str">
        <f t="shared" si="29"/>
        <v>B+</v>
      </c>
      <c r="W55" s="73" t="str">
        <f t="shared" si="30"/>
        <v>B</v>
      </c>
      <c r="X55" s="73" t="str">
        <f t="shared" si="31"/>
        <v>A</v>
      </c>
      <c r="Y55" s="73" t="str">
        <f t="shared" si="32"/>
        <v>B</v>
      </c>
      <c r="Z55" s="73" t="str">
        <f t="shared" si="33"/>
        <v>A</v>
      </c>
      <c r="AA55" s="73" t="str">
        <f t="shared" si="34"/>
        <v>B</v>
      </c>
      <c r="AC55" s="50" t="s">
        <v>734</v>
      </c>
      <c r="AE55" s="59" t="s">
        <v>733</v>
      </c>
      <c r="AK55" s="57" t="s">
        <v>723</v>
      </c>
      <c r="AL55" s="72">
        <f t="shared" ref="AL55:AT55" si="39">AVERAGE(E75:E80)</f>
        <v>3.5</v>
      </c>
      <c r="AM55" s="72">
        <f t="shared" si="39"/>
        <v>5</v>
      </c>
      <c r="AN55" s="72">
        <f t="shared" si="39"/>
        <v>4.25</v>
      </c>
      <c r="AO55" s="72">
        <f t="shared" si="39"/>
        <v>3.25</v>
      </c>
      <c r="AP55" s="72">
        <f t="shared" si="39"/>
        <v>2.5</v>
      </c>
      <c r="AQ55" s="72">
        <f t="shared" si="39"/>
        <v>5</v>
      </c>
      <c r="AR55" s="72">
        <f t="shared" si="39"/>
        <v>3.75</v>
      </c>
      <c r="AS55" s="72">
        <f t="shared" si="39"/>
        <v>4.333333333333333</v>
      </c>
      <c r="AT55" s="72">
        <f t="shared" si="39"/>
        <v>4.333333333333333</v>
      </c>
    </row>
    <row r="56" spans="2:46" ht="16.5">
      <c r="B56" s="57"/>
      <c r="C56" s="57" t="s">
        <v>735</v>
      </c>
      <c r="D56" s="57" t="s">
        <v>245</v>
      </c>
      <c r="E56" s="57">
        <v>3</v>
      </c>
      <c r="F56" s="57">
        <v>4</v>
      </c>
      <c r="G56" s="57">
        <v>5</v>
      </c>
      <c r="H56" s="57">
        <v>3</v>
      </c>
      <c r="I56" s="57">
        <v>3</v>
      </c>
      <c r="J56" s="57">
        <v>5</v>
      </c>
      <c r="K56" s="57">
        <v>3</v>
      </c>
      <c r="L56" s="57">
        <v>5</v>
      </c>
      <c r="M56" s="57">
        <v>5</v>
      </c>
      <c r="P56" s="57"/>
      <c r="Q56" s="59" t="s">
        <v>736</v>
      </c>
      <c r="R56" s="57" t="s">
        <v>245</v>
      </c>
      <c r="S56" s="73" t="str">
        <f t="shared" si="26"/>
        <v>B</v>
      </c>
      <c r="T56" s="73" t="str">
        <f t="shared" si="27"/>
        <v>B+</v>
      </c>
      <c r="U56" s="73" t="str">
        <f t="shared" si="28"/>
        <v>A</v>
      </c>
      <c r="V56" s="73" t="str">
        <f t="shared" si="29"/>
        <v>B</v>
      </c>
      <c r="W56" s="73" t="str">
        <f t="shared" si="30"/>
        <v>B</v>
      </c>
      <c r="X56" s="73" t="str">
        <f t="shared" si="31"/>
        <v>A</v>
      </c>
      <c r="Y56" s="73" t="str">
        <f t="shared" si="32"/>
        <v>B</v>
      </c>
      <c r="Z56" s="73" t="str">
        <f t="shared" si="33"/>
        <v>A</v>
      </c>
      <c r="AA56" s="73" t="str">
        <f t="shared" si="34"/>
        <v>A</v>
      </c>
      <c r="AC56" s="50" t="s">
        <v>737</v>
      </c>
      <c r="AE56" s="59" t="s">
        <v>736</v>
      </c>
    </row>
    <row r="57" spans="2:46" ht="33">
      <c r="B57" s="57"/>
      <c r="C57" s="57" t="s">
        <v>738</v>
      </c>
      <c r="D57" s="57" t="s">
        <v>245</v>
      </c>
      <c r="E57" s="57">
        <v>3</v>
      </c>
      <c r="F57" s="57">
        <v>3</v>
      </c>
      <c r="G57" s="57">
        <v>3</v>
      </c>
      <c r="H57" s="57">
        <v>3</v>
      </c>
      <c r="I57" s="57">
        <v>5</v>
      </c>
      <c r="J57" s="57">
        <v>3</v>
      </c>
      <c r="K57" s="57">
        <v>3</v>
      </c>
      <c r="L57" s="57">
        <v>5</v>
      </c>
      <c r="M57" s="57">
        <v>5</v>
      </c>
      <c r="P57" s="57"/>
      <c r="Q57" s="59" t="s">
        <v>739</v>
      </c>
      <c r="R57" s="57" t="s">
        <v>245</v>
      </c>
      <c r="S57" s="73" t="str">
        <f t="shared" si="26"/>
        <v>B</v>
      </c>
      <c r="T57" s="73" t="str">
        <f t="shared" si="27"/>
        <v>B</v>
      </c>
      <c r="U57" s="73" t="str">
        <f t="shared" si="28"/>
        <v>B</v>
      </c>
      <c r="V57" s="73" t="str">
        <f t="shared" si="29"/>
        <v>B</v>
      </c>
      <c r="W57" s="73" t="str">
        <f t="shared" si="30"/>
        <v>A</v>
      </c>
      <c r="X57" s="73" t="str">
        <f t="shared" si="31"/>
        <v>B</v>
      </c>
      <c r="Y57" s="73" t="str">
        <f t="shared" si="32"/>
        <v>B</v>
      </c>
      <c r="Z57" s="73" t="str">
        <f t="shared" si="33"/>
        <v>A</v>
      </c>
      <c r="AA57" s="73" t="str">
        <f t="shared" si="34"/>
        <v>A</v>
      </c>
      <c r="AC57" s="50" t="s">
        <v>740</v>
      </c>
      <c r="AE57" s="59" t="s">
        <v>739</v>
      </c>
    </row>
    <row r="58" spans="2:46" ht="49.5">
      <c r="B58" s="57"/>
      <c r="C58" s="57" t="s">
        <v>741</v>
      </c>
      <c r="D58" s="57" t="s">
        <v>245</v>
      </c>
      <c r="E58" s="57">
        <v>5</v>
      </c>
      <c r="F58" s="57">
        <v>5</v>
      </c>
      <c r="G58" s="57">
        <v>5</v>
      </c>
      <c r="H58" s="57" t="s">
        <v>725</v>
      </c>
      <c r="I58" s="57">
        <v>5</v>
      </c>
      <c r="J58" s="57">
        <v>3</v>
      </c>
      <c r="K58" s="57">
        <v>3</v>
      </c>
      <c r="L58" s="57">
        <v>5</v>
      </c>
      <c r="M58" s="57">
        <v>3</v>
      </c>
      <c r="P58" s="57"/>
      <c r="Q58" s="59" t="s">
        <v>742</v>
      </c>
      <c r="R58" s="57" t="s">
        <v>245</v>
      </c>
      <c r="S58" s="73" t="str">
        <f t="shared" si="26"/>
        <v>A</v>
      </c>
      <c r="T58" s="73" t="str">
        <f t="shared" si="27"/>
        <v>A</v>
      </c>
      <c r="U58" s="73" t="str">
        <f t="shared" si="28"/>
        <v>A</v>
      </c>
      <c r="V58" s="73" t="str">
        <f t="shared" si="29"/>
        <v>-</v>
      </c>
      <c r="W58" s="73" t="str">
        <f t="shared" si="30"/>
        <v>A</v>
      </c>
      <c r="X58" s="73" t="str">
        <f t="shared" si="31"/>
        <v>B</v>
      </c>
      <c r="Y58" s="73" t="str">
        <f t="shared" si="32"/>
        <v>B</v>
      </c>
      <c r="Z58" s="73" t="str">
        <f t="shared" si="33"/>
        <v>A</v>
      </c>
      <c r="AA58" s="73" t="str">
        <f t="shared" si="34"/>
        <v>B</v>
      </c>
      <c r="AC58" s="50" t="s">
        <v>741</v>
      </c>
      <c r="AE58" s="59" t="s">
        <v>742</v>
      </c>
    </row>
    <row r="59" spans="2:46" ht="16.5">
      <c r="B59" s="57"/>
      <c r="C59" s="57" t="s">
        <v>743</v>
      </c>
      <c r="D59" s="57" t="s">
        <v>245</v>
      </c>
      <c r="E59" s="57">
        <v>3</v>
      </c>
      <c r="F59" s="57">
        <v>5</v>
      </c>
      <c r="G59" s="57">
        <v>3</v>
      </c>
      <c r="H59" s="57" t="s">
        <v>725</v>
      </c>
      <c r="I59" s="57">
        <v>5</v>
      </c>
      <c r="J59" s="57">
        <v>3</v>
      </c>
      <c r="K59" s="57">
        <v>3</v>
      </c>
      <c r="L59" s="57">
        <v>5</v>
      </c>
      <c r="M59" s="57">
        <v>5</v>
      </c>
      <c r="P59" s="57"/>
      <c r="Q59" s="59" t="s">
        <v>744</v>
      </c>
      <c r="R59" s="57" t="s">
        <v>245</v>
      </c>
      <c r="S59" s="73" t="str">
        <f t="shared" si="26"/>
        <v>B</v>
      </c>
      <c r="T59" s="73" t="str">
        <f t="shared" si="27"/>
        <v>A</v>
      </c>
      <c r="U59" s="73" t="str">
        <f t="shared" si="28"/>
        <v>B</v>
      </c>
      <c r="V59" s="73" t="str">
        <f t="shared" si="29"/>
        <v>-</v>
      </c>
      <c r="W59" s="73" t="str">
        <f t="shared" si="30"/>
        <v>A</v>
      </c>
      <c r="X59" s="73" t="str">
        <f t="shared" si="31"/>
        <v>B</v>
      </c>
      <c r="Y59" s="73" t="str">
        <f t="shared" si="32"/>
        <v>B</v>
      </c>
      <c r="Z59" s="73" t="str">
        <f t="shared" si="33"/>
        <v>A</v>
      </c>
      <c r="AA59" s="73" t="str">
        <f t="shared" si="34"/>
        <v>A</v>
      </c>
      <c r="AC59" s="50" t="s">
        <v>743</v>
      </c>
      <c r="AE59" s="59" t="s">
        <v>744</v>
      </c>
      <c r="AK59" s="57"/>
      <c r="AL59" s="65" t="s">
        <v>710</v>
      </c>
      <c r="AM59" s="65" t="s">
        <v>711</v>
      </c>
      <c r="AN59" s="65" t="s">
        <v>712</v>
      </c>
      <c r="AO59" s="65" t="s">
        <v>713</v>
      </c>
      <c r="AP59" s="65" t="s">
        <v>714</v>
      </c>
      <c r="AQ59" s="65" t="s">
        <v>715</v>
      </c>
      <c r="AR59" s="65" t="s">
        <v>716</v>
      </c>
      <c r="AS59" s="65" t="s">
        <v>717</v>
      </c>
      <c r="AT59" s="65" t="s">
        <v>718</v>
      </c>
    </row>
    <row r="60" spans="2:46" ht="49.5">
      <c r="B60" s="57" t="s">
        <v>721</v>
      </c>
      <c r="C60" s="57" t="s">
        <v>113</v>
      </c>
      <c r="D60" s="57" t="s">
        <v>239</v>
      </c>
      <c r="E60" s="57">
        <v>1</v>
      </c>
      <c r="F60" s="57">
        <v>4</v>
      </c>
      <c r="G60" s="57">
        <v>1</v>
      </c>
      <c r="H60" s="57">
        <v>1</v>
      </c>
      <c r="I60" s="57">
        <v>5</v>
      </c>
      <c r="J60" s="57">
        <v>1</v>
      </c>
      <c r="K60" s="57">
        <v>5</v>
      </c>
      <c r="L60" s="57">
        <v>3</v>
      </c>
      <c r="M60" s="57">
        <v>5</v>
      </c>
      <c r="P60" s="57" t="s">
        <v>721</v>
      </c>
      <c r="Q60" s="59" t="s">
        <v>745</v>
      </c>
      <c r="R60" s="57" t="s">
        <v>239</v>
      </c>
      <c r="S60" s="73" t="str">
        <f t="shared" si="26"/>
        <v>C</v>
      </c>
      <c r="T60" s="73" t="str">
        <f t="shared" si="27"/>
        <v>B+</v>
      </c>
      <c r="U60" s="73" t="str">
        <f t="shared" si="28"/>
        <v>C</v>
      </c>
      <c r="V60" s="73" t="str">
        <f t="shared" si="29"/>
        <v>C</v>
      </c>
      <c r="W60" s="73" t="str">
        <f t="shared" si="30"/>
        <v>A</v>
      </c>
      <c r="X60" s="73" t="str">
        <f t="shared" si="31"/>
        <v>C</v>
      </c>
      <c r="Y60" s="73" t="str">
        <f t="shared" si="32"/>
        <v>A</v>
      </c>
      <c r="Z60" s="73" t="str">
        <f t="shared" si="33"/>
        <v>B</v>
      </c>
      <c r="AA60" s="73" t="str">
        <f t="shared" si="34"/>
        <v>A</v>
      </c>
      <c r="AC60" s="50" t="s">
        <v>746</v>
      </c>
      <c r="AE60" s="59" t="s">
        <v>745</v>
      </c>
      <c r="AK60" s="57" t="s">
        <v>327</v>
      </c>
      <c r="AL60" s="72">
        <f t="shared" ref="AL60:AT62" si="40">AVERAGEIFS(E$51:E$80,$D$51:$D$80,$AK60)</f>
        <v>4.25</v>
      </c>
      <c r="AM60" s="72">
        <f t="shared" si="40"/>
        <v>4.5</v>
      </c>
      <c r="AN60" s="72">
        <f t="shared" si="40"/>
        <v>4.5</v>
      </c>
      <c r="AO60" s="72">
        <f t="shared" si="40"/>
        <v>3.3333333333333335</v>
      </c>
      <c r="AP60" s="72">
        <f t="shared" si="40"/>
        <v>4.375</v>
      </c>
      <c r="AQ60" s="72">
        <f t="shared" si="40"/>
        <v>3.875</v>
      </c>
      <c r="AR60" s="72">
        <f t="shared" si="40"/>
        <v>3.1</v>
      </c>
      <c r="AS60" s="72">
        <f t="shared" si="40"/>
        <v>4.3</v>
      </c>
      <c r="AT60" s="72">
        <f t="shared" si="40"/>
        <v>3.2</v>
      </c>
    </row>
    <row r="61" spans="2:46" ht="49.5">
      <c r="B61" s="57"/>
      <c r="C61" s="57" t="s">
        <v>116</v>
      </c>
      <c r="D61" s="57" t="s">
        <v>239</v>
      </c>
      <c r="E61" s="57">
        <v>3</v>
      </c>
      <c r="F61" s="57">
        <v>4</v>
      </c>
      <c r="G61" s="57">
        <v>4</v>
      </c>
      <c r="H61" s="57">
        <v>4</v>
      </c>
      <c r="I61" s="57">
        <v>3</v>
      </c>
      <c r="J61" s="57">
        <v>4</v>
      </c>
      <c r="K61" s="57">
        <v>3</v>
      </c>
      <c r="L61" s="57">
        <v>4</v>
      </c>
      <c r="M61" s="57">
        <v>5</v>
      </c>
      <c r="P61" s="57"/>
      <c r="Q61" s="59" t="s">
        <v>747</v>
      </c>
      <c r="R61" s="57" t="s">
        <v>239</v>
      </c>
      <c r="S61" s="73" t="str">
        <f t="shared" si="26"/>
        <v>B</v>
      </c>
      <c r="T61" s="73" t="str">
        <f t="shared" si="27"/>
        <v>B+</v>
      </c>
      <c r="U61" s="73" t="str">
        <f t="shared" si="28"/>
        <v>B+</v>
      </c>
      <c r="V61" s="73" t="str">
        <f t="shared" si="29"/>
        <v>B+</v>
      </c>
      <c r="W61" s="73" t="str">
        <f t="shared" si="30"/>
        <v>B</v>
      </c>
      <c r="X61" s="73" t="str">
        <f t="shared" si="31"/>
        <v>B+</v>
      </c>
      <c r="Y61" s="73" t="str">
        <f t="shared" si="32"/>
        <v>B</v>
      </c>
      <c r="Z61" s="73" t="str">
        <f t="shared" si="33"/>
        <v>B+</v>
      </c>
      <c r="AA61" s="73" t="str">
        <f t="shared" si="34"/>
        <v>A</v>
      </c>
      <c r="AC61" s="50" t="s">
        <v>748</v>
      </c>
      <c r="AE61" s="59" t="s">
        <v>747</v>
      </c>
      <c r="AK61" s="57" t="s">
        <v>239</v>
      </c>
      <c r="AL61" s="72">
        <f t="shared" si="40"/>
        <v>3.3333333333333335</v>
      </c>
      <c r="AM61" s="72">
        <f t="shared" si="40"/>
        <v>4.75</v>
      </c>
      <c r="AN61" s="72">
        <f t="shared" si="40"/>
        <v>3.6666666666666665</v>
      </c>
      <c r="AO61" s="72">
        <f t="shared" si="40"/>
        <v>2.7777777777777777</v>
      </c>
      <c r="AP61" s="72">
        <f t="shared" si="40"/>
        <v>3.2222222222222223</v>
      </c>
      <c r="AQ61" s="72">
        <f t="shared" si="40"/>
        <v>4.375</v>
      </c>
      <c r="AR61" s="72">
        <f t="shared" si="40"/>
        <v>4</v>
      </c>
      <c r="AS61" s="72">
        <f t="shared" si="40"/>
        <v>4.125</v>
      </c>
      <c r="AT61" s="72">
        <f t="shared" si="40"/>
        <v>4.75</v>
      </c>
    </row>
    <row r="62" spans="2:46" ht="16.5">
      <c r="B62" s="57"/>
      <c r="C62" s="57" t="s">
        <v>124</v>
      </c>
      <c r="D62" s="57" t="s">
        <v>239</v>
      </c>
      <c r="E62" s="57">
        <v>5</v>
      </c>
      <c r="F62" s="57">
        <v>5</v>
      </c>
      <c r="G62" s="57">
        <v>5</v>
      </c>
      <c r="H62" s="57">
        <v>1</v>
      </c>
      <c r="I62" s="57">
        <v>5</v>
      </c>
      <c r="J62" s="57">
        <v>5</v>
      </c>
      <c r="K62" s="57">
        <v>4</v>
      </c>
      <c r="L62" s="57">
        <v>5</v>
      </c>
      <c r="M62" s="57">
        <v>5</v>
      </c>
      <c r="P62" s="57"/>
      <c r="Q62" s="59" t="s">
        <v>301</v>
      </c>
      <c r="R62" s="57" t="s">
        <v>239</v>
      </c>
      <c r="S62" s="73" t="str">
        <f t="shared" si="26"/>
        <v>A</v>
      </c>
      <c r="T62" s="73" t="str">
        <f t="shared" si="27"/>
        <v>A</v>
      </c>
      <c r="U62" s="73" t="str">
        <f t="shared" si="28"/>
        <v>A</v>
      </c>
      <c r="V62" s="73" t="str">
        <f t="shared" si="29"/>
        <v>C</v>
      </c>
      <c r="W62" s="73" t="str">
        <f t="shared" si="30"/>
        <v>A</v>
      </c>
      <c r="X62" s="73" t="str">
        <f t="shared" si="31"/>
        <v>A</v>
      </c>
      <c r="Y62" s="73" t="str">
        <f t="shared" si="32"/>
        <v>B+</v>
      </c>
      <c r="Z62" s="73" t="str">
        <f t="shared" si="33"/>
        <v>A</v>
      </c>
      <c r="AA62" s="73" t="str">
        <f t="shared" si="34"/>
        <v>A</v>
      </c>
      <c r="AC62" s="50" t="s">
        <v>749</v>
      </c>
      <c r="AE62" s="59" t="s">
        <v>301</v>
      </c>
      <c r="AK62" s="57" t="s">
        <v>245</v>
      </c>
      <c r="AL62" s="72">
        <f t="shared" si="40"/>
        <v>3.6666666666666665</v>
      </c>
      <c r="AM62" s="72">
        <f t="shared" si="40"/>
        <v>3.4444444444444446</v>
      </c>
      <c r="AN62" s="72">
        <f t="shared" si="40"/>
        <v>4.1111111111111107</v>
      </c>
      <c r="AO62" s="72">
        <f t="shared" si="40"/>
        <v>2.8571428571428572</v>
      </c>
      <c r="AP62" s="72">
        <f t="shared" si="40"/>
        <v>3.7777777777777777</v>
      </c>
      <c r="AQ62" s="72">
        <f t="shared" si="40"/>
        <v>4.1111111111111107</v>
      </c>
      <c r="AR62" s="72">
        <f t="shared" si="40"/>
        <v>2.7777777777777777</v>
      </c>
      <c r="AS62" s="72">
        <f t="shared" si="40"/>
        <v>4.4444444444444446</v>
      </c>
      <c r="AT62" s="72">
        <f t="shared" si="40"/>
        <v>3.6666666666666665</v>
      </c>
    </row>
    <row r="63" spans="2:46" ht="132">
      <c r="B63" s="57" t="s">
        <v>722</v>
      </c>
      <c r="C63" s="57" t="s">
        <v>750</v>
      </c>
      <c r="D63" s="57" t="s">
        <v>245</v>
      </c>
      <c r="E63" s="57">
        <v>3</v>
      </c>
      <c r="F63" s="57">
        <v>4</v>
      </c>
      <c r="G63" s="57">
        <v>5</v>
      </c>
      <c r="H63" s="57">
        <v>1</v>
      </c>
      <c r="I63" s="57">
        <v>3</v>
      </c>
      <c r="J63" s="57">
        <v>5</v>
      </c>
      <c r="K63" s="57">
        <v>1</v>
      </c>
      <c r="L63" s="57">
        <v>2</v>
      </c>
      <c r="M63" s="57">
        <v>1</v>
      </c>
      <c r="P63" s="57" t="s">
        <v>722</v>
      </c>
      <c r="Q63" s="59" t="s">
        <v>751</v>
      </c>
      <c r="R63" s="57" t="s">
        <v>245</v>
      </c>
      <c r="S63" s="73" t="str">
        <f t="shared" si="26"/>
        <v>B</v>
      </c>
      <c r="T63" s="73" t="str">
        <f t="shared" si="27"/>
        <v>B+</v>
      </c>
      <c r="U63" s="73" t="str">
        <f t="shared" si="28"/>
        <v>A</v>
      </c>
      <c r="V63" s="73" t="str">
        <f t="shared" si="29"/>
        <v>C</v>
      </c>
      <c r="W63" s="73" t="str">
        <f t="shared" si="30"/>
        <v>B</v>
      </c>
      <c r="X63" s="73" t="str">
        <f t="shared" si="31"/>
        <v>A</v>
      </c>
      <c r="Y63" s="73" t="str">
        <f t="shared" si="32"/>
        <v>C</v>
      </c>
      <c r="Z63" s="73" t="str">
        <f t="shared" si="33"/>
        <v>B-</v>
      </c>
      <c r="AA63" s="73" t="str">
        <f t="shared" si="34"/>
        <v>C</v>
      </c>
      <c r="AC63" s="50" t="s">
        <v>752</v>
      </c>
      <c r="AE63" s="59" t="s">
        <v>751</v>
      </c>
    </row>
    <row r="64" spans="2:46" ht="66">
      <c r="B64" s="57"/>
      <c r="C64" s="57" t="s">
        <v>753</v>
      </c>
      <c r="D64" s="57" t="s">
        <v>320</v>
      </c>
      <c r="E64" s="57">
        <v>4</v>
      </c>
      <c r="F64" s="57">
        <v>4</v>
      </c>
      <c r="G64" s="57">
        <v>4</v>
      </c>
      <c r="H64" s="57">
        <v>5</v>
      </c>
      <c r="I64" s="57">
        <v>4</v>
      </c>
      <c r="J64" s="57">
        <v>4</v>
      </c>
      <c r="K64" s="57">
        <v>2</v>
      </c>
      <c r="L64" s="57">
        <v>4</v>
      </c>
      <c r="M64" s="57">
        <v>3</v>
      </c>
      <c r="P64" s="57"/>
      <c r="Q64" s="59" t="s">
        <v>754</v>
      </c>
      <c r="R64" s="57" t="s">
        <v>320</v>
      </c>
      <c r="S64" s="73" t="str">
        <f t="shared" si="26"/>
        <v>B+</v>
      </c>
      <c r="T64" s="73" t="str">
        <f t="shared" si="27"/>
        <v>B+</v>
      </c>
      <c r="U64" s="73" t="str">
        <f t="shared" si="28"/>
        <v>B+</v>
      </c>
      <c r="V64" s="73" t="str">
        <f t="shared" si="29"/>
        <v>A</v>
      </c>
      <c r="W64" s="73" t="str">
        <f t="shared" si="30"/>
        <v>B+</v>
      </c>
      <c r="X64" s="73" t="str">
        <f t="shared" si="31"/>
        <v>B+</v>
      </c>
      <c r="Y64" s="73" t="str">
        <f t="shared" si="32"/>
        <v>B-</v>
      </c>
      <c r="Z64" s="73" t="str">
        <f t="shared" si="33"/>
        <v>B+</v>
      </c>
      <c r="AA64" s="73" t="str">
        <f t="shared" si="34"/>
        <v>B</v>
      </c>
      <c r="AC64" s="50" t="s">
        <v>755</v>
      </c>
      <c r="AE64" s="59" t="s">
        <v>754</v>
      </c>
    </row>
    <row r="65" spans="2:31" ht="66">
      <c r="B65" s="57"/>
      <c r="C65" s="57" t="s">
        <v>756</v>
      </c>
      <c r="D65" s="57" t="s">
        <v>245</v>
      </c>
      <c r="E65" s="57">
        <v>3</v>
      </c>
      <c r="F65" s="57">
        <v>3</v>
      </c>
      <c r="G65" s="57">
        <v>3</v>
      </c>
      <c r="H65" s="57">
        <v>1</v>
      </c>
      <c r="I65" s="57">
        <v>2</v>
      </c>
      <c r="J65" s="57">
        <v>5</v>
      </c>
      <c r="K65" s="57">
        <v>1</v>
      </c>
      <c r="L65" s="57">
        <v>4</v>
      </c>
      <c r="M65" s="57">
        <v>5</v>
      </c>
      <c r="P65" s="57"/>
      <c r="Q65" s="59" t="s">
        <v>757</v>
      </c>
      <c r="R65" s="57" t="s">
        <v>245</v>
      </c>
      <c r="S65" s="73" t="str">
        <f t="shared" si="26"/>
        <v>B</v>
      </c>
      <c r="T65" s="73" t="str">
        <f t="shared" si="27"/>
        <v>B</v>
      </c>
      <c r="U65" s="73" t="str">
        <f t="shared" si="28"/>
        <v>B</v>
      </c>
      <c r="V65" s="73" t="str">
        <f t="shared" si="29"/>
        <v>C</v>
      </c>
      <c r="W65" s="73" t="str">
        <f t="shared" si="30"/>
        <v>B-</v>
      </c>
      <c r="X65" s="73" t="str">
        <f t="shared" si="31"/>
        <v>A</v>
      </c>
      <c r="Y65" s="73" t="str">
        <f t="shared" si="32"/>
        <v>C</v>
      </c>
      <c r="Z65" s="73" t="str">
        <f t="shared" si="33"/>
        <v>B+</v>
      </c>
      <c r="AA65" s="73" t="str">
        <f t="shared" si="34"/>
        <v>A</v>
      </c>
      <c r="AC65" s="50" t="s">
        <v>758</v>
      </c>
      <c r="AE65" s="59" t="s">
        <v>757</v>
      </c>
    </row>
    <row r="66" spans="2:31" ht="49.5">
      <c r="B66" s="57"/>
      <c r="C66" s="57" t="s">
        <v>759</v>
      </c>
      <c r="D66" s="57" t="s">
        <v>327</v>
      </c>
      <c r="E66" s="57">
        <v>3</v>
      </c>
      <c r="F66" s="57">
        <v>4</v>
      </c>
      <c r="G66" s="57">
        <v>4</v>
      </c>
      <c r="H66" s="57">
        <v>4</v>
      </c>
      <c r="I66" s="57">
        <v>1</v>
      </c>
      <c r="J66" s="57">
        <v>5</v>
      </c>
      <c r="K66" s="57">
        <v>1</v>
      </c>
      <c r="L66" s="57">
        <v>2</v>
      </c>
      <c r="M66" s="57">
        <v>4</v>
      </c>
      <c r="P66" s="57"/>
      <c r="Q66" s="59" t="s">
        <v>321</v>
      </c>
      <c r="R66" s="57" t="s">
        <v>327</v>
      </c>
      <c r="S66" s="73" t="str">
        <f t="shared" si="26"/>
        <v>B</v>
      </c>
      <c r="T66" s="73" t="str">
        <f t="shared" si="27"/>
        <v>B+</v>
      </c>
      <c r="U66" s="73" t="str">
        <f t="shared" si="28"/>
        <v>B+</v>
      </c>
      <c r="V66" s="73" t="str">
        <f t="shared" si="29"/>
        <v>B+</v>
      </c>
      <c r="W66" s="73" t="str">
        <f t="shared" si="30"/>
        <v>C</v>
      </c>
      <c r="X66" s="73" t="str">
        <f t="shared" si="31"/>
        <v>A</v>
      </c>
      <c r="Y66" s="73" t="str">
        <f t="shared" si="32"/>
        <v>C</v>
      </c>
      <c r="Z66" s="73" t="str">
        <f t="shared" si="33"/>
        <v>B-</v>
      </c>
      <c r="AA66" s="73" t="str">
        <f t="shared" si="34"/>
        <v>B+</v>
      </c>
      <c r="AC66" s="50" t="s">
        <v>760</v>
      </c>
      <c r="AE66" s="59" t="s">
        <v>321</v>
      </c>
    </row>
    <row r="67" spans="2:31" ht="16.5">
      <c r="B67" s="57"/>
      <c r="C67" s="57" t="s">
        <v>761</v>
      </c>
      <c r="D67" s="57" t="s">
        <v>327</v>
      </c>
      <c r="E67" s="57">
        <v>5</v>
      </c>
      <c r="F67" s="57">
        <v>5</v>
      </c>
      <c r="G67" s="57">
        <v>5</v>
      </c>
      <c r="H67" s="57">
        <v>1</v>
      </c>
      <c r="I67" s="57">
        <v>5</v>
      </c>
      <c r="J67" s="57">
        <v>5</v>
      </c>
      <c r="K67" s="57">
        <v>5</v>
      </c>
      <c r="L67" s="57">
        <v>5</v>
      </c>
      <c r="M67" s="57">
        <v>5</v>
      </c>
      <c r="P67" s="57"/>
      <c r="Q67" s="59" t="s">
        <v>762</v>
      </c>
      <c r="R67" s="57" t="s">
        <v>327</v>
      </c>
      <c r="S67" s="73" t="str">
        <f t="shared" si="26"/>
        <v>A</v>
      </c>
      <c r="T67" s="73" t="str">
        <f t="shared" si="27"/>
        <v>A</v>
      </c>
      <c r="U67" s="73" t="str">
        <f t="shared" si="28"/>
        <v>A</v>
      </c>
      <c r="V67" s="73" t="str">
        <f t="shared" si="29"/>
        <v>C</v>
      </c>
      <c r="W67" s="73" t="str">
        <f t="shared" si="30"/>
        <v>A</v>
      </c>
      <c r="X67" s="73" t="str">
        <f t="shared" si="31"/>
        <v>A</v>
      </c>
      <c r="Y67" s="73" t="str">
        <f t="shared" si="32"/>
        <v>A</v>
      </c>
      <c r="Z67" s="73" t="str">
        <f t="shared" si="33"/>
        <v>A</v>
      </c>
      <c r="AA67" s="73" t="str">
        <f t="shared" si="34"/>
        <v>A</v>
      </c>
      <c r="AC67" s="50" t="s">
        <v>763</v>
      </c>
      <c r="AE67" s="59" t="s">
        <v>762</v>
      </c>
    </row>
    <row r="68" spans="2:31" ht="16.5">
      <c r="B68" s="57"/>
      <c r="C68" s="57" t="s">
        <v>764</v>
      </c>
      <c r="D68" s="57" t="s">
        <v>320</v>
      </c>
      <c r="E68" s="57">
        <v>3</v>
      </c>
      <c r="F68" s="57">
        <v>3</v>
      </c>
      <c r="G68" s="57">
        <v>5</v>
      </c>
      <c r="H68" s="57" t="s">
        <v>725</v>
      </c>
      <c r="I68" s="57">
        <v>5</v>
      </c>
      <c r="J68" s="57">
        <v>5</v>
      </c>
      <c r="K68" s="57">
        <v>3</v>
      </c>
      <c r="L68" s="57">
        <v>2</v>
      </c>
      <c r="M68" s="57">
        <v>2</v>
      </c>
      <c r="P68" s="57"/>
      <c r="Q68" s="59" t="s">
        <v>765</v>
      </c>
      <c r="R68" s="57" t="s">
        <v>320</v>
      </c>
      <c r="S68" s="73" t="str">
        <f t="shared" si="26"/>
        <v>B</v>
      </c>
      <c r="T68" s="73" t="str">
        <f t="shared" si="27"/>
        <v>B</v>
      </c>
      <c r="U68" s="73" t="str">
        <f t="shared" si="28"/>
        <v>A</v>
      </c>
      <c r="V68" s="73" t="str">
        <f t="shared" si="29"/>
        <v>-</v>
      </c>
      <c r="W68" s="73" t="str">
        <f t="shared" si="30"/>
        <v>A</v>
      </c>
      <c r="X68" s="73" t="str">
        <f t="shared" si="31"/>
        <v>A</v>
      </c>
      <c r="Y68" s="73" t="str">
        <f t="shared" si="32"/>
        <v>B</v>
      </c>
      <c r="Z68" s="73" t="str">
        <f t="shared" si="33"/>
        <v>B-</v>
      </c>
      <c r="AA68" s="73" t="str">
        <f t="shared" si="34"/>
        <v>B-</v>
      </c>
      <c r="AC68" s="50" t="s">
        <v>766</v>
      </c>
      <c r="AE68" s="59" t="s">
        <v>765</v>
      </c>
    </row>
    <row r="69" spans="2:31" ht="66">
      <c r="B69" s="57"/>
      <c r="C69" s="57" t="s">
        <v>767</v>
      </c>
      <c r="D69" s="57" t="s">
        <v>327</v>
      </c>
      <c r="E69" s="57">
        <v>4</v>
      </c>
      <c r="F69" s="57">
        <v>5</v>
      </c>
      <c r="G69" s="57">
        <v>3</v>
      </c>
      <c r="H69" s="57" t="s">
        <v>725</v>
      </c>
      <c r="I69" s="57">
        <v>5</v>
      </c>
      <c r="J69" s="57">
        <v>3</v>
      </c>
      <c r="K69" s="57">
        <v>3</v>
      </c>
      <c r="L69" s="57">
        <v>5</v>
      </c>
      <c r="M69" s="57">
        <v>5</v>
      </c>
      <c r="P69" s="57"/>
      <c r="Q69" s="59" t="s">
        <v>768</v>
      </c>
      <c r="R69" s="57" t="s">
        <v>327</v>
      </c>
      <c r="S69" s="73" t="str">
        <f t="shared" si="26"/>
        <v>B+</v>
      </c>
      <c r="T69" s="73" t="str">
        <f t="shared" si="27"/>
        <v>A</v>
      </c>
      <c r="U69" s="73" t="str">
        <f t="shared" si="28"/>
        <v>B</v>
      </c>
      <c r="V69" s="73" t="str">
        <f t="shared" si="29"/>
        <v>-</v>
      </c>
      <c r="W69" s="73" t="str">
        <f t="shared" si="30"/>
        <v>A</v>
      </c>
      <c r="X69" s="73" t="str">
        <f t="shared" si="31"/>
        <v>B</v>
      </c>
      <c r="Y69" s="73" t="str">
        <f t="shared" si="32"/>
        <v>B</v>
      </c>
      <c r="Z69" s="73" t="str">
        <f t="shared" si="33"/>
        <v>A</v>
      </c>
      <c r="AA69" s="73" t="str">
        <f t="shared" si="34"/>
        <v>A</v>
      </c>
      <c r="AC69" s="50" t="s">
        <v>767</v>
      </c>
      <c r="AE69" s="59" t="s">
        <v>768</v>
      </c>
    </row>
    <row r="70" spans="2:31" ht="165">
      <c r="B70" s="57"/>
      <c r="C70" s="57" t="s">
        <v>769</v>
      </c>
      <c r="D70" s="57" t="s">
        <v>327</v>
      </c>
      <c r="E70" s="57">
        <v>5</v>
      </c>
      <c r="F70" s="57">
        <v>5</v>
      </c>
      <c r="G70" s="57">
        <v>5</v>
      </c>
      <c r="H70" s="57" t="s">
        <v>725</v>
      </c>
      <c r="I70" s="57">
        <v>5</v>
      </c>
      <c r="J70" s="57">
        <v>3</v>
      </c>
      <c r="K70" s="57">
        <v>5</v>
      </c>
      <c r="L70" s="57">
        <v>5</v>
      </c>
      <c r="M70" s="57">
        <v>2</v>
      </c>
      <c r="P70" s="57"/>
      <c r="Q70" s="59" t="s">
        <v>770</v>
      </c>
      <c r="R70" s="57" t="s">
        <v>327</v>
      </c>
      <c r="S70" s="73" t="str">
        <f t="shared" si="26"/>
        <v>A</v>
      </c>
      <c r="T70" s="73" t="str">
        <f t="shared" si="27"/>
        <v>A</v>
      </c>
      <c r="U70" s="73" t="str">
        <f t="shared" si="28"/>
        <v>A</v>
      </c>
      <c r="V70" s="73" t="str">
        <f t="shared" si="29"/>
        <v>-</v>
      </c>
      <c r="W70" s="73" t="str">
        <f t="shared" si="30"/>
        <v>A</v>
      </c>
      <c r="X70" s="73" t="str">
        <f t="shared" si="31"/>
        <v>B</v>
      </c>
      <c r="Y70" s="73" t="str">
        <f t="shared" si="32"/>
        <v>A</v>
      </c>
      <c r="Z70" s="73" t="str">
        <f t="shared" si="33"/>
        <v>A</v>
      </c>
      <c r="AA70" s="73" t="str">
        <f t="shared" si="34"/>
        <v>B-</v>
      </c>
      <c r="AC70" s="50" t="s">
        <v>771</v>
      </c>
      <c r="AE70" s="59" t="s">
        <v>770</v>
      </c>
    </row>
    <row r="71" spans="2:31" ht="66">
      <c r="B71" s="57"/>
      <c r="C71" s="57" t="s">
        <v>772</v>
      </c>
      <c r="D71" s="57" t="s">
        <v>327</v>
      </c>
      <c r="E71" s="57">
        <v>5</v>
      </c>
      <c r="F71" s="57">
        <v>5</v>
      </c>
      <c r="G71" s="57">
        <v>5</v>
      </c>
      <c r="H71" s="57" t="s">
        <v>725</v>
      </c>
      <c r="I71" s="57">
        <v>5</v>
      </c>
      <c r="J71" s="57">
        <v>3</v>
      </c>
      <c r="K71" s="57">
        <v>5</v>
      </c>
      <c r="L71" s="57">
        <v>5</v>
      </c>
      <c r="M71" s="57">
        <v>1</v>
      </c>
      <c r="P71" s="57"/>
      <c r="Q71" s="59" t="s">
        <v>359</v>
      </c>
      <c r="R71" s="57" t="s">
        <v>327</v>
      </c>
      <c r="S71" s="73" t="str">
        <f t="shared" si="26"/>
        <v>A</v>
      </c>
      <c r="T71" s="73" t="str">
        <f t="shared" si="27"/>
        <v>A</v>
      </c>
      <c r="U71" s="73" t="str">
        <f t="shared" si="28"/>
        <v>A</v>
      </c>
      <c r="V71" s="73" t="str">
        <f t="shared" si="29"/>
        <v>-</v>
      </c>
      <c r="W71" s="73" t="str">
        <f t="shared" si="30"/>
        <v>A</v>
      </c>
      <c r="X71" s="73" t="str">
        <f t="shared" si="31"/>
        <v>B</v>
      </c>
      <c r="Y71" s="73" t="str">
        <f t="shared" si="32"/>
        <v>A</v>
      </c>
      <c r="Z71" s="73" t="str">
        <f t="shared" si="33"/>
        <v>A</v>
      </c>
      <c r="AA71" s="73" t="str">
        <f t="shared" si="34"/>
        <v>C</v>
      </c>
      <c r="AC71" s="50" t="s">
        <v>772</v>
      </c>
      <c r="AE71" s="59" t="s">
        <v>359</v>
      </c>
    </row>
    <row r="72" spans="2:31" ht="49.5">
      <c r="B72" s="57"/>
      <c r="C72" s="57" t="s">
        <v>773</v>
      </c>
      <c r="D72" s="57" t="s">
        <v>327</v>
      </c>
      <c r="E72" s="57">
        <v>5</v>
      </c>
      <c r="F72" s="57">
        <v>5</v>
      </c>
      <c r="G72" s="57">
        <v>5</v>
      </c>
      <c r="H72" s="57" t="s">
        <v>725</v>
      </c>
      <c r="I72" s="57">
        <v>5</v>
      </c>
      <c r="J72" s="57">
        <v>3</v>
      </c>
      <c r="K72" s="57">
        <v>3</v>
      </c>
      <c r="L72" s="57">
        <v>5</v>
      </c>
      <c r="M72" s="57">
        <v>5</v>
      </c>
      <c r="P72" s="57"/>
      <c r="Q72" s="59" t="s">
        <v>774</v>
      </c>
      <c r="R72" s="57" t="s">
        <v>327</v>
      </c>
      <c r="S72" s="73" t="str">
        <f t="shared" si="26"/>
        <v>A</v>
      </c>
      <c r="T72" s="73" t="str">
        <f t="shared" si="27"/>
        <v>A</v>
      </c>
      <c r="U72" s="73" t="str">
        <f t="shared" si="28"/>
        <v>A</v>
      </c>
      <c r="V72" s="73" t="str">
        <f t="shared" si="29"/>
        <v>-</v>
      </c>
      <c r="W72" s="73" t="str">
        <f t="shared" si="30"/>
        <v>A</v>
      </c>
      <c r="X72" s="73" t="str">
        <f t="shared" si="31"/>
        <v>B</v>
      </c>
      <c r="Y72" s="73" t="str">
        <f t="shared" si="32"/>
        <v>B</v>
      </c>
      <c r="Z72" s="73" t="str">
        <f t="shared" si="33"/>
        <v>A</v>
      </c>
      <c r="AA72" s="73" t="str">
        <f t="shared" si="34"/>
        <v>A</v>
      </c>
      <c r="AC72" s="50" t="s">
        <v>773</v>
      </c>
      <c r="AE72" s="59" t="s">
        <v>774</v>
      </c>
    </row>
    <row r="73" spans="2:31" ht="49.5">
      <c r="B73" s="57"/>
      <c r="C73" s="57" t="s">
        <v>775</v>
      </c>
      <c r="D73" s="57" t="s">
        <v>327</v>
      </c>
      <c r="E73" s="57" t="s">
        <v>725</v>
      </c>
      <c r="F73" s="57" t="s">
        <v>725</v>
      </c>
      <c r="G73" s="57" t="s">
        <v>725</v>
      </c>
      <c r="H73" s="57" t="s">
        <v>725</v>
      </c>
      <c r="I73" s="57" t="s">
        <v>725</v>
      </c>
      <c r="J73" s="57" t="s">
        <v>725</v>
      </c>
      <c r="K73" s="57">
        <v>3</v>
      </c>
      <c r="L73" s="57">
        <v>5</v>
      </c>
      <c r="M73" s="57">
        <v>2</v>
      </c>
      <c r="P73" s="57"/>
      <c r="Q73" s="138" t="s">
        <v>776</v>
      </c>
      <c r="R73" s="57" t="s">
        <v>327</v>
      </c>
      <c r="S73" s="73" t="str">
        <f t="shared" si="26"/>
        <v>-</v>
      </c>
      <c r="T73" s="73" t="str">
        <f t="shared" si="27"/>
        <v>-</v>
      </c>
      <c r="U73" s="73" t="str">
        <f t="shared" si="28"/>
        <v>-</v>
      </c>
      <c r="V73" s="73" t="str">
        <f t="shared" si="29"/>
        <v>-</v>
      </c>
      <c r="W73" s="73" t="str">
        <f t="shared" si="30"/>
        <v>-</v>
      </c>
      <c r="X73" s="73" t="str">
        <f t="shared" si="31"/>
        <v>-</v>
      </c>
      <c r="Y73" s="73" t="str">
        <f t="shared" si="32"/>
        <v>B</v>
      </c>
      <c r="Z73" s="73" t="str">
        <f t="shared" si="33"/>
        <v>A</v>
      </c>
      <c r="AA73" s="73" t="str">
        <f t="shared" si="34"/>
        <v>B-</v>
      </c>
      <c r="AC73" s="50" t="s">
        <v>775</v>
      </c>
      <c r="AE73" s="138" t="s">
        <v>776</v>
      </c>
    </row>
    <row r="74" spans="2:31" ht="33">
      <c r="B74" s="57"/>
      <c r="C74" s="57" t="s">
        <v>777</v>
      </c>
      <c r="D74" s="57" t="s">
        <v>327</v>
      </c>
      <c r="E74" s="57"/>
      <c r="F74" s="57"/>
      <c r="G74" s="57"/>
      <c r="H74" s="57"/>
      <c r="I74" s="57"/>
      <c r="J74" s="57"/>
      <c r="K74" s="57">
        <v>1</v>
      </c>
      <c r="L74" s="57">
        <v>5</v>
      </c>
      <c r="M74" s="57">
        <v>3</v>
      </c>
      <c r="P74" s="57"/>
      <c r="Q74" s="138" t="s">
        <v>778</v>
      </c>
      <c r="R74" s="57" t="s">
        <v>327</v>
      </c>
      <c r="S74" s="73" t="str">
        <f t="shared" si="26"/>
        <v>-</v>
      </c>
      <c r="T74" s="73" t="str">
        <f t="shared" si="27"/>
        <v>-</v>
      </c>
      <c r="U74" s="73" t="str">
        <f t="shared" si="28"/>
        <v>-</v>
      </c>
      <c r="V74" s="73" t="str">
        <f t="shared" si="29"/>
        <v>-</v>
      </c>
      <c r="W74" s="73" t="str">
        <f t="shared" si="30"/>
        <v>-</v>
      </c>
      <c r="X74" s="73" t="str">
        <f t="shared" si="31"/>
        <v>-</v>
      </c>
      <c r="Y74" s="73" t="str">
        <f t="shared" si="32"/>
        <v>C</v>
      </c>
      <c r="Z74" s="73" t="str">
        <f t="shared" si="33"/>
        <v>A</v>
      </c>
      <c r="AA74" s="73" t="str">
        <f t="shared" si="34"/>
        <v>B</v>
      </c>
      <c r="AC74" s="50" t="s">
        <v>777</v>
      </c>
      <c r="AE74" s="138" t="s">
        <v>778</v>
      </c>
    </row>
    <row r="75" spans="2:31" ht="33">
      <c r="B75" s="57" t="s">
        <v>723</v>
      </c>
      <c r="C75" s="70" t="s">
        <v>779</v>
      </c>
      <c r="D75" s="57" t="s">
        <v>239</v>
      </c>
      <c r="E75" s="57">
        <v>3</v>
      </c>
      <c r="F75" s="57">
        <v>5</v>
      </c>
      <c r="G75" s="57">
        <v>4</v>
      </c>
      <c r="H75" s="57">
        <v>4</v>
      </c>
      <c r="I75" s="57">
        <v>2</v>
      </c>
      <c r="J75" s="57">
        <v>5</v>
      </c>
      <c r="K75" s="57">
        <v>4</v>
      </c>
      <c r="L75" s="57">
        <v>4</v>
      </c>
      <c r="M75" s="57">
        <v>4</v>
      </c>
      <c r="P75" s="57" t="s">
        <v>723</v>
      </c>
      <c r="Q75" s="59" t="s">
        <v>414</v>
      </c>
      <c r="R75" s="57" t="s">
        <v>239</v>
      </c>
      <c r="S75" s="73" t="str">
        <f t="shared" si="26"/>
        <v>B</v>
      </c>
      <c r="T75" s="73" t="str">
        <f t="shared" si="27"/>
        <v>A</v>
      </c>
      <c r="U75" s="73" t="str">
        <f t="shared" si="28"/>
        <v>B+</v>
      </c>
      <c r="V75" s="73" t="str">
        <f t="shared" si="29"/>
        <v>B+</v>
      </c>
      <c r="W75" s="73" t="str">
        <f t="shared" si="30"/>
        <v>B-</v>
      </c>
      <c r="X75" s="73" t="str">
        <f t="shared" si="31"/>
        <v>A</v>
      </c>
      <c r="Y75" s="73" t="str">
        <f t="shared" si="32"/>
        <v>B+</v>
      </c>
      <c r="Z75" s="73" t="str">
        <f t="shared" si="33"/>
        <v>B+</v>
      </c>
      <c r="AA75" s="73" t="str">
        <f t="shared" si="34"/>
        <v>B+</v>
      </c>
      <c r="AC75" s="50" t="s">
        <v>780</v>
      </c>
      <c r="AE75" s="59" t="s">
        <v>414</v>
      </c>
    </row>
    <row r="76" spans="2:31" ht="16.5">
      <c r="B76" s="57"/>
      <c r="C76" s="70" t="s">
        <v>781</v>
      </c>
      <c r="D76" s="57" t="s">
        <v>239</v>
      </c>
      <c r="E76" s="57">
        <v>4</v>
      </c>
      <c r="F76" s="57">
        <v>5</v>
      </c>
      <c r="G76" s="57">
        <v>4</v>
      </c>
      <c r="H76" s="57">
        <v>2</v>
      </c>
      <c r="I76" s="57">
        <v>2</v>
      </c>
      <c r="J76" s="57">
        <v>5</v>
      </c>
      <c r="K76" s="57">
        <v>2</v>
      </c>
      <c r="L76" s="57">
        <v>5</v>
      </c>
      <c r="M76" s="57">
        <v>4</v>
      </c>
      <c r="P76" s="57"/>
      <c r="Q76" s="70" t="s">
        <v>781</v>
      </c>
      <c r="R76" s="57" t="s">
        <v>239</v>
      </c>
      <c r="S76" s="73" t="str">
        <f t="shared" si="26"/>
        <v>B+</v>
      </c>
      <c r="T76" s="73" t="str">
        <f t="shared" si="27"/>
        <v>A</v>
      </c>
      <c r="U76" s="73" t="str">
        <f t="shared" si="28"/>
        <v>B+</v>
      </c>
      <c r="V76" s="73" t="str">
        <f t="shared" si="29"/>
        <v>B-</v>
      </c>
      <c r="W76" s="73" t="str">
        <f t="shared" si="30"/>
        <v>B-</v>
      </c>
      <c r="X76" s="73" t="str">
        <f t="shared" si="31"/>
        <v>A</v>
      </c>
      <c r="Y76" s="73" t="str">
        <f t="shared" si="32"/>
        <v>B-</v>
      </c>
      <c r="Z76" s="73" t="str">
        <f t="shared" si="33"/>
        <v>A</v>
      </c>
      <c r="AA76" s="73" t="str">
        <f t="shared" si="34"/>
        <v>B+</v>
      </c>
      <c r="AC76" s="50" t="s">
        <v>782</v>
      </c>
      <c r="AE76" s="138" t="s">
        <v>783</v>
      </c>
    </row>
    <row r="77" spans="2:31" ht="16.5">
      <c r="B77" s="57"/>
      <c r="C77" s="70" t="s">
        <v>784</v>
      </c>
      <c r="D77" s="57" t="s">
        <v>239</v>
      </c>
      <c r="E77" s="57" t="s">
        <v>725</v>
      </c>
      <c r="F77" s="57" t="s">
        <v>725</v>
      </c>
      <c r="G77" s="57" t="s">
        <v>725</v>
      </c>
      <c r="H77" s="57" t="s">
        <v>725</v>
      </c>
      <c r="I77" s="57" t="s">
        <v>725</v>
      </c>
      <c r="J77" s="57" t="s">
        <v>725</v>
      </c>
      <c r="K77" s="57" t="s">
        <v>725</v>
      </c>
      <c r="L77" s="57" t="s">
        <v>725</v>
      </c>
      <c r="M77" s="57" t="s">
        <v>725</v>
      </c>
      <c r="P77" s="57"/>
      <c r="Q77" s="70" t="s">
        <v>784</v>
      </c>
      <c r="R77" s="57" t="s">
        <v>239</v>
      </c>
      <c r="S77" s="73" t="str">
        <f t="shared" si="26"/>
        <v>-</v>
      </c>
      <c r="T77" s="73" t="str">
        <f t="shared" si="27"/>
        <v>-</v>
      </c>
      <c r="U77" s="73" t="str">
        <f t="shared" si="28"/>
        <v>-</v>
      </c>
      <c r="V77" s="73" t="str">
        <f t="shared" si="29"/>
        <v>-</v>
      </c>
      <c r="W77" s="73" t="str">
        <f t="shared" si="30"/>
        <v>-</v>
      </c>
      <c r="X77" s="73" t="str">
        <f t="shared" si="31"/>
        <v>-</v>
      </c>
      <c r="Y77" s="73" t="str">
        <f t="shared" si="32"/>
        <v>-</v>
      </c>
      <c r="Z77" s="73" t="str">
        <f t="shared" si="33"/>
        <v>-</v>
      </c>
      <c r="AA77" s="73" t="str">
        <f t="shared" si="34"/>
        <v>-</v>
      </c>
      <c r="AC77" s="50" t="s">
        <v>785</v>
      </c>
      <c r="AE77" s="58" t="s">
        <v>423</v>
      </c>
    </row>
    <row r="78" spans="2:31">
      <c r="B78" s="57"/>
      <c r="C78" s="70" t="s">
        <v>786</v>
      </c>
      <c r="D78" s="57" t="s">
        <v>239</v>
      </c>
      <c r="E78" s="57" t="s">
        <v>725</v>
      </c>
      <c r="F78" s="57" t="s">
        <v>725</v>
      </c>
      <c r="G78" s="57" t="s">
        <v>725</v>
      </c>
      <c r="H78" s="57" t="s">
        <v>725</v>
      </c>
      <c r="I78" s="57" t="s">
        <v>725</v>
      </c>
      <c r="J78" s="57" t="s">
        <v>725</v>
      </c>
      <c r="K78" s="57" t="s">
        <v>725</v>
      </c>
      <c r="L78" s="57" t="s">
        <v>725</v>
      </c>
      <c r="M78" s="57" t="s">
        <v>725</v>
      </c>
      <c r="P78" s="57"/>
      <c r="Q78" s="70" t="s">
        <v>786</v>
      </c>
      <c r="R78" s="57" t="s">
        <v>239</v>
      </c>
      <c r="S78" s="73" t="str">
        <f t="shared" si="26"/>
        <v>-</v>
      </c>
      <c r="T78" s="73" t="str">
        <f t="shared" si="27"/>
        <v>-</v>
      </c>
      <c r="U78" s="73" t="str">
        <f t="shared" si="28"/>
        <v>-</v>
      </c>
      <c r="V78" s="73" t="str">
        <f t="shared" si="29"/>
        <v>-</v>
      </c>
      <c r="W78" s="73" t="str">
        <f t="shared" si="30"/>
        <v>-</v>
      </c>
      <c r="X78" s="73" t="str">
        <f t="shared" si="31"/>
        <v>-</v>
      </c>
      <c r="Y78" s="73" t="str">
        <f t="shared" si="32"/>
        <v>-</v>
      </c>
      <c r="Z78" s="73" t="str">
        <f t="shared" si="33"/>
        <v>-</v>
      </c>
      <c r="AA78" s="73" t="str">
        <f t="shared" si="34"/>
        <v>-</v>
      </c>
    </row>
    <row r="79" spans="2:31" ht="16.5">
      <c r="B79" s="57"/>
      <c r="C79" s="70" t="s">
        <v>787</v>
      </c>
      <c r="D79" s="57" t="s">
        <v>239</v>
      </c>
      <c r="E79" s="57">
        <v>2</v>
      </c>
      <c r="F79" s="57" t="s">
        <v>725</v>
      </c>
      <c r="G79" s="57">
        <v>5</v>
      </c>
      <c r="H79" s="57">
        <v>5</v>
      </c>
      <c r="I79" s="57">
        <v>1</v>
      </c>
      <c r="J79" s="57" t="s">
        <v>725</v>
      </c>
      <c r="K79" s="57">
        <v>5</v>
      </c>
      <c r="L79" s="57" t="s">
        <v>725</v>
      </c>
      <c r="M79" s="57" t="s">
        <v>725</v>
      </c>
      <c r="P79" s="57"/>
      <c r="Q79" s="138" t="s">
        <v>783</v>
      </c>
      <c r="R79" s="57" t="s">
        <v>239</v>
      </c>
      <c r="S79" s="73" t="str">
        <f t="shared" si="26"/>
        <v>B-</v>
      </c>
      <c r="T79" s="73" t="str">
        <f t="shared" si="27"/>
        <v>-</v>
      </c>
      <c r="U79" s="73" t="str">
        <f t="shared" si="28"/>
        <v>A</v>
      </c>
      <c r="V79" s="73" t="str">
        <f t="shared" si="29"/>
        <v>A</v>
      </c>
      <c r="W79" s="73" t="str">
        <f t="shared" si="30"/>
        <v>C</v>
      </c>
      <c r="X79" s="73" t="str">
        <f t="shared" si="31"/>
        <v>-</v>
      </c>
      <c r="Y79" s="73" t="str">
        <f t="shared" si="32"/>
        <v>A</v>
      </c>
      <c r="Z79" s="73" t="str">
        <f t="shared" si="33"/>
        <v>-</v>
      </c>
      <c r="AA79" s="73" t="str">
        <f t="shared" si="34"/>
        <v>-</v>
      </c>
    </row>
    <row r="80" spans="2:31" ht="16.5">
      <c r="B80" s="57"/>
      <c r="C80" s="71" t="s">
        <v>785</v>
      </c>
      <c r="D80" s="57" t="s">
        <v>239</v>
      </c>
      <c r="E80" s="57">
        <v>5</v>
      </c>
      <c r="F80" s="57">
        <v>5</v>
      </c>
      <c r="G80" s="57">
        <v>4</v>
      </c>
      <c r="H80" s="57">
        <v>2</v>
      </c>
      <c r="I80" s="57">
        <v>5</v>
      </c>
      <c r="J80" s="57">
        <v>5</v>
      </c>
      <c r="K80" s="57">
        <v>4</v>
      </c>
      <c r="L80" s="57">
        <v>4</v>
      </c>
      <c r="M80" s="57">
        <v>5</v>
      </c>
      <c r="P80" s="57"/>
      <c r="Q80" s="58" t="s">
        <v>423</v>
      </c>
      <c r="R80" s="57" t="s">
        <v>239</v>
      </c>
      <c r="S80" s="73" t="str">
        <f t="shared" si="26"/>
        <v>A</v>
      </c>
      <c r="T80" s="73" t="str">
        <f t="shared" si="27"/>
        <v>A</v>
      </c>
      <c r="U80" s="73" t="str">
        <f t="shared" si="28"/>
        <v>B+</v>
      </c>
      <c r="V80" s="73" t="str">
        <f t="shared" si="29"/>
        <v>B-</v>
      </c>
      <c r="W80" s="73" t="str">
        <f t="shared" si="30"/>
        <v>A</v>
      </c>
      <c r="X80" s="73" t="str">
        <f t="shared" si="31"/>
        <v>A</v>
      </c>
      <c r="Y80" s="73" t="str">
        <f t="shared" si="32"/>
        <v>B+</v>
      </c>
      <c r="Z80" s="73" t="str">
        <f t="shared" si="33"/>
        <v>B+</v>
      </c>
      <c r="AA80" s="73" t="str">
        <f t="shared" si="34"/>
        <v>A</v>
      </c>
    </row>
  </sheetData>
  <phoneticPr fontId="6"/>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E613-7A21-4D5C-B0D6-5B77667A4A78}">
  <sheetPr>
    <tabColor rgb="FFFFC000"/>
  </sheetPr>
  <dimension ref="B2:D7"/>
  <sheetViews>
    <sheetView workbookViewId="0">
      <selection activeCell="B2" sqref="B2:D7"/>
    </sheetView>
  </sheetViews>
  <sheetFormatPr defaultColWidth="8.54296875" defaultRowHeight="14.5"/>
  <cols>
    <col min="1" max="1" width="8.54296875" style="84"/>
    <col min="2" max="2" width="4.81640625" style="116" customWidth="1"/>
    <col min="3" max="3" width="13.54296875" style="133" customWidth="1"/>
    <col min="4" max="4" width="31.81640625" style="84" customWidth="1"/>
    <col min="5" max="16384" width="8.54296875" style="84"/>
  </cols>
  <sheetData>
    <row r="2" spans="2:4">
      <c r="B2" s="597" t="s">
        <v>788</v>
      </c>
      <c r="C2" s="597"/>
      <c r="D2" s="311" t="s">
        <v>789</v>
      </c>
    </row>
    <row r="3" spans="2:4" ht="37.5" customHeight="1">
      <c r="B3" s="281" t="s">
        <v>58</v>
      </c>
      <c r="C3" s="309" t="s">
        <v>790</v>
      </c>
      <c r="D3" s="310" t="s">
        <v>791</v>
      </c>
    </row>
    <row r="4" spans="2:4" ht="37.5" customHeight="1">
      <c r="B4" s="281" t="s">
        <v>65</v>
      </c>
      <c r="C4" s="281" t="s">
        <v>792</v>
      </c>
      <c r="D4" s="310" t="s">
        <v>793</v>
      </c>
    </row>
    <row r="5" spans="2:4" ht="37.5" customHeight="1">
      <c r="B5" s="281" t="s">
        <v>16</v>
      </c>
      <c r="C5" s="281" t="s">
        <v>794</v>
      </c>
      <c r="D5" s="310" t="s">
        <v>795</v>
      </c>
    </row>
    <row r="6" spans="2:4" ht="37.5" customHeight="1">
      <c r="B6" s="281" t="s">
        <v>17</v>
      </c>
      <c r="C6" s="281" t="s">
        <v>796</v>
      </c>
      <c r="D6" s="310" t="s">
        <v>797</v>
      </c>
    </row>
    <row r="7" spans="2:4" ht="37.5" customHeight="1">
      <c r="B7" s="281" t="s">
        <v>18</v>
      </c>
      <c r="C7" s="281" t="s">
        <v>798</v>
      </c>
      <c r="D7" s="310" t="s">
        <v>799</v>
      </c>
    </row>
  </sheetData>
  <mergeCells count="1">
    <mergeCell ref="B2:C2"/>
  </mergeCells>
  <phoneticPr fontId="6"/>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ew xmlns="af3caa82-8770-4ae6-9d87-4ed5e3aca054">true</New>
    <TaxCatchAll xmlns="711ca9e5-348f-44ca-81e6-5e47be3e6231" xsi:nil="true"/>
    <lcf76f155ced4ddcb4097134ff3c332f xmlns="af3caa82-8770-4ae6-9d87-4ed5e3aca05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34738BC8E87CE45B30F19336FE890F9" ma:contentTypeVersion="26" ma:contentTypeDescription="Create a new document." ma:contentTypeScope="" ma:versionID="87d73f4fe5324739e29b0575d14910a0">
  <xsd:schema xmlns:xsd="http://www.w3.org/2001/XMLSchema" xmlns:xs="http://www.w3.org/2001/XMLSchema" xmlns:p="http://schemas.microsoft.com/office/2006/metadata/properties" xmlns:ns2="03b60f28-079f-43d1-9249-332661775cbe" xmlns:ns3="af3caa82-8770-4ae6-9d87-4ed5e3aca054" xmlns:ns4="711ca9e5-348f-44ca-81e6-5e47be3e6231" targetNamespace="http://schemas.microsoft.com/office/2006/metadata/properties" ma:root="true" ma:fieldsID="3f1fbde897083a4e1787b97388ca100c" ns2:_="" ns3:_="" ns4:_="">
    <xsd:import namespace="03b60f28-079f-43d1-9249-332661775cbe"/>
    <xsd:import namespace="af3caa82-8770-4ae6-9d87-4ed5e3aca054"/>
    <xsd:import namespace="711ca9e5-348f-44ca-81e6-5e47be3e623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ServiceLocation" minOccurs="0"/>
                <xsd:element ref="ns3:New"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60f28-079f-43d1-9249-332661775c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3caa82-8770-4ae6-9d87-4ed5e3aca0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06ecaf4-4d5a-477e-abf9-411f6e59a07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New" ma:index="21" nillable="true" ma:displayName="New" ma:default="1" ma:format="Dropdown" ma:internalName="New">
      <xsd:simpleType>
        <xsd:restriction base="dms:Boolea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1ca9e5-348f-44ca-81e6-5e47be3e623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6a2da3f-59c9-436b-967f-8130650e9c75}" ma:internalName="TaxCatchAll" ma:showField="CatchAllData" ma:web="711ca9e5-348f-44ca-81e6-5e47be3e62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107C45-1C90-4EF5-9A7E-F840D46DD224}">
  <ds:schemaRefs>
    <ds:schemaRef ds:uri="http://schemas.microsoft.com/sharepoint/v3/contenttype/forms"/>
  </ds:schemaRefs>
</ds:datastoreItem>
</file>

<file path=customXml/itemProps2.xml><?xml version="1.0" encoding="utf-8"?>
<ds:datastoreItem xmlns:ds="http://schemas.openxmlformats.org/officeDocument/2006/customXml" ds:itemID="{AEE76B84-8F60-456A-880F-2F88FBE29C18}">
  <ds:schemaRefs>
    <ds:schemaRef ds:uri="http://schemas.microsoft.com/office/2006/documentManagement/types"/>
    <ds:schemaRef ds:uri="http://schemas.microsoft.com/office/infopath/2007/PartnerControls"/>
    <ds:schemaRef ds:uri="http://schemas.microsoft.com/office/2006/metadata/properties"/>
    <ds:schemaRef ds:uri="http://purl.org/dc/dcmitype/"/>
    <ds:schemaRef ds:uri="http://purl.org/dc/terms/"/>
    <ds:schemaRef ds:uri="http://schemas.openxmlformats.org/package/2006/metadata/core-properties"/>
    <ds:schemaRef ds:uri="http://purl.org/dc/elements/1.1/"/>
    <ds:schemaRef ds:uri="711ca9e5-348f-44ca-81e6-5e47be3e6231"/>
    <ds:schemaRef ds:uri="af3caa82-8770-4ae6-9d87-4ed5e3aca054"/>
    <ds:schemaRef ds:uri="03b60f28-079f-43d1-9249-332661775cbe"/>
    <ds:schemaRef ds:uri="http://www.w3.org/XML/1998/namespace"/>
  </ds:schemaRefs>
</ds:datastoreItem>
</file>

<file path=customXml/itemProps3.xml><?xml version="1.0" encoding="utf-8"?>
<ds:datastoreItem xmlns:ds="http://schemas.openxmlformats.org/officeDocument/2006/customXml" ds:itemID="{B42CA184-1E9E-4E3D-BF17-D36E460FB8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b60f28-079f-43d1-9249-332661775cbe"/>
    <ds:schemaRef ds:uri="af3caa82-8770-4ae6-9d87-4ed5e3aca054"/>
    <ds:schemaRef ds:uri="711ca9e5-348f-44ca-81e6-5e47be3e62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14</vt:i4>
      </vt:variant>
    </vt:vector>
  </HeadingPairs>
  <TitlesOfParts>
    <vt:vector size="33" baseType="lpstr">
      <vt:lpstr>Safety Cover</vt:lpstr>
      <vt:lpstr>Safety Instruction</vt:lpstr>
      <vt:lpstr>DP Report</vt:lpstr>
      <vt:lpstr>DP Cover</vt:lpstr>
      <vt:lpstr>DP overall</vt:lpstr>
      <vt:lpstr>Safety cal.</vt:lpstr>
      <vt:lpstr>Safety manager</vt:lpstr>
      <vt:lpstr>Manager(Safety)</vt:lpstr>
      <vt:lpstr>Safety SV</vt:lpstr>
      <vt:lpstr>Safety Operator</vt:lpstr>
      <vt:lpstr>DP MGR</vt:lpstr>
      <vt:lpstr>MGR</vt:lpstr>
      <vt:lpstr>SV</vt:lpstr>
      <vt:lpstr>OP</vt:lpstr>
      <vt:lpstr>DP instruction</vt:lpstr>
      <vt:lpstr>Sheet1</vt:lpstr>
      <vt:lpstr>Cal</vt:lpstr>
      <vt:lpstr>Data</vt:lpstr>
      <vt:lpstr>memo</vt:lpstr>
      <vt:lpstr>'DP Cover'!Print_Area</vt:lpstr>
      <vt:lpstr>'DP instruction'!Print_Area</vt:lpstr>
      <vt:lpstr>'DP MGR'!Print_Area</vt:lpstr>
      <vt:lpstr>'DP overall'!Print_Area</vt:lpstr>
      <vt:lpstr>'DP Report'!Print_Area</vt:lpstr>
      <vt:lpstr>'Manager(Safety)'!Print_Area</vt:lpstr>
      <vt:lpstr>'Safety cal.'!Print_Area</vt:lpstr>
      <vt:lpstr>'Safety Cover'!Print_Area</vt:lpstr>
      <vt:lpstr>'Safety Instruction'!Print_Area</vt:lpstr>
      <vt:lpstr>'Safety manager'!Print_Area</vt:lpstr>
      <vt:lpstr>'Safety Operator'!Print_Area</vt:lpstr>
      <vt:lpstr>'Safety SV'!Print_Area</vt:lpstr>
      <vt:lpstr>'DP overall'!Print_Titles</vt:lpstr>
      <vt:lpstr>'Safety cal.'!Print_Titles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山下　佳</dc:creator>
  <cp:keywords/>
  <dc:description/>
  <cp:lastModifiedBy>Thanida Wanamkang</cp:lastModifiedBy>
  <cp:revision/>
  <dcterms:created xsi:type="dcterms:W3CDTF">2015-06-05T18:19:34Z</dcterms:created>
  <dcterms:modified xsi:type="dcterms:W3CDTF">2026-05-18T04:27:53Z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0x010100434738BC8E87CE45B30F19336FE890F9</vt:lpwstr>
  </property>
  <property fmtid="{D5CDD505-2E9C-101B-9397-08002B2CF9AE}" pid="3" name="MediaServiceImageTags">
    <vt:lpwstr/>
  </property>
</Properties>
</file>