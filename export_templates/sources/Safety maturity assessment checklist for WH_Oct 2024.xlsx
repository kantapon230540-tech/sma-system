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04"/>
  <workbookPr codeName="ThisWorkbook" defaultThemeVersion="166925"/>
  <mc:AlternateContent xmlns:mc="http://schemas.openxmlformats.org/markup-compatibility/2006">
    <mc:Choice Requires="x15">
      <x15ac:absPath xmlns:x15ac="http://schemas.microsoft.com/office/spreadsheetml/2010/11/ac" url="C:\Users\s.minamizawa\Desktop\0826週\"/>
    </mc:Choice>
  </mc:AlternateContent>
  <xr:revisionPtr revIDLastSave="0" documentId="8_{2020F24C-AC5C-4112-94EC-222E48E18D31}" xr6:coauthVersionLast="47" xr6:coauthVersionMax="47" xr10:uidLastSave="{00000000-0000-0000-0000-000000000000}"/>
  <bookViews>
    <workbookView xWindow="28680" yWindow="-120" windowWidth="29040" windowHeight="15840" tabRatio="615" firstSheet="1" activeTab="1" xr2:uid="{00000000-000D-0000-FFFF-FFFF00000000}"/>
  </bookViews>
  <sheets>
    <sheet name="Leadership" sheetId="3" r:id="rId1"/>
    <sheet name="TM Engagement" sheetId="5" r:id="rId2"/>
    <sheet name="Organization" sheetId="14" r:id="rId3"/>
    <sheet name="System" sheetId="15" r:id="rId4"/>
    <sheet name="(Ref.)Dashboard" sheetId="11" r:id="rId5"/>
    <sheet name="Calculation sheet" sheetId="7" r:id="rId6"/>
  </sheets>
  <definedNames>
    <definedName name="_xlnm._FilterDatabase" localSheetId="0" hidden="1">Leadership!$A$1:$K$29</definedName>
    <definedName name="_xlnm._FilterDatabase" localSheetId="2" hidden="1">Organization!$A$1:$K$27</definedName>
    <definedName name="_xlnm._FilterDatabase" localSheetId="3" hidden="1">System!$A$1:$L$108</definedName>
    <definedName name="_xlnm._FilterDatabase" localSheetId="1" hidden="1">'TM Engagement'!$A$1:$K$23</definedName>
    <definedName name="_xlnm.Print_Area" localSheetId="4">'(Ref.)Dashboard'!$A$1:$R$53</definedName>
    <definedName name="_xlnm.Print_Area" localSheetId="0">Leadership!$B$1:$L$33</definedName>
    <definedName name="_xlnm.Print_Area" localSheetId="2">Organization!$B$1:$L$30</definedName>
    <definedName name="_xlnm.Print_Area" localSheetId="3">System!$B$1:$M$115</definedName>
    <definedName name="_xlnm.Print_Area" localSheetId="1">'TM Engagement'!$B$1:$L$26</definedName>
    <definedName name="_xlnm.Print_Titles" localSheetId="3">System!$1:$2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7" i="7" l="1"/>
  <c r="C17" i="7" l="1"/>
  <c r="Q31" i="7" l="1"/>
  <c r="P31" i="7"/>
  <c r="O31" i="7"/>
  <c r="N31" i="7"/>
  <c r="M31" i="7"/>
  <c r="L31" i="7"/>
  <c r="K31" i="7"/>
  <c r="J31" i="7"/>
  <c r="I31" i="7"/>
  <c r="H31" i="7"/>
  <c r="G31" i="7"/>
  <c r="F31" i="7"/>
  <c r="E31" i="7"/>
  <c r="D31" i="7"/>
  <c r="C31" i="7"/>
  <c r="Q30" i="7"/>
  <c r="P30" i="7"/>
  <c r="O30" i="7"/>
  <c r="N30" i="7"/>
  <c r="M30" i="7"/>
  <c r="L30" i="7"/>
  <c r="K30" i="7"/>
  <c r="J30" i="7"/>
  <c r="I30" i="7"/>
  <c r="H30" i="7"/>
  <c r="G30" i="7"/>
  <c r="F30" i="7"/>
  <c r="E30" i="7"/>
  <c r="D30" i="7"/>
  <c r="C30" i="7"/>
  <c r="Q29" i="7"/>
  <c r="P29" i="7"/>
  <c r="Q27" i="7"/>
  <c r="P27" i="7"/>
  <c r="O27" i="7"/>
  <c r="Q26" i="7"/>
  <c r="P26" i="7"/>
  <c r="O26" i="7"/>
  <c r="Q25" i="7"/>
  <c r="P25" i="7"/>
  <c r="O25" i="7"/>
  <c r="O29" i="7"/>
  <c r="N29" i="7"/>
  <c r="M29" i="7"/>
  <c r="L29" i="7"/>
  <c r="K29" i="7"/>
  <c r="J29" i="7"/>
  <c r="I29" i="7"/>
  <c r="H29" i="7"/>
  <c r="G29" i="7"/>
  <c r="F29" i="7"/>
  <c r="E29" i="7"/>
  <c r="D29" i="7"/>
  <c r="C29" i="7"/>
  <c r="R31" i="7"/>
  <c r="R30" i="7"/>
  <c r="R29" i="7"/>
  <c r="N27" i="7"/>
  <c r="M27" i="7"/>
  <c r="L27" i="7"/>
  <c r="K27" i="7"/>
  <c r="J27" i="7"/>
  <c r="I27" i="7"/>
  <c r="H27" i="7"/>
  <c r="G27" i="7"/>
  <c r="F27" i="7"/>
  <c r="E27" i="7"/>
  <c r="D27" i="7"/>
  <c r="C27" i="7"/>
  <c r="N26" i="7"/>
  <c r="M26" i="7"/>
  <c r="L26" i="7"/>
  <c r="K26" i="7"/>
  <c r="J26" i="7"/>
  <c r="I26" i="7"/>
  <c r="H26" i="7"/>
  <c r="G26" i="7"/>
  <c r="F26" i="7"/>
  <c r="E26" i="7"/>
  <c r="D26" i="7"/>
  <c r="C26" i="7"/>
  <c r="C25" i="7"/>
  <c r="R27" i="7"/>
  <c r="R26" i="7"/>
  <c r="R25" i="7"/>
  <c r="N25" i="7"/>
  <c r="M25" i="7"/>
  <c r="L25" i="7"/>
  <c r="K25" i="7"/>
  <c r="J25" i="7"/>
  <c r="I25" i="7"/>
  <c r="H25" i="7"/>
  <c r="G25" i="7"/>
  <c r="F25" i="7"/>
  <c r="E25" i="7"/>
  <c r="D25" i="7"/>
  <c r="R23" i="7"/>
  <c r="R22" i="7"/>
  <c r="R21" i="7"/>
  <c r="Q23" i="7"/>
  <c r="P23" i="7"/>
  <c r="O23" i="7"/>
  <c r="N23" i="7"/>
  <c r="M23" i="7"/>
  <c r="L23" i="7"/>
  <c r="K23" i="7"/>
  <c r="J23" i="7"/>
  <c r="I23" i="7"/>
  <c r="H23" i="7"/>
  <c r="G23" i="7"/>
  <c r="F23" i="7"/>
  <c r="Q22" i="7"/>
  <c r="P22" i="7"/>
  <c r="O22" i="7"/>
  <c r="N22" i="7"/>
  <c r="M22" i="7"/>
  <c r="L22" i="7"/>
  <c r="K22" i="7"/>
  <c r="J22" i="7"/>
  <c r="I22" i="7"/>
  <c r="H22" i="7"/>
  <c r="G22" i="7"/>
  <c r="F22" i="7"/>
  <c r="Q21" i="7"/>
  <c r="P21" i="7"/>
  <c r="O21" i="7"/>
  <c r="N21" i="7"/>
  <c r="M21" i="7"/>
  <c r="L21" i="7"/>
  <c r="K21" i="7"/>
  <c r="J21" i="7"/>
  <c r="I21" i="7"/>
  <c r="H21" i="7"/>
  <c r="G21" i="7"/>
  <c r="F21" i="7"/>
  <c r="D21" i="7"/>
  <c r="C21" i="7"/>
  <c r="E23" i="7"/>
  <c r="D23" i="7"/>
  <c r="C23" i="7"/>
  <c r="E22" i="7"/>
  <c r="D22" i="7"/>
  <c r="C22" i="7"/>
  <c r="C18" i="7"/>
  <c r="E21" i="7"/>
  <c r="K19" i="7"/>
  <c r="K17" i="7"/>
  <c r="K18" i="7"/>
  <c r="Q19" i="7"/>
  <c r="P19" i="7"/>
  <c r="O19" i="7"/>
  <c r="Q18" i="7"/>
  <c r="P18" i="7"/>
  <c r="O18" i="7"/>
  <c r="Q17" i="7"/>
  <c r="P17" i="7"/>
  <c r="R19" i="7"/>
  <c r="R18" i="7"/>
  <c r="R17" i="7"/>
  <c r="O17" i="7"/>
  <c r="N19" i="7"/>
  <c r="M19" i="7"/>
  <c r="L19" i="7"/>
  <c r="N18" i="7"/>
  <c r="M18" i="7"/>
  <c r="L18" i="7"/>
  <c r="J18" i="7"/>
  <c r="N17" i="7"/>
  <c r="M17" i="7"/>
  <c r="J19" i="7"/>
  <c r="I19" i="7"/>
  <c r="I18" i="7"/>
  <c r="J17" i="7"/>
  <c r="I17" i="7"/>
  <c r="F19" i="7"/>
  <c r="H19" i="7"/>
  <c r="G19" i="7"/>
  <c r="H18" i="7"/>
  <c r="G18" i="7"/>
  <c r="F18" i="7"/>
  <c r="H17" i="7"/>
  <c r="G17" i="7"/>
  <c r="F17" i="7"/>
  <c r="E19" i="7"/>
  <c r="E18" i="7"/>
  <c r="E17" i="7"/>
  <c r="D19" i="7"/>
  <c r="D18" i="7"/>
  <c r="D17" i="7"/>
  <c r="C19" i="7"/>
  <c r="C35" i="7"/>
  <c r="S21" i="7" l="1"/>
  <c r="B21" i="7" s="1" a="1"/>
  <c r="B21" i="7" s="1"/>
  <c r="L24" i="11" s="1"/>
  <c r="S22" i="7"/>
  <c r="B22" i="7" s="1" a="1"/>
  <c r="B22" i="7" s="1"/>
  <c r="L25" i="11" s="1"/>
  <c r="S23" i="7"/>
  <c r="B23" i="7" s="1" a="1"/>
  <c r="B23" i="7" s="1"/>
  <c r="L26" i="11" s="1"/>
  <c r="S30" i="7"/>
  <c r="B30" i="7" s="1" a="1"/>
  <c r="B30" i="7" s="1"/>
  <c r="F25" i="11" s="1"/>
  <c r="S31" i="7"/>
  <c r="B31" i="7" s="1" a="1"/>
  <c r="B31" i="7" s="1"/>
  <c r="F26" i="11" s="1"/>
  <c r="S29" i="7"/>
  <c r="B29" i="7" s="1" a="1"/>
  <c r="B29" i="7" s="1"/>
  <c r="F24" i="11" s="1"/>
  <c r="S17" i="7"/>
  <c r="B17" i="7" s="1" a="1"/>
  <c r="B17" i="7" s="1"/>
  <c r="S18" i="7"/>
  <c r="B18" i="7" s="1" a="1"/>
  <c r="B18" i="7" s="1"/>
  <c r="S19" i="7"/>
  <c r="B19" i="7" s="1" a="1"/>
  <c r="B19" i="7" s="1"/>
  <c r="S26" i="7"/>
  <c r="B26" i="7" s="1" a="1"/>
  <c r="B26" i="7" s="1"/>
  <c r="I25" i="11" s="1"/>
  <c r="S27" i="7"/>
  <c r="B27" i="7" s="1" a="1"/>
  <c r="B27" i="7" s="1"/>
  <c r="I26" i="11" s="1"/>
  <c r="S25" i="7"/>
  <c r="B25" i="7" s="1" a="1"/>
  <c r="B25" i="7" s="1"/>
  <c r="I24" i="11" s="1"/>
  <c r="F49" i="7"/>
  <c r="E49" i="7"/>
  <c r="D49" i="7"/>
  <c r="C49" i="7"/>
  <c r="F48" i="7"/>
  <c r="E48" i="7"/>
  <c r="D48" i="7"/>
  <c r="C48" i="7"/>
  <c r="F47" i="7"/>
  <c r="E47" i="7"/>
  <c r="D47" i="7"/>
  <c r="C47" i="7"/>
  <c r="F46" i="7"/>
  <c r="E46" i="7"/>
  <c r="D46" i="7"/>
  <c r="C46" i="7"/>
  <c r="F45" i="7"/>
  <c r="E45" i="7"/>
  <c r="D45" i="7"/>
  <c r="C45" i="7"/>
  <c r="F44" i="7"/>
  <c r="E44" i="7"/>
  <c r="D44" i="7"/>
  <c r="C44" i="7"/>
  <c r="F43" i="7"/>
  <c r="E43" i="7"/>
  <c r="D43" i="7"/>
  <c r="C43" i="7"/>
  <c r="F42" i="7"/>
  <c r="E42" i="7"/>
  <c r="D42" i="7"/>
  <c r="C42" i="7"/>
  <c r="F41" i="7"/>
  <c r="E41" i="7"/>
  <c r="D41" i="7"/>
  <c r="C41" i="7"/>
  <c r="F40" i="7"/>
  <c r="E40" i="7"/>
  <c r="D40" i="7"/>
  <c r="C40" i="7"/>
  <c r="F39" i="7"/>
  <c r="E39" i="7"/>
  <c r="D39" i="7"/>
  <c r="C39" i="7"/>
  <c r="F38" i="7"/>
  <c r="E38" i="7"/>
  <c r="D38" i="7"/>
  <c r="C38" i="7"/>
  <c r="F37" i="7"/>
  <c r="E37" i="7"/>
  <c r="D37" i="7"/>
  <c r="C37" i="7"/>
  <c r="F36" i="7"/>
  <c r="E36" i="7"/>
  <c r="D36" i="7"/>
  <c r="C36" i="7"/>
  <c r="F35" i="7"/>
  <c r="E35" i="7"/>
  <c r="D35" i="7"/>
  <c r="G49" i="7"/>
  <c r="G48" i="7"/>
  <c r="G47" i="7"/>
  <c r="G46" i="7"/>
  <c r="G45" i="7"/>
  <c r="G44" i="7"/>
  <c r="G43" i="7"/>
  <c r="G42" i="7"/>
  <c r="G41" i="7"/>
  <c r="G40" i="7"/>
  <c r="G39" i="7"/>
  <c r="G38" i="7"/>
  <c r="G37" i="7"/>
  <c r="G36" i="7"/>
  <c r="G35" i="7"/>
  <c r="O24" i="11" l="1"/>
  <c r="O25" i="11"/>
  <c r="O26" i="11"/>
  <c r="H35" i="7"/>
  <c r="B35" i="7" s="1"/>
  <c r="H37" i="7"/>
  <c r="B37" i="7" s="1"/>
  <c r="H39" i="7"/>
  <c r="B39" i="7" s="1"/>
  <c r="H42" i="7"/>
  <c r="B42" i="7" s="1"/>
  <c r="H40" i="7"/>
  <c r="B40" i="7" s="1"/>
  <c r="H43" i="7"/>
  <c r="B43" i="7" s="1"/>
  <c r="H46" i="7"/>
  <c r="B46" i="7" s="1"/>
  <c r="H49" i="7"/>
  <c r="B49" i="7" s="1"/>
  <c r="H44" i="7"/>
  <c r="B44" i="7" s="1"/>
  <c r="H47" i="7"/>
  <c r="B47" i="7" s="1"/>
  <c r="H41" i="7"/>
  <c r="B41" i="7" s="1"/>
  <c r="H38" i="7"/>
  <c r="B38" i="7" s="1"/>
  <c r="H45" i="7"/>
  <c r="B45" i="7" s="1"/>
  <c r="H48" i="7"/>
  <c r="B48" i="7" s="1"/>
  <c r="H36" i="7"/>
  <c r="B36" i="7" s="1"/>
  <c r="O20" i="11" l="1"/>
  <c r="I33" i="11" s="1"/>
  <c r="L20" i="11"/>
  <c r="I20" i="11"/>
  <c r="E49" i="11" s="1"/>
  <c r="E50" i="11" l="1"/>
  <c r="I44" i="11"/>
  <c r="E51" i="11" l="1"/>
  <c r="K27" i="14"/>
  <c r="F20" i="11" l="1"/>
  <c r="E48" i="11" s="1"/>
  <c r="G20" i="11" l="1"/>
  <c r="F33" i="11"/>
  <c r="J20" i="11"/>
  <c r="F44" i="11"/>
  <c r="F16" i="11"/>
  <c r="G16" i="11" s="1"/>
  <c r="M20" i="11"/>
  <c r="L16" i="11"/>
  <c r="P20" i="11"/>
  <c r="M16" i="11" l="1"/>
  <c r="F12" i="11"/>
  <c r="G12" i="1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<sst xmlns="http://schemas.openxmlformats.org/spreadsheetml/2006/main" count="1153" uniqueCount="510">
  <si>
    <t>Level</t>
    <phoneticPr fontId="4"/>
  </si>
  <si>
    <t>Element
エレメント</t>
    <phoneticPr fontId="4"/>
  </si>
  <si>
    <t>No</t>
    <phoneticPr fontId="4"/>
  </si>
  <si>
    <t>Question
質問</t>
    <rPh sb="9" eb="11">
      <t>シツモン</t>
    </rPh>
    <phoneticPr fontId="4"/>
  </si>
  <si>
    <t>Answered by
回答者</t>
    <rPh sb="12" eb="15">
      <t>カイトウシャ</t>
    </rPh>
    <phoneticPr fontId="4"/>
  </si>
  <si>
    <t>How to check
確認方法</t>
    <rPh sb="13" eb="17">
      <t>カクニンホウホウ</t>
    </rPh>
    <phoneticPr fontId="4"/>
  </si>
  <si>
    <t xml:space="preserve">Judgement Criteria
判断基準 </t>
    <rPh sb="19" eb="21">
      <t>ハンダン</t>
    </rPh>
    <rPh sb="21" eb="23">
      <t>キジュン</t>
    </rPh>
    <phoneticPr fontId="1"/>
  </si>
  <si>
    <t>Judgement
判断</t>
    <rPh sb="10" eb="12">
      <t>ハンダン</t>
    </rPh>
    <phoneticPr fontId="4"/>
  </si>
  <si>
    <t>Reason
判断理由</t>
    <phoneticPr fontId="4"/>
  </si>
  <si>
    <t>Interview</t>
    <phoneticPr fontId="4"/>
  </si>
  <si>
    <t>On-site observation</t>
    <phoneticPr fontId="4"/>
  </si>
  <si>
    <t>Document check</t>
    <phoneticPr fontId="4"/>
  </si>
  <si>
    <t>Note: Global target number of TMs who are interviewed is 10% and more in the site. Minimum number is 3 TMs in case 10% of all TMs is less than 3.
注記：インタビューする技能員の人数は、全従業員の10%以上をグローバル目標とする。なお10％が3人未満となる場合は、3人を目標とする。</t>
    <rPh sb="146" eb="148">
      <t>チュウキ</t>
    </rPh>
    <rPh sb="157" eb="160">
      <t>ギノウイン</t>
    </rPh>
    <rPh sb="161" eb="163">
      <t>ニンスウ</t>
    </rPh>
    <rPh sb="165" eb="166">
      <t>ゼン</t>
    </rPh>
    <rPh sb="166" eb="169">
      <t>ジュウギョウイン</t>
    </rPh>
    <rPh sb="173" eb="175">
      <t>イジョウ</t>
    </rPh>
    <rPh sb="181" eb="183">
      <t>モクヒョウ</t>
    </rPh>
    <rPh sb="194" eb="195">
      <t>ニン</t>
    </rPh>
    <rPh sb="195" eb="197">
      <t>ミマン</t>
    </rPh>
    <rPh sb="200" eb="202">
      <t>バアイ</t>
    </rPh>
    <rPh sb="205" eb="206">
      <t>ニン</t>
    </rPh>
    <rPh sb="207" eb="209">
      <t>モクヒョウ</t>
    </rPh>
    <phoneticPr fontId="4"/>
  </si>
  <si>
    <t>Ad-hoc</t>
  </si>
  <si>
    <t>Prioritization
優先付け</t>
    <rPh sb="15" eb="17">
      <t>ユウセン</t>
    </rPh>
    <rPh sb="17" eb="18">
      <t>ヅ</t>
    </rPh>
    <phoneticPr fontId="4"/>
  </si>
  <si>
    <t>Have safety procedures been evaluated to ensure they are compliant with OH&amp;S regulations?
安全手順は、安全衛生法令に準拠するよう、評価されていますか？</t>
    <rPh sb="96" eb="100">
      <t>アンゼンエイセイ</t>
    </rPh>
    <rPh sb="110" eb="112">
      <t>ヒョウカ</t>
    </rPh>
    <phoneticPr fontId="4"/>
  </si>
  <si>
    <t>Site manager
事業所長</t>
    <rPh sb="13" eb="17">
      <t>ジギョウショチョウ</t>
    </rPh>
    <phoneticPr fontId="4"/>
  </si>
  <si>
    <t>レ</t>
    <phoneticPr fontId="4"/>
  </si>
  <si>
    <t>The respondent can explain how safety procedures have been evaluated to ensure they are compliant with OH&amp;S regulations.
回答者は、安全手順が労働安全衛生規則に準拠するよう、どのように評価されているか説明できる。</t>
    <rPh sb="121" eb="124">
      <t>カイトウシャ</t>
    </rPh>
    <rPh sb="160" eb="162">
      <t>セツメイ</t>
    </rPh>
    <phoneticPr fontId="4"/>
  </si>
  <si>
    <t>Decisions
意思決定</t>
    <rPh sb="10" eb="12">
      <t>イシ</t>
    </rPh>
    <rPh sb="12" eb="14">
      <t>ケッテイ</t>
    </rPh>
    <phoneticPr fontId="4"/>
  </si>
  <si>
    <t>Have you monitored the H&amp;S and DP regulations* which may be applicable for your site and checked that these regulations have been taken place in your sites? (e.g. trainings, mobile equipment, chemicals, flammable materials)
事業所に適用される労働安全衛生・防災関連法令の要求事項を把握し、法要件を順守していますか？（例: 資格・教育、動力車、化学物質管理、可燃物管理）</t>
    <rPh sb="255" eb="258">
      <t>ホウヨウケン</t>
    </rPh>
    <rPh sb="259" eb="261">
      <t>ジュンシュ</t>
    </rPh>
    <phoneticPr fontId="4"/>
  </si>
  <si>
    <t>レ</t>
  </si>
  <si>
    <t>The H&amp;S and DP regulations are listed up and actions in the site are determined. Besides, the site is compliant with these regulations.
労働安全衛生・防災関連法令の要件および事業所で取るべき対応が明確になっている。また、現場確認すると法要件が順守されていることを確認できる。</t>
    <phoneticPr fontId="4"/>
  </si>
  <si>
    <t>Support
支援</t>
    <rPh sb="8" eb="10">
      <t>シエン</t>
    </rPh>
    <phoneticPr fontId="4"/>
  </si>
  <si>
    <r>
      <t>Does your site mana</t>
    </r>
    <r>
      <rPr>
        <u/>
        <sz val="8"/>
        <rFont val="Meiryo UI"/>
        <family val="3"/>
        <charset val="128"/>
      </rPr>
      <t>g</t>
    </r>
    <r>
      <rPr>
        <sz val="8"/>
        <rFont val="Meiryo UI"/>
        <family val="3"/>
        <charset val="128"/>
      </rPr>
      <t>er consider safety a priority and address safety at the morning assembly, roll-call, etc.?
事業所長は、安全を第一優先と考え、朝礼や点呼の際に安全に関する話をしていますか？</t>
    </r>
    <rPh sb="111" eb="115">
      <t>ジギョウショチョウ</t>
    </rPh>
    <rPh sb="125" eb="126">
      <t>カンガ</t>
    </rPh>
    <phoneticPr fontId="4"/>
  </si>
  <si>
    <t>Teammate
技能員</t>
    <rPh sb="9" eb="12">
      <t>ギノウイン</t>
    </rPh>
    <phoneticPr fontId="4"/>
  </si>
  <si>
    <r>
      <t>All respondents</t>
    </r>
    <r>
      <rPr>
        <sz val="8"/>
        <color rgb="FFFF0000"/>
        <rFont val="Meiryo UI"/>
        <family val="3"/>
        <charset val="128"/>
      </rPr>
      <t xml:space="preserve"> </t>
    </r>
    <r>
      <rPr>
        <sz val="8"/>
        <color theme="1"/>
        <rFont val="Meiryo UI"/>
        <family val="3"/>
        <charset val="128"/>
      </rPr>
      <t>can show examples that the site manager addresses at the morning assembly, roll call, etc.
回答者全員が、事業所長が点呼・朝礼などで話した安全に関する話の具体例をあげることができた。</t>
    </r>
    <rPh sb="107" eb="110">
      <t>カイトウシャ</t>
    </rPh>
    <rPh sb="110" eb="112">
      <t>ゼンイン</t>
    </rPh>
    <rPh sb="127" eb="128">
      <t>ハナ</t>
    </rPh>
    <phoneticPr fontId="4"/>
  </si>
  <si>
    <t>Reactive</t>
    <phoneticPr fontId="1"/>
  </si>
  <si>
    <t>What does site leadership (e.g. site manager and supervisor) do when a serious incident  (lost-time-injury, fire accident, etc.) occurs?
重大インシデント（休業災害・出火事故等）発生時、管理監督者（事業所長、作業主任）はどのような対応をとりますか？</t>
    <rPh sb="161" eb="166">
      <t>カンリカントクシャ</t>
    </rPh>
    <rPh sb="183" eb="185">
      <t>タイオウ</t>
    </rPh>
    <phoneticPr fontId="4"/>
  </si>
  <si>
    <t>Teammate
技能員</t>
  </si>
  <si>
    <t>All respondents stated that site leadership (e.g. site manager and supervisor) was involved in the root cause analysis process when a serious incident (lost-time-injury, fire accident, etc.) occurred
回答者全員が、重大インシデント（休業災害・出火事故等）発生時、管理監督者（事業所長、作業主任）が原因分析プロセス（例:JS分析）に参加対応していると述べた。</t>
    <rPh sb="200" eb="203">
      <t>カイトウシャ</t>
    </rPh>
    <rPh sb="203" eb="205">
      <t>ゼンイン</t>
    </rPh>
    <phoneticPr fontId="4"/>
  </si>
  <si>
    <t>Does site manager review lagging OH&amp;S KPIs (e.g. number of incidents, frequency, severity) at least monthly?
事業所長は、結果系KPI(災害・出火事故件数、度数率、強度率等)をフォローし、見直ししていますか？</t>
    <rPh sb="109" eb="113">
      <t>ジギョウショチョウ</t>
    </rPh>
    <rPh sb="115" eb="118">
      <t>ケッカケイ</t>
    </rPh>
    <rPh sb="122" eb="124">
      <t>サイガイ</t>
    </rPh>
    <rPh sb="125" eb="127">
      <t>シュッカ</t>
    </rPh>
    <rPh sb="127" eb="129">
      <t>ジコ</t>
    </rPh>
    <rPh sb="129" eb="131">
      <t>ケンスウ</t>
    </rPh>
    <rPh sb="132" eb="135">
      <t>ドスウリツ</t>
    </rPh>
    <rPh sb="136" eb="139">
      <t>キョウドリツ</t>
    </rPh>
    <rPh sb="139" eb="140">
      <t>ナド</t>
    </rPh>
    <rPh sb="148" eb="150">
      <t>ミナオ</t>
    </rPh>
    <phoneticPr fontId="4"/>
  </si>
  <si>
    <t>Site manager
事業所長</t>
    <phoneticPr fontId="4"/>
  </si>
  <si>
    <t>Site leadership follows safety lagging OH&amp;S KPIs, and give directions to review the safety program if necessary. 
事業所長は、結果系KPIをフォローし、必要に応じて安全施策の見直しを指示している。</t>
    <rPh sb="120" eb="123">
      <t>ケッカケイ</t>
    </rPh>
    <phoneticPr fontId="4"/>
  </si>
  <si>
    <t>Are the root causes of incidents categorized and then tracked?
災害の原因は、分類（要因分析）され、追跡（フォロー）されていますか？</t>
    <phoneticPr fontId="4"/>
  </si>
  <si>
    <t>Site manager or
 if available, site safety
事業所長もしくは拠点安全担当</t>
    <phoneticPr fontId="4"/>
  </si>
  <si>
    <t>The cause of incident in the most recent year has been determined and the countermeasures are followed-up by the termination. 
直近１年間の災害(労働災害・業務上疾病・ヒヤリ)の原因が特定され、対策完了までフォローされている。</t>
    <rPh sb="130" eb="132">
      <t>ネンカン</t>
    </rPh>
    <phoneticPr fontId="4"/>
  </si>
  <si>
    <t>Are safety initiatives being implemented to improve safety? Is there any document to show that? 
安全性向上のために、リーダーシップが発揮されていますか？それを示す書類がありますか？</t>
    <rPh sb="128" eb="129">
      <t>シメ</t>
    </rPh>
    <rPh sb="130" eb="132">
      <t>ショルイ</t>
    </rPh>
    <phoneticPr fontId="4"/>
  </si>
  <si>
    <t>Site manager or
 if available, site safety
事業所長もしくは拠点安全担当</t>
    <rPh sb="43" eb="47">
      <t>ジギョウショチョウ</t>
    </rPh>
    <rPh sb="51" eb="53">
      <t>キョテン</t>
    </rPh>
    <rPh sb="53" eb="57">
      <t>アンゼンタントウ</t>
    </rPh>
    <phoneticPr fontId="4"/>
  </si>
  <si>
    <t>Site leadership can show a plan to improve safety activities in the site and explain that the plan is implemented.
事業所長は自事業所の安全活動改善計画を提示でき、その計画が実行されていることを説明できる。</t>
    <rPh sb="103" eb="107">
      <t>ジギョウショチョウ</t>
    </rPh>
    <rPh sb="108" eb="109">
      <t>ジ</t>
    </rPh>
    <rPh sb="109" eb="112">
      <t>ジギョウショ</t>
    </rPh>
    <rPh sb="123" eb="125">
      <t>テイジ</t>
    </rPh>
    <rPh sb="129" eb="131">
      <t>カイゼン</t>
    </rPh>
    <rPh sb="131" eb="133">
      <t>ケイカク</t>
    </rPh>
    <rPh sb="142" eb="144">
      <t>セツメイ</t>
    </rPh>
    <phoneticPr fontId="4"/>
  </si>
  <si>
    <t>Standardized</t>
  </si>
  <si>
    <t>Does Site leaders actively provide feedback to teammates and promote safety whilst on tours? 
管理監督者（事業所長および作業主任）は、巡回時、積極的に技能員へフィードバックを行い、安全を推進していますか？</t>
    <rPh sb="96" eb="98">
      <t>カントク</t>
    </rPh>
    <rPh sb="100" eb="104">
      <t>ジギョウショチョウ</t>
    </rPh>
    <rPh sb="107" eb="111">
      <t>サギョウシュニン</t>
    </rPh>
    <phoneticPr fontId="4"/>
  </si>
  <si>
    <t>Site manager and Supervisor
事業所長および作業主任</t>
    <rPh sb="28" eb="31">
      <t>ジギョウショ</t>
    </rPh>
    <rPh sb="31" eb="32">
      <t>チョウ</t>
    </rPh>
    <rPh sb="35" eb="39">
      <t>サギョウシュニン</t>
    </rPh>
    <phoneticPr fontId="4"/>
  </si>
  <si>
    <t>The respondents can show an example that they provide feedbacks to teammates to ensure adherence to safety rules, such as procedures, standards, etc. 
回答者は、手順、規格などの安全ルールが遵守されるように巡回等の現場確認を行い、技能員へフィードバックをした具体例をあげることができる。</t>
    <rPh sb="151" eb="154">
      <t>カイトウシャ</t>
    </rPh>
    <rPh sb="204" eb="207">
      <t>グタイレイ</t>
    </rPh>
    <phoneticPr fontId="4"/>
  </si>
  <si>
    <t>What is your responsibility for safety?
安全に関するあなたの責任や義務は何ですか？</t>
    <rPh sb="50" eb="52">
      <t>セキニン</t>
    </rPh>
    <rPh sb="53" eb="55">
      <t>ギム</t>
    </rPh>
    <rPh sb="56" eb="57">
      <t>ナニ</t>
    </rPh>
    <phoneticPr fontId="4"/>
  </si>
  <si>
    <t>All respondents can explain their own responsibilities for safety. (e.g. participation of safety activity, etc.)
回答者全員が、安全に関する自身の責任や義務（例：安全活動への参加等）を説明できる。</t>
    <rPh sb="113" eb="116">
      <t>カイトウシャ</t>
    </rPh>
    <rPh sb="126" eb="128">
      <t>ジシン</t>
    </rPh>
    <rPh sb="129" eb="131">
      <t>セキニン</t>
    </rPh>
    <rPh sb="135" eb="136">
      <t>レイ</t>
    </rPh>
    <rPh sb="137" eb="141">
      <t>アンゼンカツドウ</t>
    </rPh>
    <rPh sb="143" eb="145">
      <t>サンカ</t>
    </rPh>
    <rPh sb="145" eb="146">
      <t>ナド</t>
    </rPh>
    <rPh sb="148" eb="150">
      <t>セツメイ</t>
    </rPh>
    <phoneticPr fontId="4"/>
  </si>
  <si>
    <t>Do you know how important teammates' involvement in safety is?　Besides, do you explain the importance to teammates and involve them in safety activities?
あなたは、安全（活動）に従業員を参加させることの重要性を理解していますか？また、その重要性を従業員に説明し、従業員を安全活動に参加させていますか？</t>
    <rPh sb="196" eb="199">
      <t>ジュウヨウセイ</t>
    </rPh>
    <rPh sb="208" eb="211">
      <t>ジュウギョウイン</t>
    </rPh>
    <phoneticPr fontId="4"/>
  </si>
  <si>
    <t>Site manager could both explain why teammate involvement in safety management is important and can provide examples of actions taken to promote this and the results of those actions.
事業所長は、安全管理への従業員の参加対応が重要である理由を説明し、その促進活動の例と結果を示すことができる。</t>
    <rPh sb="183" eb="187">
      <t>ジギョウショチョウ</t>
    </rPh>
    <phoneticPr fontId="4"/>
  </si>
  <si>
    <t>Is there a H&amp;S meeting with representation from teammates, leadership and site H&amp;S (if available)? Does leadership give directions to solve issues?
技能員と管理者（事業所長、作業主任等）が出席する安全衛生会議が開催されていますか？事業所長は課題解決のための指示をしていますか？</t>
    <rPh sb="156" eb="160">
      <t>ジギョウショチョウ</t>
    </rPh>
    <rPh sb="161" eb="165">
      <t>サギョウシュニン</t>
    </rPh>
    <rPh sb="165" eb="166">
      <t>ナド</t>
    </rPh>
    <rPh sb="168" eb="170">
      <t>シュッセキ</t>
    </rPh>
    <rPh sb="179" eb="181">
      <t>カイサイ</t>
    </rPh>
    <rPh sb="189" eb="193">
      <t>ジギョウショチョウ</t>
    </rPh>
    <phoneticPr fontId="4"/>
  </si>
  <si>
    <t>The meeting minute indicates that the meetings are held at planned intervals and the participants discuss the improvement of safety on site.
会議議事録より、計画された間隔で会議が開催され、出席者が現場の安全性向上について議論していることが確認できる。</t>
    <rPh sb="141" eb="146">
      <t>カイギギジロク</t>
    </rPh>
    <rPh sb="157" eb="159">
      <t>カイギ</t>
    </rPh>
    <rPh sb="160" eb="162">
      <t>カイサイ</t>
    </rPh>
    <rPh sb="165" eb="168">
      <t>シュッセキシャ</t>
    </rPh>
    <rPh sb="190" eb="192">
      <t>カクニン</t>
    </rPh>
    <phoneticPr fontId="4"/>
  </si>
  <si>
    <t>Are there repercussions/consequences for teammates that do not follow the Safety Rules and Procedures?
安全ルール違反をした従業員に対し、影響/結果（罰則）はありますか？</t>
    <rPh sb="103" eb="105">
      <t>アンゼン</t>
    </rPh>
    <rPh sb="108" eb="110">
      <t>イハン</t>
    </rPh>
    <rPh sb="120" eb="122">
      <t>エイキョウ</t>
    </rPh>
    <rPh sb="123" eb="125">
      <t>ケッカ</t>
    </rPh>
    <rPh sb="126" eb="128">
      <t>バッソク</t>
    </rPh>
    <phoneticPr fontId="4"/>
  </si>
  <si>
    <t>Site manager can show disciplinary procedure or documented examples (e.g. consequence matrix) of carrying out disciplinary action, etc.
事業所長は、罰則手順書や罰則事例を提示することができる。</t>
    <rPh sb="136" eb="140">
      <t>ジギョウショチョウ</t>
    </rPh>
    <rPh sb="153" eb="155">
      <t>テイジ</t>
    </rPh>
    <phoneticPr fontId="4"/>
  </si>
  <si>
    <t>Proactive</t>
  </si>
  <si>
    <t>Does site manager follow and review "Leading indicators" in their safety result tracking?
事業所長は、安全関連の指標について、先行指標（プロセスKPI）をフォローし、見直ししていますか？</t>
    <rPh sb="90" eb="94">
      <t>ジギョウショチョウ</t>
    </rPh>
    <rPh sb="128" eb="130">
      <t>ミナオ</t>
    </rPh>
    <phoneticPr fontId="4"/>
  </si>
  <si>
    <t>Site leadership follow not only lagging indicator(e.g. # of injuries), but also leading indicators, and give directions to review and/or improve safety programs if necessary. 
事業所長は、結果系KPI（災害件数等）だけでなく、先行指標(プロセスKPI）をフォローし、必要に応じて施策の見直し・改善を指示している。</t>
    <rPh sb="176" eb="180">
      <t>ジギョウショチョウ</t>
    </rPh>
    <phoneticPr fontId="4"/>
  </si>
  <si>
    <t>Can you show examples of implemented safety measures based on teammate feedback?
現場の意見を踏まえた上で安全の課題を認識し、その対応や改善に取り組んでいますか？</t>
    <rPh sb="81" eb="83">
      <t>ゲンバ</t>
    </rPh>
    <rPh sb="84" eb="86">
      <t>イケン</t>
    </rPh>
    <rPh sb="87" eb="88">
      <t>フ</t>
    </rPh>
    <rPh sb="91" eb="92">
      <t>ウエ</t>
    </rPh>
    <rPh sb="96" eb="98">
      <t>カダイ</t>
    </rPh>
    <rPh sb="99" eb="101">
      <t>ニンシキ</t>
    </rPh>
    <rPh sb="105" eb="107">
      <t>タイオウ</t>
    </rPh>
    <rPh sb="108" eb="110">
      <t>カイゼン</t>
    </rPh>
    <rPh sb="111" eb="112">
      <t>ト</t>
    </rPh>
    <rPh sb="113" eb="114">
      <t>ク</t>
    </rPh>
    <phoneticPr fontId="4"/>
  </si>
  <si>
    <t>Site manager or
 if available, site safety
事業所長もしくは拠点安全担当</t>
    <rPh sb="43" eb="46">
      <t>ジギョウショ</t>
    </rPh>
    <rPh sb="46" eb="47">
      <t>チョウ</t>
    </rPh>
    <rPh sb="51" eb="53">
      <t>キョテン</t>
    </rPh>
    <rPh sb="53" eb="55">
      <t>アンゼン</t>
    </rPh>
    <rPh sb="55" eb="57">
      <t>タントウ</t>
    </rPh>
    <phoneticPr fontId="4"/>
  </si>
  <si>
    <t>The respondents can show an example of ongoing safety project with allocated budgets. 
回答者は、予算が割り当てられ、現在取り組んでいる安全プロジェクトの具体例を示すことができる。</t>
    <rPh sb="87" eb="90">
      <t>カイトウシャ</t>
    </rPh>
    <rPh sb="95" eb="96">
      <t>ワ</t>
    </rPh>
    <rPh sb="97" eb="98">
      <t>ア</t>
    </rPh>
    <rPh sb="102" eb="104">
      <t>ゲンザイ</t>
    </rPh>
    <rPh sb="104" eb="105">
      <t>ト</t>
    </rPh>
    <rPh sb="106" eb="107">
      <t>ク</t>
    </rPh>
    <rPh sb="111" eb="113">
      <t>アンゼン</t>
    </rPh>
    <rPh sb="120" eb="123">
      <t>グタイレイ</t>
    </rPh>
    <rPh sb="124" eb="125">
      <t>シメ</t>
    </rPh>
    <phoneticPr fontId="4"/>
  </si>
  <si>
    <t>When creating the annual (or more) safety implementation plan, do you consider the KPI result/progress in previous year?
年次安全衛生実施計画を作る際に、前年度のKPI達成度合いを評価し、翌年度の実施項目や目標を立てていますか？</t>
    <rPh sb="121" eb="123">
      <t>ネンジ</t>
    </rPh>
    <rPh sb="123" eb="127">
      <t>アンゼンエイセイ</t>
    </rPh>
    <rPh sb="127" eb="129">
      <t>ジッシ</t>
    </rPh>
    <rPh sb="129" eb="131">
      <t>ケイカク</t>
    </rPh>
    <rPh sb="132" eb="133">
      <t>ツク</t>
    </rPh>
    <rPh sb="134" eb="135">
      <t>サイ</t>
    </rPh>
    <rPh sb="137" eb="140">
      <t>ゼンネンド</t>
    </rPh>
    <rPh sb="144" eb="148">
      <t>タッセイドア</t>
    </rPh>
    <rPh sb="150" eb="152">
      <t>ヒョウカ</t>
    </rPh>
    <rPh sb="154" eb="157">
      <t>ヨクネンド</t>
    </rPh>
    <rPh sb="158" eb="160">
      <t>ジッシ</t>
    </rPh>
    <rPh sb="160" eb="162">
      <t>コウモク</t>
    </rPh>
    <rPh sb="163" eb="165">
      <t>モクヒョウ</t>
    </rPh>
    <rPh sb="166" eb="167">
      <t>タ</t>
    </rPh>
    <phoneticPr fontId="4"/>
  </si>
  <si>
    <t>The respondent can explain an example that was changed from annual planning for previous year and its reason.
前年度から変更した実施項目や目標値と、変更した理由を説明できる。</t>
    <rPh sb="110" eb="113">
      <t>ゼンネンド</t>
    </rPh>
    <rPh sb="115" eb="117">
      <t>ヘンコウ</t>
    </rPh>
    <rPh sb="119" eb="121">
      <t>ジッシ</t>
    </rPh>
    <rPh sb="121" eb="123">
      <t>コウモク</t>
    </rPh>
    <rPh sb="124" eb="127">
      <t>モクヒョウチ</t>
    </rPh>
    <rPh sb="129" eb="131">
      <t>ヘンコウ</t>
    </rPh>
    <rPh sb="133" eb="135">
      <t>リユウ</t>
    </rPh>
    <rPh sb="136" eb="138">
      <t>セツメイ</t>
    </rPh>
    <phoneticPr fontId="4"/>
  </si>
  <si>
    <t>Do you recognize good safety behaviors of teammates and give them rewards?
あなたは、技能員の優れた安全行動を認知し、彼らを表彰していますか?</t>
    <rPh sb="92" eb="94">
      <t>ニンチ</t>
    </rPh>
    <rPh sb="96" eb="97">
      <t>カレ</t>
    </rPh>
    <phoneticPr fontId="4"/>
  </si>
  <si>
    <t>Site manager can explain an example of this kind of reward in the most recent year. 
事業所長はが、直近1年間の表彰事例を説明することができる。</t>
    <rPh sb="92" eb="94">
      <t>チョッキン</t>
    </rPh>
    <rPh sb="95" eb="97">
      <t>ネンカン</t>
    </rPh>
    <rPh sb="98" eb="100">
      <t>ヒョウショウ</t>
    </rPh>
    <rPh sb="100" eb="102">
      <t>ジレイ</t>
    </rPh>
    <rPh sb="103" eb="105">
      <t>セツメイ</t>
    </rPh>
    <phoneticPr fontId="4"/>
  </si>
  <si>
    <t>Does management have a mid-term plan including Safety and DP items and their necessary resources to improve safety on site? 
管理者は、安全防災項目と必要予算が含まれる中期計画を作成しているか？</t>
    <phoneticPr fontId="4"/>
  </si>
  <si>
    <t>The plan clarifies the Safety and/or DP items and their presumed recourses to implement.
中期計画(MBP)は、SBUやBSB本社ガイドラインを考慮し安全防災の項目も折り込み、予算化されている。</t>
    <rPh sb="89" eb="91">
      <t>チュウキ</t>
    </rPh>
    <rPh sb="91" eb="93">
      <t>ケイカク</t>
    </rPh>
    <rPh sb="107" eb="109">
      <t>ホンシャ</t>
    </rPh>
    <rPh sb="116" eb="118">
      <t>コウリョ</t>
    </rPh>
    <rPh sb="119" eb="123">
      <t>アンゼンボウサイ</t>
    </rPh>
    <rPh sb="134" eb="135">
      <t>カ</t>
    </rPh>
    <phoneticPr fontId="4"/>
  </si>
  <si>
    <t xml:space="preserve">Excellence </t>
    <phoneticPr fontId="4"/>
  </si>
  <si>
    <t>Have you gathered best practices on safety activity from GBS/SBU, and implement them in the site?
GBS/SBUから展開された安全活動の好事例を事業所へ適用し、推進していますか？</t>
    <rPh sb="121" eb="124">
      <t>ジギョウショ</t>
    </rPh>
    <phoneticPr fontId="4"/>
  </si>
  <si>
    <t xml:space="preserve">The respondents can give examples of industry best practices, where they came from and how they are being implemented on site. 
回答者は、業界のベストプラクティスの例、その出所、現場における導入方法を示すことができる。 </t>
    <rPh sb="128" eb="131">
      <t>カイトウシャ</t>
    </rPh>
    <phoneticPr fontId="4"/>
  </si>
  <si>
    <t>Is there an external/cross site safety meeting? If so, does safety manager share H&amp;S issues or best practices? 
他事業所、もしくは社外との安全会議があり、課題や好事例を共有しているか？</t>
    <rPh sb="112" eb="116">
      <t>タジギョウショ</t>
    </rPh>
    <phoneticPr fontId="4"/>
  </si>
  <si>
    <t>Meeting minute indicate that the respondent contributes to discussion in the safety meeting. (e.g. Site managers meeting in SBU, meeting in the local safety association, etc.)
会議議事録より回答者が安全会議(例:SBU内の事業所長会議、地域の安全協力会等)で議論に参加している（安全衛生の改善に向けた困りごと・問題・課題の提起、ベストプラクティスの共有等）ことが確認できる。</t>
    <rPh sb="176" eb="181">
      <t>カイギギジロク</t>
    </rPh>
    <rPh sb="183" eb="186">
      <t>カイトウシャ</t>
    </rPh>
    <rPh sb="199" eb="203">
      <t>ジギョウショチョウ</t>
    </rPh>
    <rPh sb="203" eb="205">
      <t>カイギ</t>
    </rPh>
    <rPh sb="217" eb="219">
      <t>ギロン</t>
    </rPh>
    <rPh sb="220" eb="222">
      <t>サンカ</t>
    </rPh>
    <rPh sb="264" eb="265">
      <t>ナド</t>
    </rPh>
    <rPh sb="269" eb="271">
      <t>カクニン</t>
    </rPh>
    <phoneticPr fontId="4"/>
  </si>
  <si>
    <t>Do you feel comfortable stopping work if you feel there is a risk of injury?
あなたは、災害リスクに直面した際、作業を停止することを、よいことだと感じていますか？</t>
    <phoneticPr fontId="4"/>
  </si>
  <si>
    <r>
      <t>All respondents</t>
    </r>
    <r>
      <rPr>
        <sz val="8"/>
        <color rgb="FFFF0000"/>
        <rFont val="Meiryo UI"/>
        <family val="3"/>
        <charset val="128"/>
      </rPr>
      <t xml:space="preserve"> </t>
    </r>
    <r>
      <rPr>
        <sz val="8"/>
        <rFont val="Meiryo UI"/>
        <family val="3"/>
        <charset val="128"/>
      </rPr>
      <t xml:space="preserve">confirm that they feel safety is essential. They are comfortable stopping work when they feel their safety is compromised. 
回答者全員、安全が絶対不可欠であると述べた。安全が損なわれると思ったときには、躊躇なく作業を停止できる。 </t>
    </r>
    <rPh sb="140" eb="143">
      <t>カイトウシャ</t>
    </rPh>
    <rPh sb="143" eb="145">
      <t>ゼンイン</t>
    </rPh>
    <phoneticPr fontId="4"/>
  </si>
  <si>
    <t>Do you motivate teammates to find and implement new best practices relevant to safety in other BS sites?
あなたは、所属員に対し、安全に関するベストプラクティスの収集や実行を推進していますか？</t>
    <rPh sb="128" eb="131">
      <t>ショゾクイン</t>
    </rPh>
    <rPh sb="132" eb="133">
      <t>タイ</t>
    </rPh>
    <rPh sb="135" eb="137">
      <t>アンゼン</t>
    </rPh>
    <rPh sb="138" eb="139">
      <t>カンシュウシュウジッコウスイシン</t>
    </rPh>
    <phoneticPr fontId="4"/>
  </si>
  <si>
    <t>Site manager can explain how he/she motivate teammates to find best practices and how he/she allocate resources to implement them.
(e.g. Teammates join in safety meeting where other site's members are present)
事業所長は、所属員に対してベストプラクティスを模索する動機付けの方法、および導入するためのリソースを割り当てる方法を説明できる。 (例. 他事業所との安全会議に所属員も参加する、他事業所へ安全調査に行く等)</t>
    <rPh sb="210" eb="214">
      <t>ジギョウショチョウ</t>
    </rPh>
    <rPh sb="216" eb="219">
      <t>ショゾクイン</t>
    </rPh>
    <rPh sb="276" eb="277">
      <t>レイ</t>
    </rPh>
    <rPh sb="279" eb="283">
      <t>タジギョウショ</t>
    </rPh>
    <rPh sb="285" eb="287">
      <t>アンゼン</t>
    </rPh>
    <rPh sb="287" eb="289">
      <t>カイギ</t>
    </rPh>
    <rPh sb="290" eb="293">
      <t>ショゾクイン</t>
    </rPh>
    <rPh sb="294" eb="296">
      <t>サンカ</t>
    </rPh>
    <rPh sb="299" eb="303">
      <t>タジギョウショ</t>
    </rPh>
    <rPh sb="304" eb="306">
      <t>アンゼン</t>
    </rPh>
    <rPh sb="306" eb="308">
      <t>チョウサ</t>
    </rPh>
    <rPh sb="309" eb="310">
      <t>イ</t>
    </rPh>
    <rPh sb="311" eb="312">
      <t>ナド</t>
    </rPh>
    <phoneticPr fontId="4"/>
  </si>
  <si>
    <t>Does the site management team benchmark Safety and DP trends in logistics industry / other external companies and consider incorporation into site targets/activities?
物流業界や社外の安全防災動向を収集し、自事業所の活動への取り入れを検討していますか？</t>
    <rPh sb="167" eb="169">
      <t>ブツリュウ</t>
    </rPh>
    <rPh sb="169" eb="171">
      <t>ギョウカイ</t>
    </rPh>
    <rPh sb="175" eb="177">
      <t>アンゼン</t>
    </rPh>
    <rPh sb="177" eb="179">
      <t>ボウサイ</t>
    </rPh>
    <rPh sb="179" eb="181">
      <t>ドウコウ</t>
    </rPh>
    <rPh sb="182" eb="184">
      <t>シュウシュウ</t>
    </rPh>
    <rPh sb="186" eb="187">
      <t>ジ</t>
    </rPh>
    <rPh sb="187" eb="190">
      <t>ジギョウショ</t>
    </rPh>
    <rPh sb="191" eb="193">
      <t>カツドウ</t>
    </rPh>
    <rPh sb="195" eb="196">
      <t>ト</t>
    </rPh>
    <rPh sb="197" eb="198">
      <t>イ</t>
    </rPh>
    <rPh sb="200" eb="202">
      <t>ケントウ</t>
    </rPh>
    <phoneticPr fontId="4"/>
  </si>
  <si>
    <t>The respondent can give example of Safety and DP trends which the management team referred.
回答者は、収集した業界や社外の動向事例を説明することができる。</t>
    <rPh sb="92" eb="95">
      <t>カイトウシャ</t>
    </rPh>
    <rPh sb="97" eb="99">
      <t>シュウシュウ</t>
    </rPh>
    <rPh sb="101" eb="103">
      <t>ギョウカイ</t>
    </rPh>
    <rPh sb="107" eb="109">
      <t>ドウコウ</t>
    </rPh>
    <rPh sb="112" eb="114">
      <t>セツメイ</t>
    </rPh>
    <phoneticPr fontId="4"/>
  </si>
  <si>
    <t>*Best practice includes information gathered from other sites or external companies. The items which were already standardized are excluded. (E.g. Engineering/recurrence prevention measures defined in the international standard or SBU standard)</t>
    <phoneticPr fontId="4"/>
  </si>
  <si>
    <t>*ベストプラクティスには、事業所や他社から入手した好事例が含まれる。但し、既に標準化/規格化/要領化された内容を除く。（例：国際規格やSBU規格に規定されている設備対策・類災対策）</t>
    <rPh sb="13" eb="16">
      <t>ジギョウショ</t>
    </rPh>
    <phoneticPr fontId="4"/>
  </si>
  <si>
    <t>*Incidents: lost-time-injury, fire accident, occupational disease, near-miss, etc.  インシデント：災害・火災・業務上疾病・ヒヤリ 等</t>
  </si>
  <si>
    <t>Reason
判断理由</t>
  </si>
  <si>
    <t>Note: Global target number of TMs who are interviewed is 10% and more in the site. Minimum target number is 3 in case 10% of all TMs is &lt;3.
注記：インタビューする技能員の人数は、全従業員の10%以上をグローバル目標とする。なお10％が3人未満となる場合は、3人を目標とする。</t>
    <rPh sb="140" eb="142">
      <t>チュウキ</t>
    </rPh>
    <rPh sb="151" eb="154">
      <t>ギノウイン</t>
    </rPh>
    <rPh sb="155" eb="157">
      <t>ニンスウ</t>
    </rPh>
    <rPh sb="159" eb="160">
      <t>ゼン</t>
    </rPh>
    <rPh sb="160" eb="163">
      <t>ジュウギョウイン</t>
    </rPh>
    <rPh sb="167" eb="169">
      <t>イジョウ</t>
    </rPh>
    <rPh sb="175" eb="177">
      <t>モクヒョウ</t>
    </rPh>
    <rPh sb="188" eb="189">
      <t>ニン</t>
    </rPh>
    <rPh sb="189" eb="191">
      <t>ミマン</t>
    </rPh>
    <rPh sb="194" eb="196">
      <t>バアイ</t>
    </rPh>
    <rPh sb="199" eb="200">
      <t>ニン</t>
    </rPh>
    <rPh sb="201" eb="203">
      <t>モクヒョウ</t>
    </rPh>
    <phoneticPr fontId="4"/>
  </si>
  <si>
    <t>Ad-hoc</t>
    <phoneticPr fontId="1"/>
  </si>
  <si>
    <t>Capability
能力</t>
    <rPh sb="11" eb="13">
      <t>ノウリョク</t>
    </rPh>
    <phoneticPr fontId="4"/>
  </si>
  <si>
    <t>What are H&amp;S risks relevant to your work? What makes you recognize them?
あなたの仕事に関連のある安全衛生リスクは何ですか？そのリスクはどのように教わりましたか？</t>
    <rPh sb="77" eb="79">
      <t>シゴト</t>
    </rPh>
    <rPh sb="80" eb="82">
      <t>カンレン</t>
    </rPh>
    <rPh sb="85" eb="89">
      <t>アンゼンエイセイ</t>
    </rPh>
    <rPh sb="93" eb="94">
      <t>ナニ</t>
    </rPh>
    <rPh sb="109" eb="110">
      <t>オシ</t>
    </rPh>
    <phoneticPr fontId="4"/>
  </si>
  <si>
    <r>
      <t>All respondents</t>
    </r>
    <r>
      <rPr>
        <b/>
        <sz val="8"/>
        <rFont val="Meiryo UI"/>
        <family val="3"/>
        <charset val="128"/>
      </rPr>
      <t xml:space="preserve"> </t>
    </r>
    <r>
      <rPr>
        <sz val="8"/>
        <rFont val="Meiryo UI"/>
        <family val="3"/>
        <charset val="128"/>
      </rPr>
      <t xml:space="preserve">are trained to recognize the H&amp;S risks applicable in the site. 
回答者全員が、自職場の安全衛生関連のリスクを教育訓練で教えられている。 </t>
    </r>
    <rPh sb="80" eb="83">
      <t>カイトウシャ</t>
    </rPh>
    <rPh sb="83" eb="85">
      <t>ゼンイン</t>
    </rPh>
    <rPh sb="87" eb="90">
      <t>ジショクバ</t>
    </rPh>
    <rPh sb="102" eb="106">
      <t>キョウイククンレン</t>
    </rPh>
    <rPh sb="107" eb="108">
      <t>オシ</t>
    </rPh>
    <phoneticPr fontId="4"/>
  </si>
  <si>
    <t>Action
行動</t>
    <rPh sb="7" eb="9">
      <t>コウドウ</t>
    </rPh>
    <phoneticPr fontId="4"/>
  </si>
  <si>
    <t>What would be considered a priority: complete the operation plan or follow safety procedures?
あなたは、作業を計画通り完了させることと安全手順を守ることのどちらが優先されるべきだと考えますか？</t>
    <rPh sb="99" eb="101">
      <t>サギョウ</t>
    </rPh>
    <rPh sb="104" eb="105">
      <t>ドオ</t>
    </rPh>
    <rPh sb="119" eb="120">
      <t>マモ</t>
    </rPh>
    <rPh sb="137" eb="138">
      <t>カンガ</t>
    </rPh>
    <phoneticPr fontId="4"/>
  </si>
  <si>
    <t>Teammate
技能員</t>
    <phoneticPr fontId="4"/>
  </si>
  <si>
    <t>All respondents know that safety is considered more important than operation.
回答者全員が、作業よりも安全を優先するという意識を持っている。</t>
    <rPh sb="85" eb="87">
      <t>サギョウ</t>
    </rPh>
    <phoneticPr fontId="4"/>
  </si>
  <si>
    <t>Are you aware of your personal impact on safety? How do you contribute to improve safety?
あなたは、安全に対する自身の影響力を認識していますか？どのように安全向上に貢献していますか？</t>
    <rPh sb="95" eb="97">
      <t>アンゼン</t>
    </rPh>
    <rPh sb="101" eb="102">
      <t>タイ</t>
    </rPh>
    <rPh sb="104" eb="106">
      <t>ジシン</t>
    </rPh>
    <rPh sb="107" eb="110">
      <t>エイキョウリョク</t>
    </rPh>
    <rPh sb="125" eb="127">
      <t>アンゼン</t>
    </rPh>
    <rPh sb="127" eb="129">
      <t>コウケン</t>
    </rPh>
    <rPh sb="130" eb="132">
      <t>カツヨウ</t>
    </rPh>
    <phoneticPr fontId="4"/>
  </si>
  <si>
    <t>Site manager stated that they have an impact on teammate safety. They can show an example of their contribution for safety. (e.g. They patrol on site, prioritize safety measures, allocate budget, etc.) 
事業所長は、自身が従業員の安全に影響を及ぼすことを認識していると述べ、どのように貢献しているか具体例を説明できる。（例：巡回による安全状況確認、安全対策の優先順位付け、予算割り当て等）</t>
    <rPh sb="203" eb="207">
      <t>ジギョウショチョウ</t>
    </rPh>
    <rPh sb="228" eb="230">
      <t>ニンシキ</t>
    </rPh>
    <rPh sb="243" eb="245">
      <t>コウケン</t>
    </rPh>
    <rPh sb="250" eb="253">
      <t>グタイレイ</t>
    </rPh>
    <rPh sb="254" eb="256">
      <t>セツメイ</t>
    </rPh>
    <phoneticPr fontId="4"/>
  </si>
  <si>
    <t>Knowledge
知識</t>
    <rPh sb="10" eb="12">
      <t>チシキ</t>
    </rPh>
    <phoneticPr fontId="4"/>
  </si>
  <si>
    <t>What requirement, based on safety regulations do you explain to teammate?
安全に関する法的要求に関して、あなたはどういった内容を技能員に説明していますか？</t>
    <phoneticPr fontId="4"/>
  </si>
  <si>
    <t>Supervisor
作業主任</t>
    <rPh sb="11" eb="15">
      <t>サギョウシュニン</t>
    </rPh>
    <phoneticPr fontId="4"/>
  </si>
  <si>
    <t>The respondent can show an example that they explain safety requirements based on regulation to teammates.
回答者は、安全に関する法的要求事項を技能員へ説明した具体例をあげることができる。</t>
    <rPh sb="107" eb="110">
      <t>カイトウシャ</t>
    </rPh>
    <rPh sb="133" eb="136">
      <t>グタイレイ</t>
    </rPh>
    <phoneticPr fontId="4"/>
  </si>
  <si>
    <t>Reactive</t>
  </si>
  <si>
    <t>Do teammates know how to report incidents?
技能員はインシデント（災害、ヒヤリ等）発生時の報告方法を知っていますか？</t>
    <phoneticPr fontId="4"/>
  </si>
  <si>
    <r>
      <t xml:space="preserve">All respondents　can explain how to report when incident happen.　A review of the incident records from the last month show that teammates have been reporting incidents and near misses.
</t>
    </r>
    <r>
      <rPr>
        <sz val="8"/>
        <color theme="1"/>
        <rFont val="Meiryo UI"/>
        <family val="3"/>
        <charset val="128"/>
      </rPr>
      <t>回答者全員がイ</t>
    </r>
    <r>
      <rPr>
        <sz val="8"/>
        <rFont val="Meiryo UI"/>
        <family val="3"/>
        <charset val="128"/>
      </rPr>
      <t>ンシデント発生時の報告方法を知っている。前月のインシデント記録を検証すると、インシデントやニアミスを従業員が報告していることがわかる。</t>
    </r>
    <phoneticPr fontId="4"/>
  </si>
  <si>
    <t>What actions do you take during your operations to prevent reoccurrence of an incident which occurred in your site?
自事業所で発生した災害の再発防止のため、どのような対策を日々実践していますか？</t>
    <rPh sb="116" eb="120">
      <t>ジジギョウショ</t>
    </rPh>
    <rPh sb="121" eb="123">
      <t>ハッセイ</t>
    </rPh>
    <rPh sb="125" eb="127">
      <t>サイガイ</t>
    </rPh>
    <rPh sb="128" eb="132">
      <t>サイハツボウシ</t>
    </rPh>
    <rPh sb="141" eb="143">
      <t>タイサク</t>
    </rPh>
    <rPh sb="144" eb="146">
      <t>ヒビ</t>
    </rPh>
    <rPh sb="146" eb="148">
      <t>ジッセン</t>
    </rPh>
    <phoneticPr fontId="4"/>
  </si>
  <si>
    <r>
      <rPr>
        <sz val="8"/>
        <color theme="1"/>
        <rFont val="Meiryo UI"/>
        <family val="3"/>
        <charset val="128"/>
      </rPr>
      <t>All respondents can explain the actions required to prevent the reoccurrence of incident that occurred in their site. They stated that they are involved in the required actions.</t>
    </r>
    <r>
      <rPr>
        <sz val="8"/>
        <rFont val="Meiryo UI"/>
        <family val="3"/>
        <charset val="128"/>
      </rPr>
      <t xml:space="preserve">
回答者全員が、自倉庫で発生した災害の再発防止対策が何か説明することができ、それを実践していると回答した。</t>
    </r>
    <rPh sb="178" eb="181">
      <t>カイトウシャ</t>
    </rPh>
    <rPh sb="181" eb="183">
      <t>ゼンイン</t>
    </rPh>
    <rPh sb="185" eb="188">
      <t>ジソウコ</t>
    </rPh>
    <rPh sb="189" eb="191">
      <t>ハッセイ</t>
    </rPh>
    <rPh sb="193" eb="195">
      <t>サイガイ</t>
    </rPh>
    <rPh sb="200" eb="202">
      <t>タイサク</t>
    </rPh>
    <rPh sb="203" eb="204">
      <t>ナニ</t>
    </rPh>
    <rPh sb="205" eb="207">
      <t>セツメイ</t>
    </rPh>
    <rPh sb="218" eb="220">
      <t>ジッセン</t>
    </rPh>
    <rPh sb="225" eb="227">
      <t>カイトウ</t>
    </rPh>
    <phoneticPr fontId="4"/>
  </si>
  <si>
    <t>What incidents and the countermeasures at your site did you receive from managements recently?
最近、事業所長または作業主任から連絡を受けた、自職場のインシデント（災害、ヒヤリ等）とその対策は何ですか？</t>
    <rPh sb="98" eb="102">
      <t>ジギョウショチョウ</t>
    </rPh>
    <rPh sb="105" eb="109">
      <t>サギョウシュニン</t>
    </rPh>
    <rPh sb="118" eb="121">
      <t>ジショクバ</t>
    </rPh>
    <rPh sb="135" eb="136">
      <t>ナド</t>
    </rPh>
    <phoneticPr fontId="4"/>
  </si>
  <si>
    <t>All respondents are informed of recent safety incidents in their site and countermeasures. Their statements match incident records.
回答者全員が、自職場で最近発生した安全インシデント（災害、ヒヤリ等）と対策の連絡を受けている。その回答は、インシデント記録と一致する。</t>
    <rPh sb="143" eb="145">
      <t>サイキン</t>
    </rPh>
    <rPh sb="158" eb="160">
      <t>サイガイ</t>
    </rPh>
    <rPh sb="164" eb="165">
      <t>ナド</t>
    </rPh>
    <rPh sb="181" eb="183">
      <t>カイトウ</t>
    </rPh>
    <rPh sb="191" eb="193">
      <t>キロク</t>
    </rPh>
    <rPh sb="194" eb="196">
      <t>イッチ</t>
    </rPh>
    <phoneticPr fontId="4"/>
  </si>
  <si>
    <t xml:space="preserve">What are the most important safety rules in your site/job and why? 
あなたの職場や作業で最も重要な安全ルールは何ですか？それはなぜですか。 </t>
    <rPh sb="72" eb="74">
      <t>ショクバ</t>
    </rPh>
    <rPh sb="75" eb="77">
      <t>サギョウ</t>
    </rPh>
    <phoneticPr fontId="4"/>
  </si>
  <si>
    <r>
      <t>All respondents can explain their</t>
    </r>
    <r>
      <rPr>
        <sz val="8"/>
        <color theme="1"/>
        <rFont val="Meiryo UI"/>
        <family val="3"/>
        <charset val="128"/>
      </rPr>
      <t xml:space="preserve"> site/j</t>
    </r>
    <r>
      <rPr>
        <sz val="8"/>
        <rFont val="Meiryo UI"/>
        <family val="3"/>
        <charset val="128"/>
      </rPr>
      <t>ob safety rules and why they are important. 
回答者全員が、自分の職場</t>
    </r>
    <r>
      <rPr>
        <sz val="8"/>
        <color theme="1"/>
        <rFont val="Meiryo UI"/>
        <family val="3"/>
        <charset val="128"/>
      </rPr>
      <t>や</t>
    </r>
    <r>
      <rPr>
        <sz val="8"/>
        <rFont val="Meiryo UI"/>
        <family val="3"/>
        <charset val="128"/>
      </rPr>
      <t xml:space="preserve">業務の安全ルールとその重要性を説明できる。 </t>
    </r>
    <rPh sb="85" eb="88">
      <t>カイトウシャ</t>
    </rPh>
    <rPh sb="92" eb="94">
      <t>ジブン</t>
    </rPh>
    <rPh sb="95" eb="97">
      <t>ショクバ</t>
    </rPh>
    <phoneticPr fontId="4"/>
  </si>
  <si>
    <t>Are you regularly trained about your site/job safety rules?
あなたは、自分の職場や作業に関する安全ルールについて、定期的に教育を受けていますか？</t>
    <rPh sb="65" eb="67">
      <t>ジブン</t>
    </rPh>
    <rPh sb="68" eb="70">
      <t>ショクバ</t>
    </rPh>
    <rPh sb="71" eb="73">
      <t>サギョウ</t>
    </rPh>
    <rPh sb="74" eb="75">
      <t>カン</t>
    </rPh>
    <phoneticPr fontId="4"/>
  </si>
  <si>
    <r>
      <t xml:space="preserve">All respondents agreed that they are regularly reminded and trained </t>
    </r>
    <r>
      <rPr>
        <sz val="8"/>
        <color theme="1"/>
        <rFont val="Meiryo UI"/>
        <family val="3"/>
        <charset val="128"/>
      </rPr>
      <t>of their site/job s</t>
    </r>
    <r>
      <rPr>
        <sz val="8"/>
        <rFont val="Meiryo UI"/>
        <family val="3"/>
        <charset val="128"/>
      </rPr>
      <t>afety rules.
回答者全員が、自分の職場や業務の安全ルールについて定期的に周知・教育されていると回答した。</t>
    </r>
    <rPh sb="100" eb="103">
      <t>カイトウシャ</t>
    </rPh>
    <rPh sb="107" eb="109">
      <t>ジブン</t>
    </rPh>
    <rPh sb="110" eb="112">
      <t>ショクバ</t>
    </rPh>
    <rPh sb="113" eb="115">
      <t>ギョウム</t>
    </rPh>
    <phoneticPr fontId="4"/>
  </si>
  <si>
    <t>Are the site/job safety rules being followed?
職場や作業における安全ルールは順守されているか？</t>
    <rPh sb="46" eb="48">
      <t>ショクバ</t>
    </rPh>
    <rPh sb="49" eb="51">
      <t>サギョウ</t>
    </rPh>
    <rPh sb="55" eb="57">
      <t>アンゼン</t>
    </rPh>
    <rPh sb="61" eb="63">
      <t>ジュンシュ</t>
    </rPh>
    <phoneticPr fontId="4"/>
  </si>
  <si>
    <t>Tour
現場確認</t>
    <rPh sb="5" eb="9">
      <t>ゲンバカクニン</t>
    </rPh>
    <phoneticPr fontId="4"/>
  </si>
  <si>
    <t>On-site observation indicates  that teammates follow their site/job safety rules.
現場確認の結果、技能員が自職場や自業務の安全ルールを守っていた。</t>
    <rPh sb="82" eb="84">
      <t>ゲンバ</t>
    </rPh>
    <rPh sb="84" eb="86">
      <t>カクニン</t>
    </rPh>
    <rPh sb="87" eb="89">
      <t>ケッカ</t>
    </rPh>
    <rPh sb="90" eb="93">
      <t>ギノウイン</t>
    </rPh>
    <rPh sb="94" eb="97">
      <t>ジショクバ</t>
    </rPh>
    <rPh sb="98" eb="101">
      <t>ジギョウム</t>
    </rPh>
    <rPh sb="102" eb="104">
      <t>アンゼン</t>
    </rPh>
    <rPh sb="108" eb="109">
      <t>マモ</t>
    </rPh>
    <phoneticPr fontId="4"/>
  </si>
  <si>
    <t>Capability
能力</t>
  </si>
  <si>
    <t>Do you understand the greatest potential risks in your work, and how they are controlled?
あなたは、自分の業務で最も危険なリスクとその管理方法（対策）を理解していますか？</t>
    <rPh sb="95" eb="97">
      <t>ジブン</t>
    </rPh>
    <rPh sb="98" eb="100">
      <t>ギョウム</t>
    </rPh>
    <rPh sb="117" eb="119">
      <t>タイサク</t>
    </rPh>
    <rPh sb="121" eb="123">
      <t>リカイ</t>
    </rPh>
    <phoneticPr fontId="4"/>
  </si>
  <si>
    <t>All respondents can explain the greatest potential risks in their work and controls to mitigate these risks.
回答者全員が、自分の業務で最も危険なリスクとそのリスク低減措置について説明できる。</t>
    <rPh sb="109" eb="112">
      <t>カイトウシャ</t>
    </rPh>
    <rPh sb="116" eb="118">
      <t>ジブン</t>
    </rPh>
    <rPh sb="119" eb="121">
      <t>ギョウム</t>
    </rPh>
    <rPh sb="124" eb="126">
      <t>キケン</t>
    </rPh>
    <phoneticPr fontId="4"/>
  </si>
  <si>
    <t>Knowledge
知識</t>
  </si>
  <si>
    <t>Have you taken training on residual risks in your work? How are you trained?
あなたは、自分の業務の残留リスクについて教育を受けましたか？どのように教育されましたか？</t>
    <rPh sb="82" eb="84">
      <t>ジブン</t>
    </rPh>
    <rPh sb="85" eb="87">
      <t>ギョウム</t>
    </rPh>
    <rPh sb="112" eb="114">
      <t>キョウイク</t>
    </rPh>
    <phoneticPr fontId="4"/>
  </si>
  <si>
    <t>All respondents stated that they took the training on residual risks based on the work standard.
回答者全員が、残留リスクについて作業標準ベースに教育を受けていると述べた。</t>
    <rPh sb="97" eb="100">
      <t>カイトウシャ</t>
    </rPh>
    <phoneticPr fontId="4"/>
  </si>
  <si>
    <t>Have teammates proposed improvements of H&amp;S risks and risk mitigation measures at the creations or revisions of work standards, training materials, etc?
技能員は、作業標準や教育資料等を作成、改訂する際、安全リスクや低減策の改善提案をしていますか？　</t>
    <rPh sb="153" eb="156">
      <t>ギノウイン</t>
    </rPh>
    <phoneticPr fontId="4"/>
  </si>
  <si>
    <t>Materials indicate that teammates propose improvements of H&amp;S risks and risk mitigation measures at the creations or revisions of work standards, training materials, etc.
文書確認にて、作業標準や教育資料等を作成、改訂する際、技能員が、安全リスクや低減策の改善提案をしていることが示される。　</t>
    <rPh sb="171" eb="175">
      <t>ブンショカクニン</t>
    </rPh>
    <phoneticPr fontId="4"/>
  </si>
  <si>
    <t xml:space="preserve">Excellent </t>
  </si>
  <si>
    <t>Are there opportunities to share H&amp;S risks and countermeasures of other sites at the safety meeting in your site?
自事業所の安全会議など、他事業所の安全リスク/対策を共有する場がありますか？</t>
    <rPh sb="126" eb="130">
      <t>タジギョウショ</t>
    </rPh>
    <phoneticPr fontId="4"/>
  </si>
  <si>
    <r>
      <t>Meeting material or minute indicate that H&amp;S risks and countermeasures of other</t>
    </r>
    <r>
      <rPr>
        <b/>
        <sz val="8"/>
        <rFont val="Meiryo UI"/>
        <family val="3"/>
        <charset val="128"/>
      </rPr>
      <t xml:space="preserve"> </t>
    </r>
    <r>
      <rPr>
        <sz val="8"/>
        <rFont val="Meiryo UI"/>
        <family val="3"/>
        <charset val="128"/>
      </rPr>
      <t>sites have been shared at the safety meeting in your site.
会議資料や議事録より、自事業所の安全会議等で、他事業所の安全リスク/対策について共有されていることが確認できる。</t>
    </r>
    <rPh sb="139" eb="141">
      <t>カイギ</t>
    </rPh>
    <rPh sb="141" eb="143">
      <t>シリョウ</t>
    </rPh>
    <rPh sb="144" eb="147">
      <t>ギジロク</t>
    </rPh>
    <rPh sb="151" eb="154">
      <t>ジギョウショ</t>
    </rPh>
    <rPh sb="162" eb="166">
      <t>タジギョウショ</t>
    </rPh>
    <rPh sb="189" eb="191">
      <t>カクニン</t>
    </rPh>
    <phoneticPr fontId="4"/>
  </si>
  <si>
    <t>How do you encourage communication between sites to share best-practices and lessons-learned?
あなたは、どのように事業所間でベストプラクティスや教訓を共有するためのコミュニケーションを推奨していますか？</t>
    <rPh sb="104" eb="108">
      <t>ジギョウショカン</t>
    </rPh>
    <rPh sb="139" eb="141">
      <t>スイショウ</t>
    </rPh>
    <phoneticPr fontId="4"/>
  </si>
  <si>
    <t>The respondent can explain how to share H&amp;S risks and control to mitigate these risks between sites. (e.g. Teammates introduce their safety activities to other site teammates.)
回答者は、安全衛生リスクとリスク低減措置について事業所間でどのように共有するか説明できた。(例. 他事業所との安全交流会で、所属員が自事業所の安全活動を紹介している。)</t>
    <rPh sb="177" eb="180">
      <t>カイトウシャ</t>
    </rPh>
    <rPh sb="195" eb="197">
      <t>ソチ</t>
    </rPh>
    <rPh sb="201" eb="204">
      <t>ジギョウショ</t>
    </rPh>
    <rPh sb="204" eb="205">
      <t>アイダ</t>
    </rPh>
    <rPh sb="223" eb="224">
      <t>レイ</t>
    </rPh>
    <rPh sb="226" eb="230">
      <t>タジギョウショ</t>
    </rPh>
    <rPh sb="232" eb="237">
      <t>アンゼンコウリュウカイ</t>
    </rPh>
    <rPh sb="239" eb="242">
      <t>ショゾクイン</t>
    </rPh>
    <rPh sb="243" eb="247">
      <t>ジジギョウショ</t>
    </rPh>
    <rPh sb="248" eb="252">
      <t>アンゼンカツドウ</t>
    </rPh>
    <rPh sb="253" eb="255">
      <t>ショウカイ</t>
    </rPh>
    <phoneticPr fontId="4"/>
  </si>
  <si>
    <t>What response would you expect from your colleague when you act unsafe? 
What will you do if you find unsafe behavior of your colleague?
あなたが不安全行動をした場合、あなたの同僚はどのような反応をすると思いますか？もし同僚の不安全行動を見つけたら、あなたはどうしますか？</t>
    <rPh sb="170" eb="171">
      <t>オモ</t>
    </rPh>
    <rPh sb="178" eb="180">
      <t>ドウリョウ</t>
    </rPh>
    <rPh sb="181" eb="186">
      <t>フアンゼンコウドウ</t>
    </rPh>
    <rPh sb="187" eb="188">
      <t>ミ</t>
    </rPh>
    <phoneticPr fontId="4"/>
  </si>
  <si>
    <t xml:space="preserve">All respondents stated that unsafe behavior is unacceptable and anyone acting unsafe will be corrected by their peers. 
回答者全員が、不安全行動は容認できないと述べ、不安全行動をとる者は同僚によって指摘されると述べた。 </t>
    <rPh sb="120" eb="123">
      <t>カイトウシャ</t>
    </rPh>
    <rPh sb="123" eb="125">
      <t>ゼンイン</t>
    </rPh>
    <phoneticPr fontId="4"/>
  </si>
  <si>
    <t>Information
情報</t>
    <rPh sb="12" eb="14">
      <t>ジョウホウ</t>
    </rPh>
    <phoneticPr fontId="4"/>
  </si>
  <si>
    <t>Is the legally required H&amp;S training given to all teammates?
法令で要求される安全衛生教育は、全ての従業員に実施されていますか？</t>
    <phoneticPr fontId="4"/>
  </si>
  <si>
    <t>Compliance evaluation and training records in the most recent year indicate that H&amp;S training required by regulation has been provided to all teammates.
直近１年間の法令遵守状況評価と教育訓練記録から、法令に定められた安全衛生関連の教育訓練が全従業員に実施されていることが示される。</t>
    <rPh sb="153" eb="155">
      <t>チョッキン</t>
    </rPh>
    <rPh sb="156" eb="158">
      <t>ネンカン</t>
    </rPh>
    <phoneticPr fontId="4"/>
  </si>
  <si>
    <t>Communication
コミュニケーション</t>
    <phoneticPr fontId="4"/>
  </si>
  <si>
    <t>Do teammates communicate injuries/near-misses/defects to managers, and does management follow up them until close? 
管理者は、災害/ヒヤリ/不具合情報を技能員から入手し、対策完了までフォローアップ（追加の確認等）していますか？</t>
    <rPh sb="143" eb="147">
      <t>タイサクカンリョウ</t>
    </rPh>
    <rPh sb="157" eb="159">
      <t>ツイカ</t>
    </rPh>
    <rPh sb="160" eb="162">
      <t>カクニン</t>
    </rPh>
    <rPh sb="162" eb="163">
      <t>ナド</t>
    </rPh>
    <phoneticPr fontId="4"/>
  </si>
  <si>
    <t xml:space="preserve">All respondents can show items recently reported to him/her and the examples of follow-ups associated with the reports. 
作業主任は、最近報告された内容とそのフォローアップ活動の例を示すことができる。 </t>
    <rPh sb="121" eb="125">
      <t>サギョウシュニン</t>
    </rPh>
    <phoneticPr fontId="4"/>
  </si>
  <si>
    <t>Are H&amp;S/DP rules communicated to teammates when updated/changed/newly created.
安全衛生や防災に関するルールは、新設/改訂があった際に従業員へ周知されていますか？</t>
    <phoneticPr fontId="4"/>
  </si>
  <si>
    <t>Notifications board, document record etc show that updated/created H&amp;S/DP rules are communicated to teammates.
掲示板や教育記録を見ると、新設/改訂のあった安全衛生や防災に関するルール内容が従業員へ周知されていた。</t>
    <rPh sb="111" eb="114">
      <t>ケイジバン</t>
    </rPh>
    <rPh sb="115" eb="119">
      <t>キョウイクキロク</t>
    </rPh>
    <rPh sb="120" eb="121">
      <t>ミ</t>
    </rPh>
    <rPh sb="124" eb="126">
      <t>シンセツ</t>
    </rPh>
    <rPh sb="127" eb="129">
      <t>カイテイ</t>
    </rPh>
    <rPh sb="133" eb="137">
      <t>アンゼンエイセイ</t>
    </rPh>
    <rPh sb="138" eb="140">
      <t>ボウサイ</t>
    </rPh>
    <rPh sb="141" eb="142">
      <t>カン</t>
    </rPh>
    <rPh sb="147" eb="149">
      <t>ナイヨウ</t>
    </rPh>
    <rPh sb="150" eb="153">
      <t>ジュウギョウイン</t>
    </rPh>
    <rPh sb="154" eb="156">
      <t>シュウチ</t>
    </rPh>
    <phoneticPr fontId="4"/>
  </si>
  <si>
    <t>Participation
参加</t>
    <rPh sb="14" eb="16">
      <t>サンカ</t>
    </rPh>
    <phoneticPr fontId="4"/>
  </si>
  <si>
    <t>Does management have defined roles and responsibilities for safety activities?
管理者は、自職場の安全活動の担当者の役割を明確にし、任命していますか？</t>
    <rPh sb="85" eb="87">
      <t>ショクバ</t>
    </rPh>
    <phoneticPr fontId="4"/>
  </si>
  <si>
    <t>The site manager can explain their roles and responsibilities on safety activity in their teams.
事業所長は、自職場の安全活動における役割と責任を説明できる。</t>
    <rPh sb="97" eb="101">
      <t>ジギョウショチョウ</t>
    </rPh>
    <rPh sb="104" eb="106">
      <t>ショクバ</t>
    </rPh>
    <rPh sb="118" eb="120">
      <t>セキニン</t>
    </rPh>
    <phoneticPr fontId="4"/>
  </si>
  <si>
    <t>Are incident investigations carried out by qualified people?
災害調査は、知識・能力をもった者が実施していますか？</t>
    <phoneticPr fontId="4"/>
  </si>
  <si>
    <t>A review of the last incident (injury, disease/illness, near-miss) record show that the incident was investigated by qualified people (managements or site safety), and the identified causes were added to the risk tracking.
直近のインシデント（災害・業務上疾病・ヒヤリ）記録より、インシデントが知識・能力を有した者（管理監督者や拠点安全担当）によって調査され、特定された原因はリスク登録簿に追加されていた。</t>
    <rPh sb="223" eb="225">
      <t>チョッキン</t>
    </rPh>
    <rPh sb="246" eb="248">
      <t>キロク</t>
    </rPh>
    <rPh sb="291" eb="293">
      <t>トクテイ</t>
    </rPh>
    <phoneticPr fontId="4"/>
  </si>
  <si>
    <t>Do you know what safety initiatives are on going on site and how they are performing?
管理者は、現場で実行されている安全の取り組みと、その効果を把握していますか？</t>
    <rPh sb="86" eb="89">
      <t>カンリシャ</t>
    </rPh>
    <rPh sb="91" eb="93">
      <t>ゲンバ</t>
    </rPh>
    <rPh sb="94" eb="96">
      <t>ジッコウ</t>
    </rPh>
    <rPh sb="101" eb="103">
      <t>アンゼン</t>
    </rPh>
    <rPh sb="104" eb="105">
      <t>ト</t>
    </rPh>
    <rPh sb="106" eb="107">
      <t>ク</t>
    </rPh>
    <rPh sb="112" eb="114">
      <t>コウカ</t>
    </rPh>
    <rPh sb="115" eb="117">
      <t>ハアク</t>
    </rPh>
    <phoneticPr fontId="4"/>
  </si>
  <si>
    <t xml:space="preserve">All respondents could describe the most recent H&amp;S initiatives (key projects or activities) to improve H&amp;S management on site, and knew if the results were positive or negative. 
事業所長は、現場の安全衛生管理改善を目的とした直近の安全衛生の取り組みを説明でき、結果の良し悪しを知っていた。 </t>
    <rPh sb="179" eb="183">
      <t>ジギョウショチョウ</t>
    </rPh>
    <phoneticPr fontId="4"/>
  </si>
  <si>
    <t>Is there collaboration between Logistics safety dept. and site management to address recurring incidents?
再発防止において、物流安全機能部署と事業所長は連携していますか？</t>
    <phoneticPr fontId="4"/>
  </si>
  <si>
    <t>A review of the last incident (injury, disease/illness, near-miss) record show evidence that site management and Logistic safety dept. collaborate to prevent reoccurrence of the accident by addressing the causation. 
直近のインシデント(災害・業務上疾病・ヒヤリ)記録より、管理者と物流安全機能部署が協力して、事故の因果関係を調査し、再発防止に取り組んでいることが確認できる。</t>
    <rPh sb="217" eb="219">
      <t>チョッキン</t>
    </rPh>
    <rPh sb="249" eb="251">
      <t>ブツリュウ</t>
    </rPh>
    <rPh sb="251" eb="257">
      <t>アンゼンキノウブショ</t>
    </rPh>
    <rPh sb="290" eb="292">
      <t>カクニン</t>
    </rPh>
    <phoneticPr fontId="4"/>
  </si>
  <si>
    <t>Do safety training sessions for newcomers reference relevant frequent incidents and severe risks?
*Frequent incident means that same incident is re-occurring 
新人・転入者向けの安全教育において、よく発生するインシデント(災害・業務上疾病・ヒヤリ)と重大リスクが言及されていますか？</t>
    <rPh sb="159" eb="161">
      <t>シンジン</t>
    </rPh>
    <rPh sb="162" eb="165">
      <t>テンニュウシャ</t>
    </rPh>
    <rPh sb="165" eb="166">
      <t>ム</t>
    </rPh>
    <rPh sb="204" eb="206">
      <t>ジュウダイ</t>
    </rPh>
    <rPh sb="210" eb="212">
      <t>ゲンキュウ</t>
    </rPh>
    <phoneticPr fontId="4"/>
  </si>
  <si>
    <t>The safety training material for newcomers includes frequent incidents, severe risks and their controls.
新人・転入者向けの安全教育資料に、よく発生するインシデント(災害・業務上疾病・ヒヤリ)、重大リスク、その管理項目（対策）が含まれている。</t>
    <rPh sb="105" eb="107">
      <t>シンジン</t>
    </rPh>
    <rPh sb="108" eb="111">
      <t>テンニュウシャ</t>
    </rPh>
    <rPh sb="111" eb="112">
      <t>ム</t>
    </rPh>
    <rPh sb="118" eb="120">
      <t>シリョウ</t>
    </rPh>
    <rPh sb="162" eb="164">
      <t>タイサク</t>
    </rPh>
    <rPh sb="166" eb="167">
      <t>フク</t>
    </rPh>
    <phoneticPr fontId="4"/>
  </si>
  <si>
    <t>Are safety rule's effectiveness being evaluated by the H&amp;S (if available), teammates and their site leaders? 
管理監督者や技能員によって、安全ルールの有効性が評価されていますか？</t>
    <phoneticPr fontId="4"/>
  </si>
  <si>
    <t>The site manager or site safety (if available) could describe how the H&amp;S rule's effectiveness is evaluated, who is involved in the evaluation process and how the processes are improved after evaluation.
事業所長は、誰がどのように安全ルールの有効性を評価し、評価後はどのように改善されるか説明できる。</t>
    <rPh sb="204" eb="208">
      <t>ジギョウショチョウ</t>
    </rPh>
    <phoneticPr fontId="4"/>
  </si>
  <si>
    <r>
      <t>When a safety issue</t>
    </r>
    <r>
      <rPr>
        <b/>
        <sz val="8"/>
        <color theme="1"/>
        <rFont val="Meiryo UI"/>
        <family val="3"/>
        <charset val="128"/>
      </rPr>
      <t xml:space="preserve"> </t>
    </r>
    <r>
      <rPr>
        <sz val="8"/>
        <color theme="1"/>
        <rFont val="Meiryo UI"/>
        <family val="3"/>
        <charset val="128"/>
      </rPr>
      <t xml:space="preserve">would occur, who would you report to? 
安全上の課題が発生した場合、あなたは誰に報告しますか？ </t>
    </r>
    <rPh sb="79" eb="81">
      <t>ホウコク</t>
    </rPh>
    <phoneticPr fontId="4"/>
  </si>
  <si>
    <t>All respondents stated that they would report specific safety issues to their site leadership (e.g. site manager and supervisor) .
回答者全員が、安全関連の特定の課題を管理監督者（事業所長、作業主任等）に報告すると回答した。</t>
    <rPh sb="131" eb="134">
      <t>カイトウシャ</t>
    </rPh>
    <rPh sb="134" eb="136">
      <t>ゼンイン</t>
    </rPh>
    <rPh sb="149" eb="154">
      <t>カンリカントクシャ</t>
    </rPh>
    <rPh sb="155" eb="159">
      <t>ジギョウショチョウ</t>
    </rPh>
    <rPh sb="160" eb="164">
      <t>サギョウシュニン</t>
    </rPh>
    <rPh sb="164" eb="165">
      <t>ナド</t>
    </rPh>
    <rPh sb="172" eb="174">
      <t>カイトウ</t>
    </rPh>
    <phoneticPr fontId="4"/>
  </si>
  <si>
    <t>Communication
コミュニケーション</t>
  </si>
  <si>
    <t>What is a content of system and a scope for "management of change"?
4M変更管理の仕組みの内容と対象を説明してください。</t>
    <rPh sb="70" eb="72">
      <t>ヘンコウ</t>
    </rPh>
    <rPh sb="72" eb="74">
      <t>カンリ</t>
    </rPh>
    <rPh sb="75" eb="77">
      <t>シク</t>
    </rPh>
    <rPh sb="79" eb="81">
      <t>ナイヨウ</t>
    </rPh>
    <rPh sb="82" eb="84">
      <t>タイショウ</t>
    </rPh>
    <rPh sb="85" eb="87">
      <t>セツメイ</t>
    </rPh>
    <phoneticPr fontId="4"/>
  </si>
  <si>
    <t>Supervisors
作業主任</t>
    <rPh sb="12" eb="16">
      <t>サギョウシュニン</t>
    </rPh>
    <phoneticPr fontId="4"/>
  </si>
  <si>
    <t>All supervisors could explain system and scope of management of change (4M changes).
作業主任全員が、４M変更管理の仕組み・対象について説明できた。</t>
    <rPh sb="85" eb="89">
      <t>サギョウシュニン</t>
    </rPh>
    <phoneticPr fontId="4"/>
  </si>
  <si>
    <t>Are safety processes updated and improved frequently using findings from the review?
安全面に関する作業標準は頻繁に見直され、見直し結果をもとに改善されていますか？</t>
    <rPh sb="85" eb="87">
      <t>アンゼン</t>
    </rPh>
    <rPh sb="87" eb="88">
      <t>メン</t>
    </rPh>
    <rPh sb="89" eb="90">
      <t>カン</t>
    </rPh>
    <rPh sb="92" eb="94">
      <t>サギョウ</t>
    </rPh>
    <rPh sb="94" eb="96">
      <t>ヒョウジュン</t>
    </rPh>
    <rPh sb="97" eb="99">
      <t>ヒンパン</t>
    </rPh>
    <rPh sb="100" eb="102">
      <t>ミナオ</t>
    </rPh>
    <rPh sb="105" eb="107">
      <t>ミナオ</t>
    </rPh>
    <rPh sb="108" eb="110">
      <t>ケッカ</t>
    </rPh>
    <rPh sb="114" eb="116">
      <t>カイゼン</t>
    </rPh>
    <phoneticPr fontId="4"/>
  </si>
  <si>
    <t>Document history of H&amp;S procedures and standards from the last year showed that safety processes had been updated to address newly identified risks and controls based on review.
安全衛生関連の手順書や標準書の前年以降の改訂履歴より、新たなリスクや課題について、安全手順が審議を得て改訂されたことが確認された。</t>
    <rPh sb="224" eb="226">
      <t>シンギ</t>
    </rPh>
    <rPh sb="227" eb="228">
      <t>エ</t>
    </rPh>
    <rPh sb="229" eb="231">
      <t>カイテイ</t>
    </rPh>
    <rPh sb="237" eb="239">
      <t>カクニン</t>
    </rPh>
    <phoneticPr fontId="4"/>
  </si>
  <si>
    <t>Do you communicate with OH&amp;S expert about upcoming changes on site when there are any concerns on Safety?
あなたは、職場の予定された変更に関して安全衛生上の懸念がある場合、安全衛生の専門家(物流安全機能や工場安全機能、社外等)と話し合っていますか？</t>
    <rPh sb="125" eb="130">
      <t>アンゼンエイセイジョウ</t>
    </rPh>
    <rPh sb="131" eb="133">
      <t>ケネン</t>
    </rPh>
    <rPh sb="136" eb="138">
      <t>バアイ</t>
    </rPh>
    <rPh sb="141" eb="143">
      <t>エイセイ</t>
    </rPh>
    <rPh sb="144" eb="147">
      <t>センモンカ</t>
    </rPh>
    <rPh sb="148" eb="150">
      <t>ブツリュウ</t>
    </rPh>
    <rPh sb="150" eb="154">
      <t>アンゼンキノウ</t>
    </rPh>
    <rPh sb="155" eb="157">
      <t>コウジョウ</t>
    </rPh>
    <rPh sb="157" eb="161">
      <t>アンゼンキノウ</t>
    </rPh>
    <rPh sb="162" eb="164">
      <t>シャガイ</t>
    </rPh>
    <rPh sb="164" eb="165">
      <t>ナドキノウブショ</t>
    </rPh>
    <phoneticPr fontId="4"/>
  </si>
  <si>
    <t>The respondent could show an example that he/she discuss the injury/illness/fire risks associated with upcoming changes to work processes with internal/external safety expert.
回答者は、作業場のレイアウトや作業方法などの変更時に、安全衛生・防災面について社内または社外専門機能と討議した事例を説明できた。</t>
    <rPh sb="176" eb="179">
      <t>カイトウシャ</t>
    </rPh>
    <rPh sb="181" eb="184">
      <t>サギョウバ</t>
    </rPh>
    <rPh sb="191" eb="195">
      <t>サギョウホウホウ</t>
    </rPh>
    <rPh sb="198" eb="200">
      <t>ヘンコウ</t>
    </rPh>
    <rPh sb="200" eb="201">
      <t>ジ</t>
    </rPh>
    <rPh sb="215" eb="217">
      <t>シャナイ</t>
    </rPh>
    <rPh sb="220" eb="222">
      <t>シャガイ</t>
    </rPh>
    <rPh sb="222" eb="224">
      <t>センモン</t>
    </rPh>
    <rPh sb="224" eb="226">
      <t>キノウ</t>
    </rPh>
    <rPh sb="227" eb="229">
      <t>トウギ</t>
    </rPh>
    <rPh sb="231" eb="233">
      <t>ジレイ</t>
    </rPh>
    <rPh sb="234" eb="236">
      <t>セツメイ</t>
    </rPh>
    <phoneticPr fontId="4"/>
  </si>
  <si>
    <t>Do work/job specific trainings highlight safety risks and processes associated with that work/job?　
技能訓練時、作業標準書の安全の急所や回避方法を教えていますか？</t>
    <rPh sb="100" eb="104">
      <t>ギノウクンレン</t>
    </rPh>
    <rPh sb="104" eb="105">
      <t>ジ</t>
    </rPh>
    <rPh sb="106" eb="111">
      <t>サギョウヒョウジュンショ</t>
    </rPh>
    <rPh sb="112" eb="114">
      <t>アンゼン</t>
    </rPh>
    <rPh sb="115" eb="117">
      <t>キュウショ</t>
    </rPh>
    <rPh sb="118" eb="122">
      <t>カイヒホウホウ</t>
    </rPh>
    <rPh sb="123" eb="124">
      <t>オシ</t>
    </rPh>
    <phoneticPr fontId="4"/>
  </si>
  <si>
    <t xml:space="preserve">Safety instructions and safety training are included in the work/job specific training materials. 
作業訓練資料に、安全関連の指示事項と安全教育訓練項目が含まれている。 </t>
    <rPh sb="115" eb="117">
      <t>コウモク</t>
    </rPh>
    <phoneticPr fontId="4"/>
  </si>
  <si>
    <t>Have you involved TMs in periodical review on safety action plans? 
安全実施計画のレビュー(成り行き確認)に技能員を参加させていますか？</t>
    <rPh sb="68" eb="70">
      <t>アンゼン</t>
    </rPh>
    <rPh sb="70" eb="72">
      <t>ジッシ</t>
    </rPh>
    <rPh sb="72" eb="74">
      <t>ケイカク</t>
    </rPh>
    <rPh sb="80" eb="81">
      <t>ナ</t>
    </rPh>
    <rPh sb="82" eb="83">
      <t>ユ</t>
    </rPh>
    <rPh sb="84" eb="86">
      <t>カクニン</t>
    </rPh>
    <rPh sb="88" eb="91">
      <t>ギノウイン</t>
    </rPh>
    <rPh sb="92" eb="94">
      <t>サンカ</t>
    </rPh>
    <phoneticPr fontId="4"/>
  </si>
  <si>
    <t xml:space="preserve">A review of the safety action plans (ex. meeting minutes, RA, etc.) from the most recent safety projects (safety programs or safety activities) show that teammates were involved and consulted. 
直近の安全プロジェクト（安全会議やRA等の安全に関する取り組み）における安全関連の活動計画を検証すると、技能員の参加対応と協議があったことが示された。 </t>
    <phoneticPr fontId="4"/>
  </si>
  <si>
    <t xml:space="preserve">What was the feedback from management on your hazard report? 
あなたが危険状況を報告した際、管理者からどのようなフィードバックをもらいましたか？ </t>
    <rPh sb="75" eb="76">
      <t>サイ</t>
    </rPh>
    <phoneticPr fontId="4"/>
  </si>
  <si>
    <t xml:space="preserve">All respondents stated that management had taken specific actions to address hazards they reported, and these actions have been communicated to them.
回答者全員が、自分たちが報告した危険状況に対して、管理者が特定の対応措置を実施し、その件について自分たちに報告があったと述べた。 </t>
    <rPh sb="150" eb="153">
      <t>カイトウシャ</t>
    </rPh>
    <phoneticPr fontId="4"/>
  </si>
  <si>
    <t xml:space="preserve">Excellence </t>
  </si>
  <si>
    <t>Do teammates comply with safety rules and improve risks actively being conscious of safety for not only their selves, but also teammates. ?
技能員は、自分だけでなく他者の安全を意識し、安全の標準・ルールを守り、リスク改善を積極的に行っていますか？</t>
    <phoneticPr fontId="4"/>
  </si>
  <si>
    <t>Observation in genba showed that teammates are actively conscious of their safety and the safety of others. 
Activities for improvement were conducted in CFT being conscious of safety for not only their selves, but also teammates.
作業現場を視察すると、技能員が自身の安全と他者の安全を積極的に意識していることが示された。改善活動は、自分だけでなく他者の安全を意識し、小集団・CFTで実施されている</t>
    <rPh sb="231" eb="233">
      <t>サギョウ</t>
    </rPh>
    <rPh sb="242" eb="245">
      <t>ギノウイン</t>
    </rPh>
    <phoneticPr fontId="4"/>
  </si>
  <si>
    <t>Do you engage with *external parties to obtain and exchange　knowledge on safety?
*External includes other company, SBU, other BS sites 
あなたは、外部の関係者と安全に関する知識の習得や情報交換をしていますか？　*外部には他社、SBU、他事業所を含む</t>
    <rPh sb="141" eb="143">
      <t>ガイブ</t>
    </rPh>
    <rPh sb="144" eb="147">
      <t>カンケイシャ</t>
    </rPh>
    <rPh sb="151" eb="152">
      <t>カン</t>
    </rPh>
    <rPh sb="154" eb="156">
      <t>チシキ</t>
    </rPh>
    <rPh sb="157" eb="159">
      <t>シュウトク</t>
    </rPh>
    <rPh sb="160" eb="164">
      <t>ジョウホウコウカン</t>
    </rPh>
    <phoneticPr fontId="4"/>
  </si>
  <si>
    <t xml:space="preserve">The site manager could explain an example that they voluntarily discussed safety with managers from other sites or external parties to improve safety knowledge.　
事業所長は、安全関連の知識を向上するため、自発的に他の現場や外部の管理者と安全について討議した具体例を説明できた。  </t>
    <rPh sb="162" eb="166">
      <t>ジギョウショチョウ</t>
    </rPh>
    <rPh sb="183" eb="186">
      <t>ジハツテキ</t>
    </rPh>
    <rPh sb="209" eb="212">
      <t>グタイレイ</t>
    </rPh>
    <rPh sb="213" eb="215">
      <t>セツメイ</t>
    </rPh>
    <phoneticPr fontId="4"/>
  </si>
  <si>
    <t>Is risk assessment taken when planning new projects/work sessions?
新たなプロジェクト/作業の計画段階において、RAが実施されていますか？</t>
    <phoneticPr fontId="4"/>
  </si>
  <si>
    <t>The site manager said that risk assessment is always done in the early planning stages for upcoming projects/work sessions and could show the recent RA result .
事業所長が、新しいプロジェクトや作業の初期計画段階でリスク評価を常に実施していると述べ、直近のRA結果を提示することができた。</t>
    <rPh sb="161" eb="165">
      <t>ジギョウショチョウ</t>
    </rPh>
    <rPh sb="205" eb="207">
      <t>チョッキン</t>
    </rPh>
    <rPh sb="210" eb="212">
      <t>ケッカ</t>
    </rPh>
    <rPh sb="213" eb="215">
      <t>テイジ</t>
    </rPh>
    <phoneticPr fontId="4"/>
  </si>
  <si>
    <r>
      <t>Do you receive feedback from third party on effectiveness of safety management system to imorove it?</t>
    </r>
    <r>
      <rPr>
        <strike/>
        <sz val="8"/>
        <rFont val="Meiryo UI"/>
        <family val="3"/>
        <charset val="128"/>
      </rPr>
      <t xml:space="preserve">
</t>
    </r>
    <r>
      <rPr>
        <sz val="8"/>
        <rFont val="Meiryo UI"/>
        <family val="3"/>
        <charset val="128"/>
      </rPr>
      <t>第三者（例.社外認証機関、SBU安全、BSB上位職者）による倉庫巡回やフィードバックを受け、改善に取り組んでいるか？</t>
    </r>
    <rPh sb="105" eb="106">
      <t>レイ</t>
    </rPh>
    <rPh sb="107" eb="109">
      <t>シャガイ</t>
    </rPh>
    <rPh sb="109" eb="111">
      <t>ニンショウ</t>
    </rPh>
    <rPh sb="111" eb="113">
      <t>キカン</t>
    </rPh>
    <rPh sb="117" eb="119">
      <t>アンゼン</t>
    </rPh>
    <phoneticPr fontId="4"/>
  </si>
  <si>
    <t>Regarding the safety management system in the sites, the respondent can explain evaluation results by third party (external, SBU Safety or Logistic Top management), feedback, and the actions.
回答者は、事業所の安全衛生マネジメントに対する第三者評価結果、フィードバック、およびその対応を説明できる。</t>
    <rPh sb="192" eb="195">
      <t>カイトウシャ</t>
    </rPh>
    <rPh sb="197" eb="200">
      <t>ジギョウショ</t>
    </rPh>
    <rPh sb="201" eb="205">
      <t>アンゼンエイセイ</t>
    </rPh>
    <rPh sb="212" eb="213">
      <t>タイ</t>
    </rPh>
    <rPh sb="216" eb="217">
      <t>サン</t>
    </rPh>
    <rPh sb="220" eb="222">
      <t>ケッカ</t>
    </rPh>
    <phoneticPr fontId="4"/>
  </si>
  <si>
    <t>System
システム</t>
    <phoneticPr fontId="4"/>
  </si>
  <si>
    <t>Ad-hoc</t>
    <phoneticPr fontId="0"/>
  </si>
  <si>
    <t>Training and Education
教育訓練</t>
    <rPh sb="23" eb="25">
      <t>キョウイク</t>
    </rPh>
    <rPh sb="25" eb="27">
      <t>クンレン</t>
    </rPh>
    <phoneticPr fontId="4"/>
  </si>
  <si>
    <t>Integration
関連付け</t>
    <phoneticPr fontId="4"/>
  </si>
  <si>
    <t xml:space="preserve">Have teammates been trained on the safety mission statement and high risk activity?
*High-risk activity: Activity which are risk category III&amp;IV. E.g. Work at height, heavy object handling, mobile equipment, caught by machine, tire inflation, etc.
従業員は、安全宣言および高リスク作業（5大リスク・重ポテ作業）について、教育を受けているか？
*高リスク作業：リスクカテゴリーIII&amp;IVに該当するもの。例：高所作業、重量物、動力車、挟まれ・巻き込まれリスクのある作業、空気充填　等 </t>
    <phoneticPr fontId="4"/>
  </si>
  <si>
    <t>Training records show all teammates on site have been given training on the Safety Mission Statement. Training records show that required employees have received training for high risk activities.
全ての従業員が安全宣言の教育を受けた記録がある。必要な従業員が高リスク作業に関する教育を受けた記録がある。</t>
  </si>
  <si>
    <t>Design
設計</t>
    <phoneticPr fontId="4"/>
  </si>
  <si>
    <t>Are you aware of the regulations concerning safety training?
あなたは、安全教育に関する法令要求を理解していますか？</t>
    <rPh sb="79" eb="81">
      <t>リカイ</t>
    </rPh>
    <phoneticPr fontId="4"/>
  </si>
  <si>
    <t>The reapondent can explain the regulations concerning safety training.
回答者は、安全教育に関する法令要求を説明できる。</t>
    <rPh sb="71" eb="74">
      <t>カイトウシャ</t>
    </rPh>
    <rPh sb="89" eb="91">
      <t>セツメイ</t>
    </rPh>
    <phoneticPr fontId="4"/>
  </si>
  <si>
    <t>Emergency Planning
緊急事態計画</t>
    <rPh sb="19" eb="21">
      <t>キンキュウ</t>
    </rPh>
    <rPh sb="21" eb="23">
      <t>ジタイ</t>
    </rPh>
    <rPh sb="23" eb="25">
      <t>ケイカク</t>
    </rPh>
    <phoneticPr fontId="4"/>
  </si>
  <si>
    <t>Change &amp; Emergency planning
変更管理 &amp;
緊急事態準備</t>
    <phoneticPr fontId="4"/>
  </si>
  <si>
    <t>Are the roles &amp; responsibilities of emergency organization defined in the emergency response policy/procedure that complies with legal &amp; local regulations?
法令要求を満足する緊急時対応手順があり、手順には対応組織と責任が明確化されているか？</t>
    <rPh sb="161" eb="163">
      <t>マンゾク</t>
    </rPh>
    <rPh sb="176" eb="178">
      <t>テジュン</t>
    </rPh>
    <rPh sb="180" eb="182">
      <t>タイオウ</t>
    </rPh>
    <rPh sb="182" eb="184">
      <t>ソシキ</t>
    </rPh>
    <rPh sb="185" eb="187">
      <t>セキニン</t>
    </rPh>
    <rPh sb="188" eb="191">
      <t>メイカクカ</t>
    </rPh>
    <phoneticPr fontId="4"/>
  </si>
  <si>
    <t>The site emergency response policy/procedure has clarified the roles &amp; responsibilities of each emerfency responders and been checked by the safety team to ensure the compliance with legal &amp; local regulation.
事業所の緊急時対応手順は、緊急時対応者の役割と責任が含まれ、物流安全機能による法規面の確認を得ている。</t>
    <rPh sb="222" eb="225">
      <t>キンキュウジ</t>
    </rPh>
    <rPh sb="225" eb="228">
      <t>タイオウシャ</t>
    </rPh>
    <rPh sb="229" eb="231">
      <t>ヤクワリ</t>
    </rPh>
    <rPh sb="232" eb="234">
      <t>セキニン</t>
    </rPh>
    <rPh sb="235" eb="236">
      <t>フク</t>
    </rPh>
    <rPh sb="248" eb="251">
      <t>ホウキメンジギョウショブツリュウカクニンエハッコウ</t>
    </rPh>
    <phoneticPr fontId="4"/>
  </si>
  <si>
    <t>When implementation of regular OH&amp;S communication and OH&amp;S training, does the site manager use the language where the teammates are familiar?
法令で要求される安全衛生の情報伝達や教育では、従業員の使用言語を用いているか？</t>
    <rPh sb="142" eb="144">
      <t>ホウレイ</t>
    </rPh>
    <rPh sb="145" eb="147">
      <t>ヨウキュウ</t>
    </rPh>
    <rPh sb="150" eb="154">
      <t>アンゼンエイセイ</t>
    </rPh>
    <rPh sb="155" eb="157">
      <t>ジョウホウ</t>
    </rPh>
    <rPh sb="157" eb="159">
      <t>デンタツ</t>
    </rPh>
    <rPh sb="160" eb="162">
      <t>キョウイク</t>
    </rPh>
    <rPh sb="165" eb="168">
      <t>ジュウギョウイン</t>
    </rPh>
    <rPh sb="169" eb="173">
      <t>シヨウゲンゴ</t>
    </rPh>
    <rPh sb="174" eb="175">
      <t>モチ</t>
    </rPh>
    <phoneticPr fontId="4"/>
  </si>
  <si>
    <t>There is no difference between the language used by teammates and the language used in the sampled communication record or training material. (or Multiple forms are used and language differences are accounted for.)
従業員の使用言語と、情報伝達や教育で用いたれる言語との齟齬がない。 (または、従業員にあわせて複数の言語で実施されている)</t>
    <rPh sb="215" eb="218">
      <t>ジュウギョウイン</t>
    </rPh>
    <rPh sb="219" eb="223">
      <t>シヨウゲンゴ</t>
    </rPh>
    <rPh sb="225" eb="229">
      <t>ジョウホウデンタツ</t>
    </rPh>
    <rPh sb="230" eb="232">
      <t>キョウイク</t>
    </rPh>
    <rPh sb="233" eb="234">
      <t>モチ</t>
    </rPh>
    <rPh sb="238" eb="240">
      <t>ゲンゴ</t>
    </rPh>
    <rPh sb="242" eb="244">
      <t>ソゴ</t>
    </rPh>
    <rPh sb="254" eb="257">
      <t>ジュウギョウイン</t>
    </rPh>
    <rPh sb="262" eb="264">
      <t>フクスウ</t>
    </rPh>
    <rPh sb="265" eb="267">
      <t>ゲンゴ</t>
    </rPh>
    <rPh sb="268" eb="270">
      <t>ジッシ</t>
    </rPh>
    <phoneticPr fontId="4"/>
  </si>
  <si>
    <t>LOTO Standard
LOTO標準</t>
    <rPh sb="18" eb="20">
      <t>ヒョウジュン</t>
    </rPh>
    <phoneticPr fontId="4"/>
  </si>
  <si>
    <t>Integration
関連付け</t>
  </si>
  <si>
    <t>Do you conduct the LOTO training to the teammates who perform servicing or maintenance tasks, and distribute the Lock-out &amp; Tag-out devices?
対象従業員に対し、LOTOの教育と、ロックアウト器具及びLOTO札の配布を行っていますか？</t>
    <rPh sb="155" eb="157">
      <t>キョウイク</t>
    </rPh>
    <rPh sb="165" eb="167">
      <t>キグ</t>
    </rPh>
    <rPh sb="167" eb="168">
      <t>オヨ</t>
    </rPh>
    <rPh sb="173" eb="174">
      <t>フダ</t>
    </rPh>
    <rPh sb="175" eb="177">
      <t>ハイフ</t>
    </rPh>
    <rPh sb="178" eb="179">
      <t>イ</t>
    </rPh>
    <phoneticPr fontId="4"/>
  </si>
  <si>
    <t>Training record indicates that the teammates who perform servicing or maintenance tasks have been trained on LOTO.
On-site observation indicate that service and maintenance teammates who need LOTO have locks and tags.
LOTO対象者へのLOTO教育した記録がある。また、現場確認にて、LOTO対象者がキーとタグを持っていることが確認できる。</t>
    <rPh sb="222" eb="225">
      <t>タイショウシャ</t>
    </rPh>
    <rPh sb="231" eb="233">
      <t>キョウイク</t>
    </rPh>
    <rPh sb="235" eb="237">
      <t>キロク</t>
    </rPh>
    <rPh sb="246" eb="248">
      <t>カクニン</t>
    </rPh>
    <rPh sb="255" eb="258">
      <t>タイショウシャ</t>
    </rPh>
    <rPh sb="273" eb="275">
      <t>カクニン</t>
    </rPh>
    <phoneticPr fontId="4"/>
  </si>
  <si>
    <t>Safety Rules
安全ルール</t>
    <rPh sb="13" eb="15">
      <t>アンゼン</t>
    </rPh>
    <phoneticPr fontId="4"/>
  </si>
  <si>
    <t>Do tyou know the safety rules that are required to be followed? 　(8 common safety rules, mobile equipment rules, crane &amp; hoist rules and tire inflation rules applying to his/her job position)
あなたは、順守しなければならない安全ルールを知っていますか？(共通8ルール＋動力車+クレーン+空気充填)</t>
    <rPh sb="197" eb="199">
      <t>ジュンシュ</t>
    </rPh>
    <rPh sb="208" eb="210">
      <t>アンゼン</t>
    </rPh>
    <rPh sb="214" eb="215">
      <t>シ</t>
    </rPh>
    <rPh sb="223" eb="225">
      <t>キョウツウ</t>
    </rPh>
    <rPh sb="230" eb="232">
      <t>ドウリョク</t>
    </rPh>
    <rPh sb="232" eb="233">
      <t>シャ</t>
    </rPh>
    <rPh sb="239" eb="243">
      <t>クウキジュウテン</t>
    </rPh>
    <phoneticPr fontId="4"/>
  </si>
  <si>
    <t>All respondents know the applicable All Bridgestone Safety Rules in their job positions.
回答者全員が、自職場に適用されるブリヂストン共通安全ルールを知っている。</t>
    <rPh sb="89" eb="92">
      <t>カイトウシャ</t>
    </rPh>
    <rPh sb="92" eb="94">
      <t>ゼンイン</t>
    </rPh>
    <rPh sb="119" eb="120">
      <t>シ</t>
    </rPh>
    <phoneticPr fontId="4"/>
  </si>
  <si>
    <t>Work at Height
高所作業</t>
    <rPh sb="15" eb="17">
      <t>コウショ</t>
    </rPh>
    <rPh sb="17" eb="19">
      <t>サギョウ</t>
    </rPh>
    <phoneticPr fontId="4"/>
  </si>
  <si>
    <t>Have you communicated Work at height requirements to teammates performing Work at height?
高所作業の要求事項は、高所作業を行う作業者に周知されていますか？</t>
    <rPh sb="101" eb="103">
      <t>コウショ</t>
    </rPh>
    <rPh sb="103" eb="105">
      <t>サギョウ</t>
    </rPh>
    <rPh sb="106" eb="107">
      <t>オコナ</t>
    </rPh>
    <phoneticPr fontId="4"/>
  </si>
  <si>
    <t>Supervisor
作業主任</t>
    <rPh sb="11" eb="13">
      <t>サギョウ</t>
    </rPh>
    <rPh sb="13" eb="15">
      <t>シュニン</t>
    </rPh>
    <phoneticPr fontId="4"/>
  </si>
  <si>
    <t>There is the training　and/or communication record for teammates performing Work at height.
高所作業を行う作業者への教育記録コミュニケーション記録（テスト記録）がある。</t>
    <rPh sb="91" eb="95">
      <t>コウショサギョウ</t>
    </rPh>
    <rPh sb="96" eb="97">
      <t>オコナ</t>
    </rPh>
    <rPh sb="98" eb="101">
      <t>サギョウシャ</t>
    </rPh>
    <rPh sb="105" eb="107">
      <t>キロク</t>
    </rPh>
    <phoneticPr fontId="4"/>
  </si>
  <si>
    <t>Mobile Equipment
動力車</t>
    <rPh sb="17" eb="19">
      <t>ドウリョク</t>
    </rPh>
    <rPh sb="19" eb="20">
      <t>シャ</t>
    </rPh>
    <phoneticPr fontId="4"/>
  </si>
  <si>
    <r>
      <t>Have you communicated requirements on mobile equipment to the drivers?</t>
    </r>
    <r>
      <rPr>
        <strike/>
        <sz val="8"/>
        <rFont val="Meiryo UI"/>
        <family val="3"/>
        <charset val="128"/>
      </rPr>
      <t xml:space="preserve">
</t>
    </r>
    <r>
      <rPr>
        <sz val="8"/>
        <rFont val="Meiryo UI"/>
        <family val="3"/>
        <charset val="128"/>
      </rPr>
      <t>動力車の運転に関する要求事項は、動力車使用者に周知されていますか？</t>
    </r>
    <rPh sb="87" eb="90">
      <t>ドウリョクシャ</t>
    </rPh>
    <rPh sb="90" eb="93">
      <t>シヨウシャ</t>
    </rPh>
    <phoneticPr fontId="4"/>
  </si>
  <si>
    <t>There is the training　and/or communication record for mobile equipment drivers.
動力車使用者への教育記録コミュニケーション記録（テスト記録）がある。</t>
    <rPh sb="80" eb="82">
      <t>ドウリョク</t>
    </rPh>
    <rPh sb="82" eb="83">
      <t>シャ</t>
    </rPh>
    <rPh sb="83" eb="86">
      <t>シヨウシャ</t>
    </rPh>
    <rPh sb="90" eb="92">
      <t>キロク</t>
    </rPh>
    <phoneticPr fontId="4"/>
  </si>
  <si>
    <t>3S</t>
  </si>
  <si>
    <t>Has the need for 3S(Select &amp; remove, Sort, Keep clean) in the work area been communicated?　
作業場における3S(整理・整頓・清掃）の必要性は、周知されているか？</t>
    <phoneticPr fontId="4"/>
  </si>
  <si>
    <t>There is evidence that the need of 3S has been communicated to teammates.
3Sの必要性を従業員へ周知した記録がある。</t>
    <rPh sb="77" eb="80">
      <t>ヒツヨウセイ</t>
    </rPh>
    <phoneticPr fontId="4"/>
  </si>
  <si>
    <t>Are 3S visual standards displayed in work area? 
3Sビジュアル標準は現場に表示されていますか？</t>
    <rPh sb="56" eb="58">
      <t>ヒョウジュン</t>
    </rPh>
    <rPh sb="59" eb="61">
      <t>ゲンバ</t>
    </rPh>
    <rPh sb="62" eb="64">
      <t>ヒョウジ</t>
    </rPh>
    <phoneticPr fontId="4"/>
  </si>
  <si>
    <t>3S Documents are displayed in work areas. 
3S標準は現場に掲示されている。</t>
    <rPh sb="45" eb="47">
      <t>ヒョウジュン</t>
    </rPh>
    <rPh sb="48" eb="50">
      <t>ゲンバ</t>
    </rPh>
    <rPh sb="51" eb="53">
      <t>ケイジ</t>
    </rPh>
    <phoneticPr fontId="4"/>
  </si>
  <si>
    <t>Crane and Hoist
クレーン・ホイスト</t>
    <phoneticPr fontId="4"/>
  </si>
  <si>
    <t>How do you identify and ensure compliance to crane and hoist relevant safety legislation ? 
クレーン・ホイストの安全法令について、どのような方法で特定・順守確認を行っていますか？</t>
    <rPh sb="102" eb="104">
      <t>アンゼン</t>
    </rPh>
    <rPh sb="104" eb="106">
      <t>ホウレイ</t>
    </rPh>
    <rPh sb="116" eb="118">
      <t>ホウホウ</t>
    </rPh>
    <rPh sb="119" eb="121">
      <t>トクテイ</t>
    </rPh>
    <rPh sb="122" eb="124">
      <t>ジュンシュ</t>
    </rPh>
    <rPh sb="124" eb="126">
      <t>カクニン</t>
    </rPh>
    <rPh sb="127" eb="128">
      <t>オコナ</t>
    </rPh>
    <phoneticPr fontId="4"/>
  </si>
  <si>
    <t>The respondent can explain the regulations and give at least one method for ensuring compliance. 
回答者は、法令要求を説明できる。また、それを保証する方法を少なくとも１つ提示できる。</t>
  </si>
  <si>
    <t>Is there an established crane and hoist safety standard that complies with legal requirements?
作成されているクレーン・ホイスト標準は、法令要求を順守していますか？</t>
    <rPh sb="95" eb="97">
      <t>サクセイ</t>
    </rPh>
    <rPh sb="111" eb="113">
      <t>ヒョウジュン</t>
    </rPh>
    <rPh sb="120" eb="122">
      <t>ジュンシュ</t>
    </rPh>
    <phoneticPr fontId="4"/>
  </si>
  <si>
    <r>
      <t xml:space="preserve">There is a crane and hoist safety standard that highlights the legal requirements. </t>
    </r>
    <r>
      <rPr>
        <sz val="8"/>
        <rFont val="Meiryo UI"/>
        <family val="3"/>
        <charset val="128"/>
      </rPr>
      <t xml:space="preserve">
クレーン・ホイストの標準は、法令要求を含んでいる。</t>
    </r>
    <phoneticPr fontId="4"/>
  </si>
  <si>
    <t xml:space="preserve">KY </t>
    <phoneticPr fontId="4"/>
  </si>
  <si>
    <t>Have the the process and the importance of KY been communicated to the teammates?
KYの手順（4ラウンドKYT）と重要性は従業員へ周知されているか？</t>
    <rPh sb="85" eb="87">
      <t>テジュン</t>
    </rPh>
    <rPh sb="98" eb="101">
      <t>ジュウヨウセイ</t>
    </rPh>
    <rPh sb="102" eb="105">
      <t>ジュウギョウイン</t>
    </rPh>
    <rPh sb="106" eb="108">
      <t>シュウチ</t>
    </rPh>
    <phoneticPr fontId="4"/>
  </si>
  <si>
    <t>There is evidence of a defined KY process that been communicated with teammates.
規定されたKYの手順を従業員へ周知した記録がある。</t>
    <rPh sb="81" eb="83">
      <t>キテイ</t>
    </rPh>
    <rPh sb="89" eb="91">
      <t>テジュン</t>
    </rPh>
    <rPh sb="92" eb="95">
      <t>ジュウギョウイン</t>
    </rPh>
    <rPh sb="96" eb="98">
      <t>シュウチ</t>
    </rPh>
    <rPh sb="100" eb="102">
      <t>キロク</t>
    </rPh>
    <phoneticPr fontId="4"/>
  </si>
  <si>
    <t>Tire Inflation Operation
タイヤ空気充填作業</t>
    <rPh sb="28" eb="30">
      <t>クウキ</t>
    </rPh>
    <rPh sb="30" eb="32">
      <t>ジュウテン</t>
    </rPh>
    <rPh sb="32" eb="34">
      <t>サギョウ</t>
    </rPh>
    <phoneticPr fontId="4"/>
  </si>
  <si>
    <t>Has the tire inflation standard been communicated to the teammates?
タイヤ空気充填作業標準は、作業者に周知されているか？</t>
    <rPh sb="71" eb="73">
      <t>クウキ</t>
    </rPh>
    <rPh sb="73" eb="75">
      <t>ジュウテン</t>
    </rPh>
    <rPh sb="75" eb="77">
      <t>サギョウ</t>
    </rPh>
    <rPh sb="77" eb="79">
      <t>ヒョウジュン</t>
    </rPh>
    <rPh sb="81" eb="84">
      <t>サギョウシャ</t>
    </rPh>
    <rPh sb="85" eb="87">
      <t>シュウチ</t>
    </rPh>
    <phoneticPr fontId="4"/>
  </si>
  <si>
    <t>The respondent can explain the key points which need to pay attention to in the tire inflation process.　
回答者は、タイヤ空気充填作業における作業の急所(注意の必要な箇所)を説明できる。　</t>
    <phoneticPr fontId="4"/>
  </si>
  <si>
    <t>Contractor management
協力会社の安全管理</t>
    <phoneticPr fontId="4"/>
  </si>
  <si>
    <t>Do you certify if contractor employees who perform unload/load the tires have required skills? (e.g. mobile equipment)
工事/作業を行う協力会社の従業員は、工事/作業に必要な能力・法的資格(例：クレーン・ホイスト）を有していることをどのように確認していますか？</t>
    <phoneticPr fontId="4"/>
  </si>
  <si>
    <t>There is evidence to certify that contractor employees who perform unload/load the tires have required skills. (e.g. mobile equipment)
BSが、協力会社の従業員が工事/作業に必要な能力・法的資格(例：クレーン・ホイスト）を有していることを確認していることを示す書類がある。</t>
    <rPh sb="195" eb="196">
      <t>シメ</t>
    </rPh>
    <rPh sb="197" eb="199">
      <t>ショルイ</t>
    </rPh>
    <phoneticPr fontId="4"/>
  </si>
  <si>
    <t>Large Tire Manual Handling Operation
大型タイヤハンドリング作業</t>
    <phoneticPr fontId="4"/>
  </si>
  <si>
    <t>Are large tire manual handling operations identified and justified? Is there a procedure for each of these operations?
大型タイヤのハンドリング作業は特定されており、これらの各作業の標準はあるか？</t>
    <phoneticPr fontId="4"/>
  </si>
  <si>
    <t>Operations requiring manual handling of large tires are properly identified and justified. A working procedure exists for each.
大型タイヤの手動ハンドリングを必要とする作業は、適切に識別されており、各作業の作業標準が準備されている。</t>
    <phoneticPr fontId="4"/>
  </si>
  <si>
    <t>Large Tire Manual Handling Operation
大型タイヤハンドリング作業</t>
  </si>
  <si>
    <t>Has the Large Tire Manual Handling Operation procedure been communicated to the relevant people?
大型タイヤハンドリング作業の標準は、関係者へコミュニケーション（周知）されているか？</t>
  </si>
  <si>
    <t>Training records show that all relevant people within the site have been given training on the Large Tire Manual Handling Operations procedure.
事業所内の全ての関係者が大型タイヤの手動ハンドリング作業手順に関する教育を受けたことを教育記録から確認できる。</t>
    <phoneticPr fontId="4"/>
  </si>
  <si>
    <t>Integrated risk assessment
リスクアセスメント</t>
    <phoneticPr fontId="4"/>
  </si>
  <si>
    <t>Have the OH&amp;S and Fire risks in the site evaluated?
安全防災リスク評価を実施していますか？</t>
    <rPh sb="52" eb="56">
      <t>アンゼンボウサイ</t>
    </rPh>
    <rPh sb="59" eb="61">
      <t>ヒョウカ</t>
    </rPh>
    <phoneticPr fontId="4"/>
  </si>
  <si>
    <t>There is evidence that OH&amp;S and/or Fire risks in the site are evaluated.
事業所内の安全防災リスクを評価した記録がある。</t>
    <rPh sb="73" eb="77">
      <t>ジギョウショナイ</t>
    </rPh>
    <rPh sb="78" eb="82">
      <t>アンゼンボウサイ</t>
    </rPh>
    <rPh sb="86" eb="88">
      <t>ヒョウカ</t>
    </rPh>
    <rPh sb="90" eb="92">
      <t>キロク</t>
    </rPh>
    <phoneticPr fontId="4"/>
  </si>
  <si>
    <t>Integrated incidents management
災害対応・類災防止</t>
    <rPh sb="32" eb="34">
      <t>サイガイ</t>
    </rPh>
    <rPh sb="34" eb="36">
      <t>タイオウ</t>
    </rPh>
    <rPh sb="37" eb="39">
      <t>ルイサイ</t>
    </rPh>
    <rPh sb="39" eb="41">
      <t>ボウシ</t>
    </rPh>
    <phoneticPr fontId="4"/>
  </si>
  <si>
    <t>To whom do you report when incidents are identified?
労災や発火発煙事故、ヒヤリがあった場合、誰に報告しますか？</t>
    <rPh sb="53" eb="55">
      <t>ロウサイ</t>
    </rPh>
    <rPh sb="56" eb="60">
      <t>ハッカハツエン</t>
    </rPh>
    <rPh sb="60" eb="62">
      <t>ジコ</t>
    </rPh>
    <rPh sb="70" eb="72">
      <t>バアイ</t>
    </rPh>
    <rPh sb="73" eb="74">
      <t>ダレ</t>
    </rPh>
    <rPh sb="75" eb="77">
      <t>ホウコク</t>
    </rPh>
    <phoneticPr fontId="4"/>
  </si>
  <si>
    <t>The respondents can explain the person to whom they have to report.
回答者は、災害やヒヤリ情報を誰に報告すべきか回答できる。</t>
    <rPh sb="73" eb="75">
      <t>サイガイ</t>
    </rPh>
    <rPh sb="79" eb="81">
      <t>ジョウホウ</t>
    </rPh>
    <rPh sb="82" eb="83">
      <t>ダレ</t>
    </rPh>
    <rPh sb="84" eb="86">
      <t>ホウコク</t>
    </rPh>
    <rPh sb="90" eb="92">
      <t>カイトウ</t>
    </rPh>
    <phoneticPr fontId="4"/>
  </si>
  <si>
    <t>Are the incidents that occurred at other sites (BS group or external) communicated?
他事業所で起こった労働災害や発火発煙事故について、発生都度説明を受けていますか？</t>
    <rPh sb="84" eb="88">
      <t>タジギョウショ</t>
    </rPh>
    <rPh sb="89" eb="90">
      <t>オ</t>
    </rPh>
    <rPh sb="93" eb="97">
      <t>ロウドウサイガイ</t>
    </rPh>
    <rPh sb="98" eb="100">
      <t>ハッカ</t>
    </rPh>
    <rPh sb="100" eb="102">
      <t>ハツエン</t>
    </rPh>
    <rPh sb="102" eb="104">
      <t>ジコ</t>
    </rPh>
    <rPh sb="109" eb="113">
      <t>ハッセイツド</t>
    </rPh>
    <rPh sb="113" eb="115">
      <t>セツメイ</t>
    </rPh>
    <rPh sb="116" eb="117">
      <t>ウ</t>
    </rPh>
    <phoneticPr fontId="4"/>
  </si>
  <si>
    <t>The respondents can show an example of incident that occurred at other site
回答者は、他事業所で起きた災害事例を説明できる。</t>
    <rPh sb="81" eb="85">
      <t>タジギョウショ</t>
    </rPh>
    <rPh sb="86" eb="87">
      <t>オ</t>
    </rPh>
    <rPh sb="89" eb="91">
      <t>サイガイ</t>
    </rPh>
    <rPh sb="91" eb="93">
      <t>ジレイ</t>
    </rPh>
    <rPh sb="94" eb="96">
      <t>セツメイ</t>
    </rPh>
    <phoneticPr fontId="4"/>
  </si>
  <si>
    <t>Reactive</t>
    <phoneticPr fontId="0"/>
  </si>
  <si>
    <t>Training and Education
教育訓練</t>
    <rPh sb="23" eb="27">
      <t>キョウイククンレン</t>
    </rPh>
    <phoneticPr fontId="4"/>
  </si>
  <si>
    <t>Have role specific trainings been identified and are given to the necessary people?
職種毎に教育が特定され、必要な人に教育されているか？</t>
    <rPh sb="84" eb="86">
      <t>ショクシュ</t>
    </rPh>
    <rPh sb="86" eb="87">
      <t>ゴト</t>
    </rPh>
    <rPh sb="88" eb="90">
      <t>キョウイク</t>
    </rPh>
    <rPh sb="91" eb="93">
      <t>トクテイ</t>
    </rPh>
    <rPh sb="96" eb="98">
      <t>ヒツヨウ</t>
    </rPh>
    <rPh sb="99" eb="100">
      <t>ヒト</t>
    </rPh>
    <rPh sb="101" eb="103">
      <t>キョウイク</t>
    </rPh>
    <phoneticPr fontId="4"/>
  </si>
  <si>
    <t>Supervisors
作業主任</t>
    <phoneticPr fontId="4"/>
  </si>
  <si>
    <t>There are knowledge/skill matrix table for each occupation/role, necessary training is described, and the implementation or plan of training can be confirmed. 
各職種ごとの知識・技能要件表があり、必要な教育が記載されており、教育の実施または計画が確認できる。</t>
    <phoneticPr fontId="4"/>
  </si>
  <si>
    <t>Design
設計</t>
  </si>
  <si>
    <t>Are the needs and the content of trainings reviewed and improved after an accident occurs?
災害発生後、教育の必要性や内容が見直し、改善されているか？</t>
    <rPh sb="91" eb="93">
      <t>サイガイ</t>
    </rPh>
    <rPh sb="93" eb="95">
      <t>ハッセイ</t>
    </rPh>
    <rPh sb="95" eb="96">
      <t>ゴ</t>
    </rPh>
    <rPh sb="97" eb="99">
      <t>キョウイク</t>
    </rPh>
    <rPh sb="100" eb="103">
      <t>ヒツヨウセイ</t>
    </rPh>
    <rPh sb="104" eb="106">
      <t>ナイヨウ</t>
    </rPh>
    <rPh sb="107" eb="109">
      <t>ミナオ</t>
    </rPh>
    <rPh sb="111" eb="113">
      <t>カイゼン</t>
    </rPh>
    <phoneticPr fontId="4"/>
  </si>
  <si>
    <t>Training documents indicate that training was reviewed after an accident.
災害後に教育内容や方法が見直された事例が、書面で確認できる。</t>
    <rPh sb="74" eb="76">
      <t>サイガイ</t>
    </rPh>
    <rPh sb="76" eb="77">
      <t>ゴ</t>
    </rPh>
    <rPh sb="78" eb="80">
      <t>キョウイク</t>
    </rPh>
    <rPh sb="80" eb="82">
      <t>ナイヨウ</t>
    </rPh>
    <rPh sb="83" eb="85">
      <t>ホウホウ</t>
    </rPh>
    <rPh sb="86" eb="88">
      <t>ミナオ</t>
    </rPh>
    <rPh sb="91" eb="93">
      <t>ジレイ</t>
    </rPh>
    <rPh sb="95" eb="97">
      <t>ショメン</t>
    </rPh>
    <rPh sb="98" eb="100">
      <t>カクニン</t>
    </rPh>
    <phoneticPr fontId="4"/>
  </si>
  <si>
    <t>Change &amp; Emergency planning
変更管理 &amp;
緊急事態準備</t>
  </si>
  <si>
    <t>Do emergency drills periodically take place?
緊急時対応訓練は、定期的に実施されているか？</t>
    <rPh sb="45" eb="48">
      <t>キンキュウジ</t>
    </rPh>
    <rPh sb="48" eb="50">
      <t>タイオウ</t>
    </rPh>
    <rPh sb="50" eb="52">
      <t>クンレン</t>
    </rPh>
    <rPh sb="54" eb="57">
      <t>テイキテキ</t>
    </rPh>
    <rPh sb="58" eb="60">
      <t>ジッシ</t>
    </rPh>
    <phoneticPr fontId="4"/>
  </si>
  <si>
    <t>There is evidence of an emergency drill performed within the last 12 months. 
過去1年間に実施した緊急事態訓練の実施記録がある。</t>
    <rPh sb="84" eb="86">
      <t>ジッシ</t>
    </rPh>
    <rPh sb="95" eb="97">
      <t>ジッシ</t>
    </rPh>
    <phoneticPr fontId="4"/>
  </si>
  <si>
    <t>Are the emergency procedures reviewed and updated based on the results of drills or actual emergencies?
緊急時対応手順は、実際に発生した緊急時対応または訓練結果を踏まえ、見直しが行われているか？</t>
    <rPh sb="104" eb="107">
      <t>キンキュウジ</t>
    </rPh>
    <rPh sb="107" eb="109">
      <t>タイオウ</t>
    </rPh>
    <rPh sb="109" eb="111">
      <t>テジュン</t>
    </rPh>
    <rPh sb="113" eb="115">
      <t>ジッサイ</t>
    </rPh>
    <rPh sb="116" eb="118">
      <t>ハッセイ</t>
    </rPh>
    <rPh sb="120" eb="125">
      <t>キンキュウジタイオウ</t>
    </rPh>
    <rPh sb="128" eb="130">
      <t>クンレン</t>
    </rPh>
    <rPh sb="130" eb="132">
      <t>ケッカ</t>
    </rPh>
    <rPh sb="133" eb="134">
      <t>フ</t>
    </rPh>
    <rPh sb="137" eb="139">
      <t>ミナオ</t>
    </rPh>
    <rPh sb="141" eb="142">
      <t>オコナ</t>
    </rPh>
    <phoneticPr fontId="4"/>
  </si>
  <si>
    <t>The emergency response procedure was updated based on the review on the drills or performance of actual emergencies.
緊急時対応手順は、訓練結果や緊急時対応結果にもとづき見直しされている。</t>
    <rPh sb="128" eb="130">
      <t>ケッカ</t>
    </rPh>
    <rPh sb="131" eb="134">
      <t>キンキュウジ</t>
    </rPh>
    <rPh sb="134" eb="136">
      <t>タイオウ</t>
    </rPh>
    <rPh sb="136" eb="138">
      <t>ケッカ</t>
    </rPh>
    <rPh sb="143" eb="145">
      <t>ミナオ</t>
    </rPh>
    <phoneticPr fontId="4"/>
  </si>
  <si>
    <t>Are the causes of accidents/incidents communicated to teammates?
災害・事故の原因は従業員に周知されているか？</t>
    <phoneticPr fontId="4"/>
  </si>
  <si>
    <t>The respondent indicates that the causes of incidents are communicated to him/her and how these information are communicated.
回答者は、災害の原因と、それが周知された場面を説明できる。</t>
    <rPh sb="141" eb="143">
      <t>シュウチ</t>
    </rPh>
    <rPh sb="146" eb="148">
      <t>バメン</t>
    </rPh>
    <rPh sb="149" eb="151">
      <t>セツメイ</t>
    </rPh>
    <phoneticPr fontId="4"/>
  </si>
  <si>
    <t>Design
設計</t>
    <rPh sb="7" eb="9">
      <t>セッケイ</t>
    </rPh>
    <phoneticPr fontId="4"/>
  </si>
  <si>
    <t>Is the LOTO standard reviewed after incidents, audits or opportunity areas have been identified?
LOTO標準は、災害、監査、特定された（改善の）機会の後、見直しされていますか？</t>
  </si>
  <si>
    <t>The respondent can show an example that LOTO standard (site standard, ECP, work standard, etc.) is reviewed in response to incidents, audit findings, authority guidance and concerns raised by teammates. The respondence agrees with the revision history of LOTO standard.
回答者は、災害・監査結果・行政指導・従業員からの困り事に基づき、LOTO標準（事業所の標準・ECP・作業標準等）が見直しされた事例を説明できる。その回答は、標準改訂履歴と一致する。</t>
    <rPh sb="270" eb="273">
      <t>カイトウシャ</t>
    </rPh>
    <rPh sb="328" eb="330">
      <t>ジレイ</t>
    </rPh>
    <rPh sb="331" eb="333">
      <t>セツメイ</t>
    </rPh>
    <rPh sb="339" eb="341">
      <t>カイトウ</t>
    </rPh>
    <rPh sb="343" eb="345">
      <t>ヒョウジュン</t>
    </rPh>
    <rPh sb="345" eb="347">
      <t>カイテイ</t>
    </rPh>
    <rPh sb="347" eb="349">
      <t>リレキ</t>
    </rPh>
    <rPh sb="350" eb="352">
      <t>イッチ</t>
    </rPh>
    <phoneticPr fontId="4"/>
  </si>
  <si>
    <t>Is the effectiveness of the Site Safety Rules reviewed after incidents, audits or opportunity areas have been identified?
事業所の安全ルールの有効性は、災害、監査、特定された（改善の）機会の後、見直されていますか？</t>
    <phoneticPr fontId="4"/>
  </si>
  <si>
    <t>The respondent can show an example that Site Safety Rules are reviewed and improved. 
回答者は、安全ルールが見直された、もしくは改善された事例を説明できる。</t>
    <rPh sb="86" eb="88">
      <t>カイトウ</t>
    </rPh>
    <rPh sb="88" eb="89">
      <t>シャ</t>
    </rPh>
    <rPh sb="91" eb="93">
      <t>アンゼン</t>
    </rPh>
    <rPh sb="97" eb="99">
      <t>ミナオ</t>
    </rPh>
    <rPh sb="107" eb="109">
      <t>カイゼン</t>
    </rPh>
    <rPh sb="112" eb="114">
      <t>ジレイ</t>
    </rPh>
    <rPh sb="115" eb="117">
      <t>セツメイ</t>
    </rPh>
    <phoneticPr fontId="4"/>
  </si>
  <si>
    <t>What are the countermeasures against a incident involving work at height which occurred in your site in last 1 year?
過去1年間に自事業場で発生した高所作業関連の労働災害や事故に対する再発防止策は何ですか？</t>
    <rPh sb="132" eb="136">
      <t>コウショサギョウ</t>
    </rPh>
    <phoneticPr fontId="4"/>
  </si>
  <si>
    <t>All respondents can explain sampled countermeasures against the incident involving work at height which occurred in the site.
回答者全員が、過去1年間に自事業場で起きた高所作業の労働災害や事故の再発防止策を説明できる。</t>
    <rPh sb="147" eb="151">
      <t>コウショサギョウ</t>
    </rPh>
    <phoneticPr fontId="4"/>
  </si>
  <si>
    <t>What are the countermeasures against a incident involving mobile equipment which occurred in your site in last 1 year?
過去1年間に自事業場で発生した動力車関連の労働災害や事故に対する再発防止策は何ですか？</t>
    <rPh sb="134" eb="137">
      <t>ドウリョクシャ</t>
    </rPh>
    <rPh sb="137" eb="139">
      <t>カンレン</t>
    </rPh>
    <rPh sb="140" eb="142">
      <t>ロウドウ</t>
    </rPh>
    <rPh sb="145" eb="147">
      <t>ジコ</t>
    </rPh>
    <phoneticPr fontId="4"/>
  </si>
  <si>
    <t>All respondents can explain sampled countermeasures against the incident involving mobile equipment which occurred in the site.
回答者全員が、過去1年間に自事業場で起きた動力車関連の労働災害や事故の再発防止策を説明できる。</t>
    <rPh sb="149" eb="152">
      <t>ドウリョクシャ</t>
    </rPh>
    <rPh sb="152" eb="154">
      <t>カンレン</t>
    </rPh>
    <rPh sb="155" eb="157">
      <t>ロウドウ</t>
    </rPh>
    <rPh sb="157" eb="159">
      <t>サイガイ</t>
    </rPh>
    <rPh sb="160" eb="162">
      <t>ジコ</t>
    </rPh>
    <phoneticPr fontId="4"/>
  </si>
  <si>
    <t>Have 3S leaders been assigned from shop floor workers and have 3S self check by 3S leaders been periodically performed?
3Sリーダーを選任し、3Sリーダーによるセルフチェックは定期的に実施されていますか？</t>
    <rPh sb="127" eb="129">
      <t>センニン</t>
    </rPh>
    <rPh sb="148" eb="151">
      <t>テイキテキ</t>
    </rPh>
    <rPh sb="152" eb="154">
      <t>ジッシ</t>
    </rPh>
    <phoneticPr fontId="4"/>
  </si>
  <si>
    <t>3S leaders has been assigned and there is evidence of 3S self check performed by the 3S leaders.
3Sリーダーが選任され、セルフチェックを行った記録がある。</t>
    <rPh sb="104" eb="106">
      <t>センニン</t>
    </rPh>
    <rPh sb="117" eb="118">
      <t>オコナ</t>
    </rPh>
    <rPh sb="120" eb="122">
      <t>キロク</t>
    </rPh>
    <phoneticPr fontId="4"/>
  </si>
  <si>
    <t>Is there a list of licensed crane operators?
クレーンの有資格者リストはありますか？</t>
    <rPh sb="50" eb="54">
      <t>ユウシカクシャ</t>
    </rPh>
    <phoneticPr fontId="4"/>
  </si>
  <si>
    <t>Site manager or
 if available, site safety
事業所長</t>
    <rPh sb="43" eb="46">
      <t>ジギョウショ</t>
    </rPh>
    <rPh sb="46" eb="47">
      <t>チョウ</t>
    </rPh>
    <phoneticPr fontId="4"/>
  </si>
  <si>
    <t>There is an official list of licensed crane operators that highlights the expiry dates of their licenses. 
クレーンの有資格者、および資格の期限に関し、正式なリストがある。</t>
    <rPh sb="112" eb="116">
      <t>ユウシカクシャ</t>
    </rPh>
    <rPh sb="120" eb="122">
      <t>シカク</t>
    </rPh>
    <rPh sb="123" eb="125">
      <t>キゲン</t>
    </rPh>
    <rPh sb="126" eb="127">
      <t>カン</t>
    </rPh>
    <rPh sb="129" eb="131">
      <t>セイシキ</t>
    </rPh>
    <phoneticPr fontId="4"/>
  </si>
  <si>
    <t>What are the countermeasures against a hoist &amp; crane incident which occurred in your site in last 1 year?
過去1年間に自事業場で発生したクレーン関連の労働災害や事故に対する再発防止策は何ですか？</t>
    <rPh sb="106" eb="108">
      <t>カコ</t>
    </rPh>
    <rPh sb="109" eb="110">
      <t>ネン</t>
    </rPh>
    <rPh sb="110" eb="111">
      <t>カン</t>
    </rPh>
    <rPh sb="112" eb="116">
      <t>ジジギョウバ</t>
    </rPh>
    <rPh sb="117" eb="119">
      <t>ハッセイ</t>
    </rPh>
    <rPh sb="125" eb="127">
      <t>カンレン</t>
    </rPh>
    <rPh sb="128" eb="130">
      <t>ロウドウ</t>
    </rPh>
    <rPh sb="130" eb="132">
      <t>サイガイ</t>
    </rPh>
    <rPh sb="133" eb="135">
      <t>ジコ</t>
    </rPh>
    <rPh sb="136" eb="137">
      <t>タイ</t>
    </rPh>
    <rPh sb="139" eb="144">
      <t>サイハツボウシサク</t>
    </rPh>
    <rPh sb="145" eb="146">
      <t>ナン</t>
    </rPh>
    <phoneticPr fontId="4"/>
  </si>
  <si>
    <t>All respondents can explain sampled countermeasures against hoist &amp; crane incident which occurred in the site.
回答者全員が、過去1年間に自事業場で起きたクレーン関連の労働災害や事故の再発防止策を説明できる。</t>
    <rPh sb="111" eb="114">
      <t>カイトウシャ</t>
    </rPh>
    <rPh sb="114" eb="116">
      <t>ゼンイン</t>
    </rPh>
    <rPh sb="124" eb="128">
      <t>ジジギョウバ</t>
    </rPh>
    <rPh sb="129" eb="130">
      <t>オ</t>
    </rPh>
    <rPh sb="136" eb="138">
      <t>カンレン</t>
    </rPh>
    <rPh sb="139" eb="143">
      <t>ロウドウサイガイ</t>
    </rPh>
    <rPh sb="144" eb="146">
      <t>ジコ</t>
    </rPh>
    <rPh sb="147" eb="152">
      <t>サイハツボウシサク</t>
    </rPh>
    <rPh sb="153" eb="155">
      <t>セツメイ</t>
    </rPh>
    <phoneticPr fontId="4"/>
  </si>
  <si>
    <t>Have a KY leader and KY representatives been appointed?
KY実行責任者とKY推進リーダーは、任命されていますか？</t>
    <rPh sb="58" eb="60">
      <t>ジッコウ</t>
    </rPh>
    <rPh sb="60" eb="63">
      <t>セキニンシャ</t>
    </rPh>
    <phoneticPr fontId="4"/>
  </si>
  <si>
    <t>There are an officially appointed KY leader and KY representatives on site.
事業所で正式に任命されたKY実行責任者とKY推進リーダーがいる。</t>
    <rPh sb="90" eb="95">
      <t>ジッコウセキニンシャ</t>
    </rPh>
    <phoneticPr fontId="4"/>
  </si>
  <si>
    <t>Tire Inflation Operation
タイヤ空気充填作業</t>
    <rPh sb="28" eb="34">
      <t>クウキジュウテンサギョウ</t>
    </rPh>
    <phoneticPr fontId="4"/>
  </si>
  <si>
    <t>Is there a clearly marked area specifically for tire inflation?
タイヤ空気充填の作業エリアは、明示されていますか？</t>
    <rPh sb="67" eb="69">
      <t>クウキ</t>
    </rPh>
    <rPh sb="69" eb="71">
      <t>ジュウテン</t>
    </rPh>
    <rPh sb="72" eb="74">
      <t>サギョウ</t>
    </rPh>
    <rPh sb="79" eb="81">
      <t>メイジ</t>
    </rPh>
    <phoneticPr fontId="4"/>
  </si>
  <si>
    <t>There is a clearly marked tire inflation area.
明確に明示されたタイヤ空気充填作業場がある。</t>
    <rPh sb="47" eb="49">
      <t>メイカク</t>
    </rPh>
    <rPh sb="50" eb="52">
      <t>メイジ</t>
    </rPh>
    <rPh sb="58" eb="60">
      <t>クウキ</t>
    </rPh>
    <rPh sb="60" eb="62">
      <t>ジュウテン</t>
    </rPh>
    <rPh sb="62" eb="64">
      <t>サギョウ</t>
    </rPh>
    <rPh sb="64" eb="65">
      <t>バ</t>
    </rPh>
    <phoneticPr fontId="4"/>
  </si>
  <si>
    <t>Is basic safety equipment available in the inflation area? 
タイヤ空気充填の作業エリアにおいて、安全ゲージなどの災害防止措置は使える状態ですか？</t>
    <rPh sb="63" eb="65">
      <t>クウキ</t>
    </rPh>
    <rPh sb="65" eb="67">
      <t>ジュウテン</t>
    </rPh>
    <rPh sb="68" eb="70">
      <t>サギョウ</t>
    </rPh>
    <rPh sb="78" eb="80">
      <t>アンゼン</t>
    </rPh>
    <rPh sb="86" eb="88">
      <t>サイガイ</t>
    </rPh>
    <rPh sb="88" eb="90">
      <t>ボウシ</t>
    </rPh>
    <rPh sb="90" eb="92">
      <t>ソチ</t>
    </rPh>
    <rPh sb="93" eb="94">
      <t>ツカ</t>
    </rPh>
    <rPh sb="96" eb="98">
      <t>ジョウタイ</t>
    </rPh>
    <phoneticPr fontId="4"/>
  </si>
  <si>
    <t>All the required safety equipment as stated in the Tire Inflation Operation procedure is in the inflation area. 
タイヤ空気充填作業手順に規定されている必要な安全装備は、充填作業場に用意されている。</t>
    <rPh sb="116" eb="118">
      <t>クウキ</t>
    </rPh>
    <rPh sb="118" eb="120">
      <t>ジュウテン</t>
    </rPh>
    <rPh sb="120" eb="122">
      <t>サギョウ</t>
    </rPh>
    <rPh sb="122" eb="124">
      <t>テジュン</t>
    </rPh>
    <rPh sb="125" eb="127">
      <t>キテイ</t>
    </rPh>
    <rPh sb="132" eb="134">
      <t>ヒツヨウ</t>
    </rPh>
    <rPh sb="135" eb="137">
      <t>アンゼン</t>
    </rPh>
    <rPh sb="137" eb="139">
      <t>ソウビ</t>
    </rPh>
    <rPh sb="141" eb="143">
      <t>ジュウテン</t>
    </rPh>
    <rPh sb="143" eb="145">
      <t>サギョウ</t>
    </rPh>
    <rPh sb="145" eb="146">
      <t>バ</t>
    </rPh>
    <rPh sb="147" eb="149">
      <t>ヨウイ</t>
    </rPh>
    <phoneticPr fontId="4"/>
  </si>
  <si>
    <t>Contractor management
協力会社の安全管理</t>
  </si>
  <si>
    <t>Are pre-work meetings conducted prior to the start of work, are risks identified and risk mitigation measures/administrative controls defined.
作業の開始前に事前打ち合わせを実施し、リスクの顕在化およびその対応/リスク低減対策を決めていますか？</t>
    <phoneticPr fontId="4"/>
  </si>
  <si>
    <t>There is evidence that pre-work meetings are conducted prior to the start of work, risks are identified and risk mitigation measures/administrative controls are defined.
作業の開始前に事前打ち合わせを実施し、リスクの顕在化およびその対応/リスク低減対策を決めている記録がある。</t>
    <phoneticPr fontId="4"/>
  </si>
  <si>
    <t>Is the large tire manual handling operation procedure reviewed in response to incidents?
災害・ヒヤリの発生に対して、大型タイヤ手動ハンドリング標準のレビュー（見直し）を行っているか？</t>
  </si>
  <si>
    <t>The revision history of the large tire manual handling operations procedure indicate that it was reviewed based on a reported incident
大型タイヤの手動ハンドリング標準書の改訂履歴より、報告された災害・ヒヤリに基づいて、標準書が見直されていることが確認できる。</t>
    <rPh sb="149" eb="151">
      <t>ヒョウジュン</t>
    </rPh>
    <rPh sb="151" eb="152">
      <t>ショ</t>
    </rPh>
    <rPh sb="153" eb="155">
      <t>カイテイ</t>
    </rPh>
    <rPh sb="155" eb="157">
      <t>リレキ</t>
    </rPh>
    <rPh sb="191" eb="193">
      <t>カクニン</t>
    </rPh>
    <phoneticPr fontId="4"/>
  </si>
  <si>
    <t>Does the risk evaluation address the foreseeable hazards related to machine?
設備起因のリスクについて評価していますか？</t>
    <rPh sb="77" eb="79">
      <t>セツビ</t>
    </rPh>
    <rPh sb="79" eb="81">
      <t>キイン</t>
    </rPh>
    <rPh sb="89" eb="91">
      <t>ヒョウカ</t>
    </rPh>
    <phoneticPr fontId="4"/>
  </si>
  <si>
    <t>There is evidence that machines risks in the site are evaluated.
設備RAを実施した記録がある。</t>
    <rPh sb="65" eb="67">
      <t>セツビ</t>
    </rPh>
    <rPh sb="70" eb="72">
      <t>ジッシ</t>
    </rPh>
    <rPh sb="74" eb="76">
      <t>キロク</t>
    </rPh>
    <phoneticPr fontId="4"/>
  </si>
  <si>
    <t>Do you have implementation plan for risk control measures against risk category III and IV?
カテゴリーIII&amp;IVに対するリスク低減対策の実施計画がありますか？</t>
    <rPh sb="104" eb="105">
      <t>タイ</t>
    </rPh>
    <rPh sb="110" eb="114">
      <t>テイゲンタイサク</t>
    </rPh>
    <rPh sb="115" eb="117">
      <t>ジッシ</t>
    </rPh>
    <rPh sb="117" eb="119">
      <t>ケイカク</t>
    </rPh>
    <phoneticPr fontId="4"/>
  </si>
  <si>
    <t>There is the implementation plan of risk control on risk category III &amp; IV.
カテゴリーIII&amp;IVに対するリスク低減対策の実施計画がある。</t>
    <phoneticPr fontId="4"/>
  </si>
  <si>
    <r>
      <t>Are countermeasures determined when incidents</t>
    </r>
    <r>
      <rPr>
        <sz val="8"/>
        <color rgb="FF0000FF"/>
        <rFont val="Meiryo UI"/>
        <family val="3"/>
        <charset val="128"/>
      </rPr>
      <t>*</t>
    </r>
    <r>
      <rPr>
        <sz val="8"/>
        <rFont val="Meiryo UI"/>
        <family val="3"/>
        <charset val="128"/>
      </rPr>
      <t xml:space="preserve"> occurred?
労災や発火発煙事故、ヒヤリがあった場合、再発防止策が取り決められていますか？</t>
    </r>
    <rPh sb="57" eb="59">
      <t>ロウサイ</t>
    </rPh>
    <rPh sb="60" eb="62">
      <t>ハッカ</t>
    </rPh>
    <rPh sb="62" eb="64">
      <t>ハツエン</t>
    </rPh>
    <rPh sb="64" eb="66">
      <t>ジコ</t>
    </rPh>
    <rPh sb="74" eb="76">
      <t>バアイ</t>
    </rPh>
    <rPh sb="77" eb="82">
      <t>サイハツボウシサク</t>
    </rPh>
    <rPh sb="83" eb="84">
      <t>ト</t>
    </rPh>
    <rPh sb="85" eb="86">
      <t>キ</t>
    </rPh>
    <phoneticPr fontId="4"/>
  </si>
  <si>
    <t>There is evidence of an incident report with determined countermeasures.
対策事項が報告書に記載されている。</t>
    <rPh sb="73" eb="77">
      <t>タイサクジコウ</t>
    </rPh>
    <rPh sb="78" eb="81">
      <t>ホウコクショ</t>
    </rPh>
    <rPh sb="82" eb="84">
      <t>キサイ</t>
    </rPh>
    <phoneticPr fontId="4"/>
  </si>
  <si>
    <t>Are investigation conducted when you receive SBU recurrence prevention request ?
SBU類災防止依頼文書にもとづく調査を実施していますか？</t>
    <rPh sb="84" eb="86">
      <t>ルイサイ</t>
    </rPh>
    <rPh sb="86" eb="88">
      <t>ボウシ</t>
    </rPh>
    <rPh sb="88" eb="92">
      <t>イライブンショ</t>
    </rPh>
    <rPh sb="97" eb="99">
      <t>チョウサ</t>
    </rPh>
    <rPh sb="100" eb="102">
      <t>ジッシ</t>
    </rPh>
    <phoneticPr fontId="4"/>
  </si>
  <si>
    <t>There is evidence of investigation results on site based on reurrence prevention request
自事業所で行った調査結果を示すことができる。</t>
    <rPh sb="89" eb="93">
      <t>ジジギョウショ</t>
    </rPh>
    <rPh sb="94" eb="95">
      <t>オコナ</t>
    </rPh>
    <rPh sb="97" eb="101">
      <t>チョウサケッカ</t>
    </rPh>
    <rPh sb="102" eb="103">
      <t>シメ</t>
    </rPh>
    <phoneticPr fontId="4"/>
  </si>
  <si>
    <t>Standardized</t>
    <phoneticPr fontId="4"/>
  </si>
  <si>
    <t>Are trainings reviewed and adjusted when safety rules and controls that involve that specific subject matter change?
安全ルール・安全管理に変更が生じた場合は、教育の見直し・変更が行われているか？</t>
    <rPh sb="117" eb="119">
      <t>アンゼン</t>
    </rPh>
    <rPh sb="123" eb="125">
      <t>アンゼン</t>
    </rPh>
    <rPh sb="125" eb="127">
      <t>カンリ</t>
    </rPh>
    <rPh sb="128" eb="130">
      <t>ヘンコウ</t>
    </rPh>
    <rPh sb="131" eb="132">
      <t>ショウ</t>
    </rPh>
    <rPh sb="134" eb="136">
      <t>バアイ</t>
    </rPh>
    <rPh sb="138" eb="140">
      <t>キョウイク</t>
    </rPh>
    <rPh sb="141" eb="143">
      <t>ミナオ</t>
    </rPh>
    <rPh sb="145" eb="147">
      <t>ヘンコウ</t>
    </rPh>
    <rPh sb="148" eb="149">
      <t>オコナ</t>
    </rPh>
    <phoneticPr fontId="4"/>
  </si>
  <si>
    <t>Revision history of treaining documents indicate that training have been adjusted based on relevant safety control changes. 
教育文書の改訂履歴より、安全管理の変更に伴い、教育内容や方法が見直されたことが確認できる。</t>
    <rPh sb="125" eb="127">
      <t>キョウイク</t>
    </rPh>
    <rPh sb="127" eb="129">
      <t>ブンショ</t>
    </rPh>
    <rPh sb="130" eb="132">
      <t>カイテイ</t>
    </rPh>
    <rPh sb="132" eb="134">
      <t>リレキ</t>
    </rPh>
    <rPh sb="137" eb="139">
      <t>アンゼン</t>
    </rPh>
    <rPh sb="139" eb="141">
      <t>カンリ</t>
    </rPh>
    <rPh sb="142" eb="144">
      <t>ヘンコウ</t>
    </rPh>
    <rPh sb="145" eb="146">
      <t>トモナ</t>
    </rPh>
    <rPh sb="148" eb="150">
      <t>キョウイク</t>
    </rPh>
    <rPh sb="150" eb="152">
      <t>ナイヨウ</t>
    </rPh>
    <rPh sb="153" eb="155">
      <t>ホウホウ</t>
    </rPh>
    <rPh sb="156" eb="158">
      <t>ミナオ</t>
    </rPh>
    <rPh sb="164" eb="166">
      <t>カクニン</t>
    </rPh>
    <phoneticPr fontId="4"/>
  </si>
  <si>
    <t>Do emergency response plans which have clear rules and guidelines address each potential scenarios?
予想されるシナリオに応じて、緊急時対応計画が作成されているか？</t>
    <rPh sb="100" eb="102">
      <t>ヨソウ</t>
    </rPh>
    <rPh sb="110" eb="111">
      <t>オウ</t>
    </rPh>
    <rPh sb="114" eb="117">
      <t>キンキュウジ</t>
    </rPh>
    <rPh sb="117" eb="119">
      <t>タイオウ</t>
    </rPh>
    <rPh sb="119" eb="121">
      <t>ケイカク</t>
    </rPh>
    <rPh sb="122" eb="124">
      <t>サクセイ</t>
    </rPh>
    <phoneticPr fontId="4"/>
  </si>
  <si>
    <r>
      <t xml:space="preserve">Multiple potential scenarios are identified and each responses have been defined with clear </t>
    </r>
    <r>
      <rPr>
        <u/>
        <sz val="8"/>
        <color rgb="FF0000FF"/>
        <rFont val="Meiryo UI"/>
        <family val="3"/>
        <charset val="128"/>
      </rPr>
      <t>r</t>
    </r>
    <r>
      <rPr>
        <sz val="8"/>
        <rFont val="Meiryo UI"/>
        <family val="3"/>
        <charset val="128"/>
      </rPr>
      <t>ules and guidelines. 
想定されるシナリオ毎(例、労災、火災、地震、台風/洪水)に、緊急時対応手順が定められている。</t>
    </r>
    <rPh sb="115" eb="117">
      <t>ソウテイ</t>
    </rPh>
    <rPh sb="124" eb="125">
      <t>ゴト</t>
    </rPh>
    <rPh sb="126" eb="127">
      <t>レイ</t>
    </rPh>
    <rPh sb="128" eb="130">
      <t>ロウサイ</t>
    </rPh>
    <rPh sb="131" eb="133">
      <t>カサイ</t>
    </rPh>
    <rPh sb="134" eb="136">
      <t>ジシン</t>
    </rPh>
    <rPh sb="137" eb="139">
      <t>タイフウ</t>
    </rPh>
    <rPh sb="140" eb="142">
      <t>コウズイ</t>
    </rPh>
    <rPh sb="145" eb="150">
      <t>キンキュウジタイオウ</t>
    </rPh>
    <rPh sb="150" eb="152">
      <t>テジュン</t>
    </rPh>
    <rPh sb="153" eb="154">
      <t>サダ</t>
    </rPh>
    <phoneticPr fontId="4"/>
  </si>
  <si>
    <t>Are site safety rules communicated to workers in a clear and structured manner?
事業所の安全ルールは、明確かつ標準化された方法で、作業者に周知されているか？</t>
    <phoneticPr fontId="4"/>
  </si>
  <si>
    <t>The sampled teammates all say that they are well informed and can explain how the information communicated contributes to their safety. 
技能員は、情報が十分周知され、周知された情報がどのように自身の安全確保につながっているか、説明できる。</t>
    <phoneticPr fontId="4"/>
  </si>
  <si>
    <t>Is the LOTO system being used and applied by teammates performing maintenance tasks?
LOTOは、運用されているか？また、保全作業において、実行されているか？</t>
    <phoneticPr fontId="4"/>
  </si>
  <si>
    <t>LOTO standard (site standard, ECP, work standard, etc.) was followed by all teammates observed performing maintenance/operation tasks that required LOTO. In case that LOTO operation cannot be observed on site, confirm site tour records, etc.
LOTOが必要な作業・保全において、確認した全ての技能員はLOTO標準（事業所の標準・ECP・作業標準等）を順守していた。 現場確認できない場合は、巡回記録等により確認する。</t>
    <rPh sb="296" eb="298">
      <t>ジュンシュ</t>
    </rPh>
    <rPh sb="304" eb="306">
      <t>ゲンバ</t>
    </rPh>
    <phoneticPr fontId="4"/>
  </si>
  <si>
    <t>Is priodical monitoring on LOTO activity performed to verify that LOTO are properly implemented when required?
LOTO対象作業時に適切にLOTOが実施されていることを確認するため、作業モニタリングを定期的に実施していますか？</t>
    <rPh sb="115" eb="120">
      <t>タイショウサギョウジ</t>
    </rPh>
    <rPh sb="121" eb="123">
      <t>テキセツ</t>
    </rPh>
    <rPh sb="129" eb="131">
      <t>ジッシ</t>
    </rPh>
    <rPh sb="139" eb="141">
      <t>カクニン</t>
    </rPh>
    <rPh sb="146" eb="148">
      <t>サギョウ</t>
    </rPh>
    <rPh sb="155" eb="158">
      <t>テイキテキ</t>
    </rPh>
    <rPh sb="159" eb="161">
      <t>ジッシ</t>
    </rPh>
    <phoneticPr fontId="4"/>
  </si>
  <si>
    <t>The respondent can show any sampled evidence where check results are filled out.
LOTO対象作業でLOTOをルール通りしているかチェックした記録（チェックシート等）が確認できる。</t>
    <rPh sb="85" eb="89">
      <t>タイショウサギョウ</t>
    </rPh>
    <rPh sb="98" eb="99">
      <t>ドオ</t>
    </rPh>
    <rPh sb="111" eb="113">
      <t>キロク</t>
    </rPh>
    <rPh sb="121" eb="122">
      <t>ナド</t>
    </rPh>
    <rPh sb="124" eb="126">
      <t>カクニン</t>
    </rPh>
    <phoneticPr fontId="4"/>
  </si>
  <si>
    <t>Are the applicable BS common safety rules followed by the teammates?
あなたは、自分の職場/作業に適用される安全ルールと重要な安全ポイントを十分に理解していますか？</t>
    <rPh sb="74" eb="76">
      <t>ジブン</t>
    </rPh>
    <rPh sb="77" eb="79">
      <t>ショクバ</t>
    </rPh>
    <rPh sb="80" eb="82">
      <t>サギョウ</t>
    </rPh>
    <rPh sb="94" eb="96">
      <t>ジュウヨウ</t>
    </rPh>
    <rPh sb="97" eb="99">
      <t>アンゼン</t>
    </rPh>
    <phoneticPr fontId="4"/>
  </si>
  <si>
    <t>All respondents can demonstrate knowledge of the Safety Rules and explain key points on safety in the work standard.
回答者全員が、安全ルールを理解し、作業標準内での安全に関するポイントを説明することができる。</t>
    <rPh sb="117" eb="120">
      <t>カイトウシャ</t>
    </rPh>
    <rPh sb="120" eb="122">
      <t>ゼンイン</t>
    </rPh>
    <phoneticPr fontId="4"/>
  </si>
  <si>
    <t>Work at Height
高所作業</t>
    <rPh sb="15" eb="19">
      <t>コウショサギョウ</t>
    </rPh>
    <phoneticPr fontId="4"/>
  </si>
  <si>
    <t>Are Work at height controls being used and applied by teammates performing tasks that require Work at height?
高所作業の管理は、運用されているか？また、高所作業において、実行されているか？</t>
    <phoneticPr fontId="4"/>
  </si>
  <si>
    <t>On-site observaion indicate that all observed teammates show good application of Work at height safety rules.  In case that Work at height operation cannot be observed on site, confirm site tour records, etc.
現場観察した技能員全員が、高所作業の安全ルールを順守している。現場で作業を確認できない場合、巡回記録等により確認する。</t>
    <rPh sb="222" eb="224">
      <t>コウショ</t>
    </rPh>
    <rPh sb="224" eb="226">
      <t>サギョウ</t>
    </rPh>
    <phoneticPr fontId="4"/>
  </si>
  <si>
    <t>Do all drivers follow the rules and procedures for mobile equipment?
動力車使用者は、動力車に関するルール・手順を順守しているか？</t>
    <rPh sb="74" eb="75">
      <t>シャ</t>
    </rPh>
    <phoneticPr fontId="4"/>
  </si>
  <si>
    <t>On-site observaion indicate that all observed teammates show good application of mobile equipment safety rules. In case that forklift operation cannot be observed on site, confirm site tour records, etc.
現場観察した技能員全員が、動力車の安全ルールを順守している。現場で作業を確認できない場合、巡回記録等により確認する。</t>
    <rPh sb="204" eb="206">
      <t>ゲンバ</t>
    </rPh>
    <rPh sb="206" eb="208">
      <t>カンサツ</t>
    </rPh>
    <rPh sb="210" eb="213">
      <t>ギノウイン</t>
    </rPh>
    <rPh sb="213" eb="215">
      <t>ゼンイン</t>
    </rPh>
    <phoneticPr fontId="4"/>
  </si>
  <si>
    <t>Are all unnecessary objects being removed or planned to be removed from the work area ?
全ての不要物は、作業場から排除されている、もしくは廃棄が予定されていますか？</t>
    <phoneticPr fontId="4"/>
  </si>
  <si>
    <t>All inspected work areas were cleaned (no debris on floor, no spillages) as defined in the 3S visual standard, and there were no unnecessary objects or plans to remove unnecessary objects.
確認したすべての作業場は、3Sビジュアル標準で規定されたように清掃され（床に破片や屑がない）、不要物が置かれていないない、または廃棄予定日が定められている。</t>
    <rPh sb="189" eb="191">
      <t>カクニン</t>
    </rPh>
    <rPh sb="197" eb="200">
      <t>サギョウバ</t>
    </rPh>
    <rPh sb="240" eb="241">
      <t>オ</t>
    </rPh>
    <rPh sb="253" eb="255">
      <t>ハイキ</t>
    </rPh>
    <rPh sb="255" eb="258">
      <t>ヨテイビ</t>
    </rPh>
    <rPh sb="259" eb="260">
      <t>サダ</t>
    </rPh>
    <phoneticPr fontId="4"/>
  </si>
  <si>
    <t>Are necessary equipment/tools being put in clearly marked and fixed positions?
必要なものは、明示された決められた場所に置かれているか？</t>
    <rPh sb="79" eb="81">
      <t>ヒツヨウ</t>
    </rPh>
    <rPh sb="86" eb="88">
      <t>メイジ</t>
    </rPh>
    <rPh sb="91" eb="92">
      <t>キ</t>
    </rPh>
    <rPh sb="96" eb="98">
      <t>バショ</t>
    </rPh>
    <rPh sb="99" eb="100">
      <t>オ</t>
    </rPh>
    <phoneticPr fontId="4"/>
  </si>
  <si>
    <t>All necessary items  are stored in their clearly marked space/position.
必要な全てのものは、明確に表示された場所/位置に置かれている。</t>
    <phoneticPr fontId="4"/>
  </si>
  <si>
    <t>Do crane operators follow the rules and standards concerning cranes and hoist operations?
クレーン操作者は、クレーン・ホイストのルール・標準を順守していますか？</t>
    <phoneticPr fontId="4"/>
  </si>
  <si>
    <t>All crane operators work according to the crane and hoist safety rules stated in the crane and hoist procedure (Operator and others were kept away from hoisted loads, there was a work leader that gave hand signals, hoisted load's stability was checked with a lift of a few inches, etc.). In case that hoist and crane operation cannot be observed on site, confirm site tour records, etc.
クレーン操作者全員が、クレーン・ホイスト標準で規定された安全ルールに従い、作業している（吊り荷の下から外れ、第三者も遠ざける、合図を行う作業指揮者、吊り上げ後の地切りなど）。　現場で作業を確認できない場合、職長巡回やモニタリング等での順守記録を確認する。</t>
    <rPh sb="391" eb="394">
      <t>ソウサシャ</t>
    </rPh>
    <rPh sb="475" eb="477">
      <t>ゲンバ</t>
    </rPh>
    <phoneticPr fontId="4"/>
  </si>
  <si>
    <t>Does everyone on site participate in KYT?
事業所において、全員がKYT（活動）に参加していますか？</t>
  </si>
  <si>
    <t>KYT records indicate that all teammates and temporary staff have participated in KYT within the last 3 months.
KYT記録により、過去3か月間、全従業員と派遣社員がKYTに参加していることが確認できる。</t>
    <rPh sb="150" eb="152">
      <t>カクニン</t>
    </rPh>
    <phoneticPr fontId="4"/>
  </si>
  <si>
    <t>Are the results from KY used to develop new safety rules or adjust old rules or improvement of safety measures for hazards((risk mitigation/administrative measures)? 
KY（活動）の結果は、新しいルールの策定や既存ルールの見直しや危険源への対策の是正(リスク低減/管理策)につながっていますか？</t>
  </si>
  <si>
    <t>The respondent can provide evidence of a improvement of safety measures for hazards or a safety rule that was recently changed because of the KY system's recommendations.
回答者は、KY活動（の推奨）を通じて変更された安全ルールや危険源対策の是正事例を提示することができる。</t>
    <rPh sb="189" eb="191">
      <t>ヘンコウ</t>
    </rPh>
    <rPh sb="206" eb="208">
      <t>ゼセイ</t>
    </rPh>
    <phoneticPr fontId="4"/>
  </si>
  <si>
    <t>Do workers in the tire inflation area follow the safety rules concerning tire inflation?
タイヤ空気充填作業場の作業者は、タイヤ空気充填に関わる安全ルールを順守していますか？</t>
  </si>
  <si>
    <t>All observed operators work in accordance to the Tire Inflation procedure's safety rules. In case that tire inflation operation cannot be observed on site, confirm site tour records, etc.
確認した全ての技能員は、タイヤ空気充填作業の安全ルールを順守し、作業している。該当作業確認できない場合は、巡回記録等により確認</t>
    <phoneticPr fontId="4"/>
  </si>
  <si>
    <t>Do all contractor employees receive contractor H&amp;S orientation/training prior to the start of the work? 
協力会社の全従業員へ、作業開始前に安全教育/オリエンテーションを行っていますか？</t>
    <phoneticPr fontId="4"/>
  </si>
  <si>
    <t>There are records that all contractors received H&amp;S orientation/training from BS prior to the work.
BSが、協力会社の全従業員へ、作業開始前に安全教育/オリエンテーションを行った記録がある。</t>
    <phoneticPr fontId="4"/>
  </si>
  <si>
    <t>Does the material of contractor H&amp;S orientation/training includes emergency procedures, introduction to the Safety Mission Statement and Safety fundamental Activities?
協力会社への安全教育/オリエンテーションには、緊急時の手順および安全宣言・共通規定項目が含まれていますか？</t>
    <phoneticPr fontId="4"/>
  </si>
  <si>
    <t>The material of contractor H&amp;S orientation/training includes emergency procedures, introduction to the Safety Mission Statement and Safety fundamental Activities.
協力会社への安全教育/オリエンテーションには、緊急時の手順および安全宣言・共通規定項目が含まれていることを確認できる。</t>
    <phoneticPr fontId="4"/>
  </si>
  <si>
    <t>Is the procedure followed accordingly by teammates when manually handling large tires?
大型タイヤを手動ハンドリングする際に従業員は標準を順守しているか？</t>
  </si>
  <si>
    <t>All observed teammates who execute large tire manual handling comply with its procedure. In case the operation cannot be observed on site during SMA, confirm site tour records, etc.
回答者は、大型タイヤの手動ハンドリングを行う際に従うべき安全ルールを遵守し、作業している。現場で作業を確認できない場合、巡回記録等により確認する。</t>
    <rPh sb="210" eb="212">
      <t>アンゼン</t>
    </rPh>
    <rPh sb="216" eb="218">
      <t>ジュンシュ</t>
    </rPh>
    <rPh sb="220" eb="222">
      <t>サギョウ</t>
    </rPh>
    <phoneticPr fontId="4"/>
  </si>
  <si>
    <t>Does the risk evaluation address the foreseeable hazards related to chemical and ergonomics?
化学物質および筋骨格系障害リスクを評価していますか？</t>
    <rPh sb="93" eb="97">
      <t>カガクブッシツ</t>
    </rPh>
    <rPh sb="100" eb="104">
      <t>キンコッカクケイ</t>
    </rPh>
    <rPh sb="104" eb="106">
      <t>ショウガイ</t>
    </rPh>
    <rPh sb="110" eb="112">
      <t>ヒョウカ</t>
    </rPh>
    <phoneticPr fontId="4"/>
  </si>
  <si>
    <t>There is evidence that checmical &amp; ergonomics risks in the site are evaluated.
化学物質RAとエルゴノミクスRAを実施した記録がある。</t>
    <rPh sb="79" eb="83">
      <t>カガクブッシツ</t>
    </rPh>
    <rPh sb="96" eb="98">
      <t>ジッシ</t>
    </rPh>
    <rPh sb="100" eb="102">
      <t>キロク</t>
    </rPh>
    <phoneticPr fontId="4"/>
  </si>
  <si>
    <t>Are all risks of category III and IV in the risk register covered by administrative or technical controls?
登録されたリスクカテゴリーIII&amp;IVの残留リスクに対し、ハード対策もしくはソフト対策が実施されていますか？</t>
    <phoneticPr fontId="4"/>
  </si>
  <si>
    <t>A review of sampled risk assessment record shows that the majority of risks are covered by administrative and engineering controls.
リスクカテゴリーIII&amp;IVの残留リスクに対し、ハード対策およびソフト対策が実行されていることが確認できた。</t>
    <rPh sb="159" eb="161">
      <t>タイサク</t>
    </rPh>
    <rPh sb="170" eb="172">
      <t>ジッコウ</t>
    </rPh>
    <rPh sb="180" eb="182">
      <t>カクニン</t>
    </rPh>
    <phoneticPr fontId="4"/>
  </si>
  <si>
    <r>
      <t>Is root cause analysis implemented when incidents</t>
    </r>
    <r>
      <rPr>
        <sz val="8"/>
        <color rgb="FF0000FF"/>
        <rFont val="Meiryo UI"/>
        <family val="3"/>
        <charset val="128"/>
      </rPr>
      <t>*</t>
    </r>
    <r>
      <rPr>
        <sz val="8"/>
        <rFont val="Meiryo UI"/>
        <family val="3"/>
        <charset val="128"/>
      </rPr>
      <t xml:space="preserve"> occurred?
災害発生時、原因分析を実施していますか？(労災/出火事故連絡兼報告ガイドの対象事案とする)</t>
    </r>
    <rPh sb="61" eb="66">
      <t>サイガイハッセイジ</t>
    </rPh>
    <rPh sb="67" eb="69">
      <t>ゲンイン</t>
    </rPh>
    <rPh sb="69" eb="71">
      <t>ブンセキ</t>
    </rPh>
    <rPh sb="72" eb="74">
      <t>ジッシ</t>
    </rPh>
    <rPh sb="82" eb="84">
      <t>ロウサイ</t>
    </rPh>
    <rPh sb="85" eb="87">
      <t>シュッカ</t>
    </rPh>
    <rPh sb="87" eb="89">
      <t>ジコ</t>
    </rPh>
    <rPh sb="89" eb="91">
      <t>レンラク</t>
    </rPh>
    <rPh sb="91" eb="92">
      <t>ケン</t>
    </rPh>
    <rPh sb="92" eb="94">
      <t>ホウコク</t>
    </rPh>
    <rPh sb="98" eb="100">
      <t>タイショウ</t>
    </rPh>
    <rPh sb="100" eb="102">
      <t>ジアン</t>
    </rPh>
    <phoneticPr fontId="4"/>
  </si>
  <si>
    <t>There is evidence of an incident report with root cause analysis.
JS分析表がある。</t>
    <rPh sb="68" eb="70">
      <t>ブンセキ</t>
    </rPh>
    <rPh sb="70" eb="71">
      <t>ヒョウ</t>
    </rPh>
    <phoneticPr fontId="4"/>
  </si>
  <si>
    <r>
      <t>Have countermeasures been implemented for incidents</t>
    </r>
    <r>
      <rPr>
        <sz val="8"/>
        <color rgb="FF0000FF"/>
        <rFont val="Meiryo UI"/>
        <family val="3"/>
        <charset val="128"/>
      </rPr>
      <t>*</t>
    </r>
    <r>
      <rPr>
        <sz val="8"/>
        <rFont val="Meiryo UI"/>
        <family val="3"/>
        <charset val="128"/>
      </rPr>
      <t>?
災害に対して対策を実施しているか？</t>
    </r>
    <rPh sb="54" eb="56">
      <t>サイガイ</t>
    </rPh>
    <phoneticPr fontId="4"/>
  </si>
  <si>
    <t>Countermeasures are being implemented on site following incidents reports
計画された対策が実行されていること確認できる。</t>
    <rPh sb="74" eb="76">
      <t>ケイカク</t>
    </rPh>
    <rPh sb="79" eb="81">
      <t>タイサク</t>
    </rPh>
    <rPh sb="82" eb="84">
      <t>ジッコウ</t>
    </rPh>
    <rPh sb="91" eb="93">
      <t>カクニン</t>
    </rPh>
    <phoneticPr fontId="4"/>
  </si>
  <si>
    <t>Do you have implementation plan to take countermeasures for identified risks after investigation based on recurrence prevention request?
類災展開文書にもとづく調査で見つかった不具合に対し、是正計画を立てているか？</t>
    <rPh sb="137" eb="143">
      <t>ルイサイテンカイブンショ</t>
    </rPh>
    <rPh sb="148" eb="150">
      <t>チョウサ</t>
    </rPh>
    <rPh sb="151" eb="152">
      <t>ミ</t>
    </rPh>
    <rPh sb="156" eb="159">
      <t>フグアイ</t>
    </rPh>
    <rPh sb="160" eb="161">
      <t>タイ</t>
    </rPh>
    <rPh sb="163" eb="165">
      <t>ゼセイ</t>
    </rPh>
    <rPh sb="165" eb="167">
      <t>ケイカク</t>
    </rPh>
    <rPh sb="168" eb="169">
      <t>タ</t>
    </rPh>
    <phoneticPr fontId="4"/>
  </si>
  <si>
    <t>There is evidenve of implementation plan to take countermeasures for similar incident preventions.
類災展開にもとづく是正計画表が作成されている。</t>
    <rPh sb="99" eb="101">
      <t>ルイサイ</t>
    </rPh>
    <rPh sb="101" eb="103">
      <t>テンカイ</t>
    </rPh>
    <rPh sb="108" eb="112">
      <t>ゼセイケイカク</t>
    </rPh>
    <rPh sb="112" eb="113">
      <t>ヒョウ</t>
    </rPh>
    <rPh sb="114" eb="116">
      <t>サクセイ</t>
    </rPh>
    <phoneticPr fontId="4"/>
  </si>
  <si>
    <t>When new hazards are identified, are training material revised and communicated to teammates?
新しいリスクが特定された場合、教育資料は見直され、技能員へ教育されていますか？</t>
    <rPh sb="94" eb="95">
      <t>アタラ</t>
    </rPh>
    <rPh sb="101" eb="103">
      <t>トクテイ</t>
    </rPh>
    <rPh sb="106" eb="108">
      <t>バアイ</t>
    </rPh>
    <rPh sb="109" eb="111">
      <t>キョウイク</t>
    </rPh>
    <rPh sb="111" eb="113">
      <t>シリョウ</t>
    </rPh>
    <rPh sb="114" eb="116">
      <t>ミナオ</t>
    </rPh>
    <rPh sb="119" eb="122">
      <t>ギノウイン</t>
    </rPh>
    <rPh sb="123" eb="125">
      <t>キョウイク</t>
    </rPh>
    <phoneticPr fontId="4"/>
  </si>
  <si>
    <t>Training material and training records indicate that new identified risks are added to the training material and communicated to teammates. 
教育資料と教育記録から、新たに特定されたリスクは教育資料に反映され、技能員へ教育されていることが確認できる。</t>
    <rPh sb="141" eb="143">
      <t>キョウイク</t>
    </rPh>
    <rPh sb="143" eb="145">
      <t>シリョウ</t>
    </rPh>
    <rPh sb="146" eb="148">
      <t>キョウイク</t>
    </rPh>
    <rPh sb="148" eb="150">
      <t>キロク</t>
    </rPh>
    <rPh sb="153" eb="154">
      <t>アラ</t>
    </rPh>
    <rPh sb="156" eb="158">
      <t>トクテイ</t>
    </rPh>
    <rPh sb="165" eb="167">
      <t>キョウイク</t>
    </rPh>
    <rPh sb="167" eb="169">
      <t>シリョウ</t>
    </rPh>
    <rPh sb="170" eb="172">
      <t>ハンエイ</t>
    </rPh>
    <rPh sb="175" eb="178">
      <t>ギノウイン</t>
    </rPh>
    <rPh sb="179" eb="181">
      <t>キョウイク</t>
    </rPh>
    <rPh sb="189" eb="191">
      <t>カクニン</t>
    </rPh>
    <phoneticPr fontId="4"/>
  </si>
  <si>
    <t>Have the drills been conducted by every shifts and cover each identified potential scenarios?
それぞれの予想されるシナリオに対し、各班で訓練を実施しているか？</t>
    <rPh sb="99" eb="101">
      <t>ヨソウ</t>
    </rPh>
    <rPh sb="109" eb="110">
      <t>タイ</t>
    </rPh>
    <phoneticPr fontId="4"/>
  </si>
  <si>
    <t>Drills on every identified potential scenarios have been performed in each shifts.
想定されるシナリオ毎に、各班で訓練が実施されている。</t>
    <rPh sb="83" eb="85">
      <t>ソウテイ</t>
    </rPh>
    <rPh sb="92" eb="93">
      <t>ゴト</t>
    </rPh>
    <rPh sb="95" eb="97">
      <t>カクハン</t>
    </rPh>
    <rPh sb="98" eb="100">
      <t>クンレン</t>
    </rPh>
    <rPh sb="101" eb="103">
      <t>ジッシ</t>
    </rPh>
    <phoneticPr fontId="4"/>
  </si>
  <si>
    <t>Does management inform workers of newly found hazards and risks in a timely manner?
管理者は、作業者に新たに顕在化した危険源およびリスクを、タイムリーに周知しているか？</t>
    <rPh sb="84" eb="87">
      <t>カンリシャ</t>
    </rPh>
    <rPh sb="89" eb="92">
      <t>サギョウシャ</t>
    </rPh>
    <rPh sb="93" eb="94">
      <t>アラ</t>
    </rPh>
    <rPh sb="96" eb="99">
      <t>ケンザイカ</t>
    </rPh>
    <rPh sb="101" eb="103">
      <t>キケン</t>
    </rPh>
    <rPh sb="103" eb="104">
      <t>ゲン</t>
    </rPh>
    <rPh sb="118" eb="120">
      <t>シュウチ</t>
    </rPh>
    <phoneticPr fontId="4"/>
  </si>
  <si>
    <t>The respondent is able to provide at least one recent example of top-down communication on hazards and risks. 
回答者は、危険源およびリスクに関するトップダウンのコミュニケーション事例を少なくとも１つ提示できる。</t>
    <rPh sb="111" eb="113">
      <t>カイトウ</t>
    </rPh>
    <rPh sb="113" eb="114">
      <t>シャ</t>
    </rPh>
    <rPh sb="116" eb="118">
      <t>キケン</t>
    </rPh>
    <rPh sb="118" eb="119">
      <t>ゲン</t>
    </rPh>
    <rPh sb="126" eb="127">
      <t>カン</t>
    </rPh>
    <rPh sb="145" eb="147">
      <t>ジレイ</t>
    </rPh>
    <rPh sb="148" eb="149">
      <t>スク</t>
    </rPh>
    <rPh sb="155" eb="157">
      <t>テイジ</t>
    </rPh>
    <phoneticPr fontId="4"/>
  </si>
  <si>
    <t>Do teammates communicate hazards and risks to their supervisors as soon as they identify them? 
作業者は、危険源およびリスクを特定した場合、速やかに監督者へ報告しているか？</t>
    <phoneticPr fontId="4"/>
  </si>
  <si>
    <t>The respondent is able to provide at least one recent example of bottom-up communication on hazards and risks. 
回答者は、危険源およびリスクに関するボトムアップのコミュニケーション事例を少なくとも１つ提示できる。</t>
    <phoneticPr fontId="4"/>
  </si>
  <si>
    <t>Are ECPs (Energy Control Procedures) prepared for all applicable machinery? Do they include all applicable energy sources (electrical, mechanical, pneumatic, etc.)?
LOTO対象の全ての設備に対し、ECP(動力源遮断手順書)を作成していますか？ECPには対象となるエネルギー源（電気、機械、空圧等）が含まれていますか？</t>
    <rPh sb="185" eb="190">
      <t>ドウリョクゲンシャダン</t>
    </rPh>
    <rPh sb="190" eb="193">
      <t>テジュンショ</t>
    </rPh>
    <phoneticPr fontId="4"/>
  </si>
  <si>
    <t>ECP includes all applicable energy source (electrical, mechanical, pneumatic, etc.) has been prepared for all applicable machinery. 
LOTO対象の全ての設備に対し、対象となるエネルギー源（電気、機械（惰性運転・自重落下等）、空圧等）に対するECPが作成されている。</t>
    <phoneticPr fontId="4"/>
  </si>
  <si>
    <t>Have you ever engaged to manage and evaluate the risks involved in their work?
あなたは、自職場のリスク管理やリスク評価に参加したことがありますか？</t>
    <rPh sb="84" eb="85">
      <t>ジ</t>
    </rPh>
    <rPh sb="85" eb="87">
      <t>ショクバ</t>
    </rPh>
    <rPh sb="91" eb="93">
      <t>カンリ</t>
    </rPh>
    <rPh sb="97" eb="99">
      <t>ヒョウカ</t>
    </rPh>
    <rPh sb="100" eb="102">
      <t>サンカ</t>
    </rPh>
    <phoneticPr fontId="4"/>
  </si>
  <si>
    <t>Therespondent can show an example that they collaboratd with management to evaluate risks in the work area.
回答者は、職場のリスクを評価するため、管理者と協力した事例を説明できる。</t>
    <rPh sb="108" eb="111">
      <t>カイトウシャ</t>
    </rPh>
    <rPh sb="113" eb="115">
      <t>ショクバ</t>
    </rPh>
    <rPh sb="120" eb="122">
      <t>ヒョウカ</t>
    </rPh>
    <rPh sb="127" eb="130">
      <t>カンリシャ</t>
    </rPh>
    <rPh sb="131" eb="133">
      <t>キョウリョク</t>
    </rPh>
    <rPh sb="135" eb="137">
      <t>ジレイ</t>
    </rPh>
    <rPh sb="138" eb="140">
      <t>セツメイ</t>
    </rPh>
    <phoneticPr fontId="4"/>
  </si>
  <si>
    <t>Are safety rules developed/adjusted after these evaluations take place?
上記評価後、*安全ルールは策定/見直されていますか？</t>
    <phoneticPr fontId="4"/>
  </si>
  <si>
    <t>The respondent can give an example that safety rules were updated after risk evaluation with teammates.
回答者は、技能員とのリスク評価後に安全ルールが改訂された事例を提示できる。</t>
    <rPh sb="104" eb="106">
      <t>カイトウ</t>
    </rPh>
    <rPh sb="106" eb="107">
      <t>シャ</t>
    </rPh>
    <rPh sb="109" eb="112">
      <t>ギノウイン</t>
    </rPh>
    <rPh sb="117" eb="119">
      <t>ヒョウカ</t>
    </rPh>
    <rPh sb="119" eb="120">
      <t>アト</t>
    </rPh>
    <rPh sb="121" eb="123">
      <t>アンゼン</t>
    </rPh>
    <rPh sb="127" eb="129">
      <t>カイテイ</t>
    </rPh>
    <rPh sb="132" eb="134">
      <t>ジレイ</t>
    </rPh>
    <rPh sb="135" eb="137">
      <t>テイジ</t>
    </rPh>
    <phoneticPr fontId="4"/>
  </si>
  <si>
    <t>Is feedback from teammates considered to improve safety rules?
作業者からのフィードバックは、安全ルールや作業標準等の改善に活用されていますか？</t>
    <rPh sb="63" eb="66">
      <t>サギョウシャ</t>
    </rPh>
    <rPh sb="78" eb="80">
      <t>アンゼン</t>
    </rPh>
    <rPh sb="84" eb="86">
      <t>サギョウ</t>
    </rPh>
    <rPh sb="86" eb="88">
      <t>ヒョウジュン</t>
    </rPh>
    <rPh sb="88" eb="89">
      <t>ナド</t>
    </rPh>
    <rPh sb="90" eb="92">
      <t>カイゼン</t>
    </rPh>
    <rPh sb="93" eb="95">
      <t>カツヨウ</t>
    </rPh>
    <phoneticPr fontId="4"/>
  </si>
  <si>
    <t>The respondent can show an example that thier feedback was used to revise the Safety Rules. 
（Examples of FB: Teammates require to change safety rule due to difficulties of the compliance with the required safety rules during tasks/services, etc.) 
回答者は、技能員のフィードバックが安全ルール見直しに活用された事例を提示することができる。（フィードバック例：ルール通りの作業が困難なのでルールの変更が必要　等）</t>
    <rPh sb="254" eb="257">
      <t>ギノウイン</t>
    </rPh>
    <rPh sb="271" eb="273">
      <t>ミナオ</t>
    </rPh>
    <rPh sb="313" eb="315">
      <t>コンナン</t>
    </rPh>
    <phoneticPr fontId="4"/>
  </si>
  <si>
    <t>Are Work at height controls reviewed and improved after new risks are identified?
新たなリスクが特定された後、高所作業の管理は見直され、改善されていますか？</t>
    <rPh sb="109" eb="111">
      <t>カイゼン</t>
    </rPh>
    <phoneticPr fontId="4"/>
  </si>
  <si>
    <t>The respondent can explain the recent identified risks and their follow-up actions. 
回答者は、直近で新たに特定されたリスクとその対応事例を説明できる。</t>
    <rPh sb="90" eb="92">
      <t>チョッキン</t>
    </rPh>
    <rPh sb="93" eb="94">
      <t>アラ</t>
    </rPh>
    <rPh sb="96" eb="98">
      <t>トクテイ</t>
    </rPh>
    <rPh sb="112" eb="114">
      <t>セツメイ</t>
    </rPh>
    <phoneticPr fontId="4"/>
  </si>
  <si>
    <t>Are Mobile Equipment controls reviewed and iproved after new risks are identified?
新たなリスクが特定された後、動力車作業の管理は見直され、改善されていますか？</t>
    <rPh sb="97" eb="99">
      <t>ドウリョク</t>
    </rPh>
    <rPh sb="99" eb="100">
      <t>シャ</t>
    </rPh>
    <rPh sb="100" eb="102">
      <t>サギョウ</t>
    </rPh>
    <rPh sb="111" eb="113">
      <t>カイゼン</t>
    </rPh>
    <phoneticPr fontId="4"/>
  </si>
  <si>
    <t>Mobile Equipment
動力車</t>
    <rPh sb="17" eb="20">
      <t>ドウリョクシャ</t>
    </rPh>
    <phoneticPr fontId="4"/>
  </si>
  <si>
    <t>Is feedback from drivers considered when adapting the mobile equipment standard?
動力車標準の適用時、動力車使用者からのフィードバックは、考慮されているか？</t>
    <rPh sb="81" eb="83">
      <t>ドウリョク</t>
    </rPh>
    <rPh sb="83" eb="84">
      <t>シャ</t>
    </rPh>
    <rPh sb="91" eb="93">
      <t>ドウリョク</t>
    </rPh>
    <rPh sb="93" eb="94">
      <t>シャ</t>
    </rPh>
    <rPh sb="94" eb="96">
      <t>シヨウ</t>
    </rPh>
    <phoneticPr fontId="4"/>
  </si>
  <si>
    <t>The respondent can show an example that thier feedback is used to revise the rule or procedure for mobile equipment. 
（Examples of FB: Teammates require changes due to difficulties of the compliance with the safety standards for mobile equipment, etc.)
回答者は、技能員のフィードバックが動力車のルールや作業標準の見直しに活用された事例を提示することができる。 
（フィードバック例：ルール通りの作業が困難なのでルールの変更が必要　等）</t>
    <rPh sb="258" eb="261">
      <t>ギノウイン</t>
    </rPh>
    <rPh sb="278" eb="282">
      <t>サギョウヒョウジュン</t>
    </rPh>
    <rPh sb="283" eb="285">
      <t>ミナオ</t>
    </rPh>
    <rPh sb="295" eb="297">
      <t>テイジ</t>
    </rPh>
    <rPh sb="327" eb="329">
      <t>コンナン</t>
    </rPh>
    <phoneticPr fontId="4"/>
  </si>
  <si>
    <t>Do teammates proceed with 3S activity for the improvement of 3S level?
技能員は、3Sレベルアップに向けた改善活動を実際に進めていますか？</t>
    <rPh sb="71" eb="74">
      <t>ギノウイン</t>
    </rPh>
    <rPh sb="90" eb="92">
      <t>カツドウ</t>
    </rPh>
    <rPh sb="93" eb="95">
      <t>ジッサイ</t>
    </rPh>
    <phoneticPr fontId="4"/>
  </si>
  <si>
    <t>On-site observation indicated that 3S activity for the improvement of 3S level has been proceeded. or 3S documents indicated that improvement of 3S level can be confirmed or 3S level is over 4.
現場観察から、3Sレベルアップに向けた改善が進められていることが確認できる。または、３S文書から、３Sレベルの改善や3Sレベル評価結果が4点以上であることが確認できる。</t>
    <rPh sb="194" eb="196">
      <t>ゲンバ</t>
    </rPh>
    <rPh sb="196" eb="198">
      <t>カンサツ</t>
    </rPh>
    <rPh sb="238" eb="240">
      <t>ブンショ</t>
    </rPh>
    <rPh sb="272" eb="274">
      <t>カクニン</t>
    </rPh>
    <phoneticPr fontId="4"/>
  </si>
  <si>
    <t>Do crane operators provide feedback (safety perspective) to their peers inside and outside of their site? 
クレーン操作者は、事業所内外の同僚にフィードバック（安全に関する操作ポイント等の情報共有等）していますか？</t>
    <rPh sb="151" eb="152">
      <t>ナド</t>
    </rPh>
    <phoneticPr fontId="4"/>
  </si>
  <si>
    <t>Crane operators observe each other and provide feedback. Or Information on how to operate crane safely has been shared.
クレーン操作者は、相互に確認(相互モニタリング)し、フィードバックしている。または、他事業所のクレーン操作に関する情報が共有されている。</t>
  </si>
  <si>
    <t>Is KYT conducted periodically in accordance with SBU or/and site standard by everyone on site?
KYTは、全員に、SBU/現場の標準で決められた頻度で実施されていますか？</t>
    <phoneticPr fontId="4"/>
  </si>
  <si>
    <t>KYT records indicate that KYT is completed periodically in accordance with SBU and/or site standard by everyone on site. 
KYT記録によると、SBU/現場の標準で決められた頻度で、全員に実施されている。</t>
  </si>
  <si>
    <t>Is the KYT activity evaluated and opportunity for improvement discussed with the site manager annually?
毎年、KYTの活動内容は、評価され、改善の機会を事業所長と議論されていますか？</t>
    <phoneticPr fontId="4"/>
  </si>
  <si>
    <t>The respondent can explain the evaluation result of KYT activity and improvement discussed with the site manager last time.
回答者は、前回のKYT 活動の評価結果と、事業所長で議論した改善内容と説明できる。</t>
    <rPh sb="124" eb="127">
      <t>カイトウシャ</t>
    </rPh>
    <rPh sb="129" eb="131">
      <t>ゼンカイ</t>
    </rPh>
    <rPh sb="139" eb="143">
      <t>ヒョウカケッカ</t>
    </rPh>
    <rPh sb="145" eb="149">
      <t>ジギョウショチョウ</t>
    </rPh>
    <rPh sb="150" eb="152">
      <t>ギロン</t>
    </rPh>
    <rPh sb="154" eb="158">
      <t>カイゼンナイヨウ</t>
    </rPh>
    <rPh sb="159" eb="161">
      <t>セツメイ</t>
    </rPh>
    <phoneticPr fontId="4"/>
  </si>
  <si>
    <t>Do the workers know how to effectively mitigate the risks in the tire inflation process?
作業者は、タイヤ空気充填作業における効果的なリスク低減方法を理解しているか？</t>
  </si>
  <si>
    <t>Sampled teammates can all give some examples of how the H&amp;S risks in the tire inflation area are mitigated. 
技能員のサンプルチェックにおいて、タイヤ空気充填作業場における、安全衛生リスクの低減方法を提示できる。</t>
    <phoneticPr fontId="4"/>
  </si>
  <si>
    <t>Does BS perform safety patrols of contractor's work area, and confirm that risk mitigation measures/administrative controls defined at the pre-work meeting are conducted?
BSは協力会社の作業エリアの安全パトロールを行い、事前打ち合わせで決めたリスク低減対策・管理が行われていることを確認していますか？</t>
    <phoneticPr fontId="4"/>
  </si>
  <si>
    <t>There is evidence that BS teammates perform safety patrols of contractor's work area, and confirm that risk mitigation measures/administrative controls defined at the pre-work meeting are conducted.
BSが協力会社の作業エリアの安全パトロールを行い、事前打ち合わせで決めたリスク低減対策・管理が行われていることを確認していることを示す書類がある。</t>
    <rPh sb="264" eb="265">
      <t>シメ</t>
    </rPh>
    <phoneticPr fontId="4"/>
  </si>
  <si>
    <t>Is the procedure reviewed when new activities are introduced on the site or when teammates offer relevant feedback?
現場の新規作業が発生した際、または、従業員から関連するフィードバックの提供があった際、標準が見直しされているか？</t>
    <rPh sb="121" eb="123">
      <t>サギョウ</t>
    </rPh>
    <rPh sb="124" eb="126">
      <t>ハッセイ</t>
    </rPh>
    <phoneticPr fontId="4"/>
  </si>
  <si>
    <t>Site manager or
 if available, site safety
事業所長</t>
    <rPh sb="43" eb="47">
      <t>ジギョウショチョウ</t>
    </rPh>
    <phoneticPr fontId="4"/>
  </si>
  <si>
    <t>The revision history of the large tire manual handling operations procedure indicate that it was reviewed based on new activities introduced or teammates feedback
大型タイヤの手動ハンドリング標準書の改訂履歴より、従業員からのフィードバック又は導入された新規作業に基づいて、標準書が見直されていることが確認できる。</t>
    <rPh sb="179" eb="180">
      <t>ショ</t>
    </rPh>
    <rPh sb="218" eb="220">
      <t>ヒョウジュン</t>
    </rPh>
    <phoneticPr fontId="4"/>
  </si>
  <si>
    <t>Are teammates re-trained in the large tire manual handling operations procedure when required (e.g. returning from absence, changes in procedure)
従業員は、必要に応じて、大型タイヤ手動ハンドリング標準の再教育を受けていますか？（例：休職からの復帰時、手順変更時）</t>
    <rPh sb="146" eb="149">
      <t>ジュウギョウイン</t>
    </rPh>
    <rPh sb="151" eb="153">
      <t>ヒツヨウ</t>
    </rPh>
    <rPh sb="154" eb="155">
      <t>オウ</t>
    </rPh>
    <rPh sb="171" eb="173">
      <t>ヒョウジュン</t>
    </rPh>
    <rPh sb="178" eb="179">
      <t>ウ</t>
    </rPh>
    <phoneticPr fontId="4"/>
  </si>
  <si>
    <t>Training records show that teammates are re-trained in the large tire manual handling operations procedure when required (e.g. returning from absence, changes in procedure)
教育記録より、必要に応じて、大型タイヤの手動ハンドリング標準の再教育が行われていることが確認できる。（例：休職からの復帰時、手順変更時）</t>
    <rPh sb="201" eb="203">
      <t>ヒョウジュン</t>
    </rPh>
    <rPh sb="217" eb="219">
      <t>カクニン</t>
    </rPh>
    <phoneticPr fontId="4"/>
  </si>
  <si>
    <t>Have risk assessment periodically reviewed to verify that hazards are definitely identified and risks are properly evaluated?
危険源の洗い出し結果やリスク評価結果は定期的に見直しされているか。</t>
    <rPh sb="126" eb="129">
      <t>キケンゲン</t>
    </rPh>
    <phoneticPr fontId="4"/>
  </si>
  <si>
    <t>The respondent can show an example of risk assessment documents which are periodically updated.
定期見直しにより更新されたRA帳票を確認することができた。</t>
    <rPh sb="96" eb="100">
      <t>テイキミナオ</t>
    </rPh>
    <rPh sb="104" eb="106">
      <t>コウシン</t>
    </rPh>
    <rPh sb="111" eb="113">
      <t>チョウヒョウ</t>
    </rPh>
    <rPh sb="114" eb="116">
      <t>カクニン</t>
    </rPh>
    <phoneticPr fontId="4"/>
  </si>
  <si>
    <r>
      <t>Are risk control measurements being executed to similar tasks, machines or processes following a reported incident</t>
    </r>
    <r>
      <rPr>
        <sz val="8"/>
        <color rgb="FF0000FF"/>
        <rFont val="Meiryo UI"/>
        <family val="3"/>
        <charset val="128"/>
      </rPr>
      <t>*</t>
    </r>
    <r>
      <rPr>
        <sz val="8"/>
        <rFont val="Meiryo UI"/>
        <family val="3"/>
        <charset val="128"/>
      </rPr>
      <t>?
災害と類似した作業、設備、プロセスに対してリスク低減対策が実施されているか？</t>
    </r>
    <rPh sb="117" eb="119">
      <t>サイガイ</t>
    </rPh>
    <rPh sb="141" eb="145">
      <t>テイゲンタイサク</t>
    </rPh>
    <phoneticPr fontId="4"/>
  </si>
  <si>
    <t>The respondent can show an evidence that periodical review is conducted to verify effectiveness of the implemented countermasures.
類似作業や設備等にヨコテンした事例を確認できる。</t>
    <phoneticPr fontId="4"/>
  </si>
  <si>
    <t>Have countermeasures been implemented based on implementation plan for recurrence prevention?
類災防止のための実行計画にもとづき、対策が実施されていますか？</t>
    <rPh sb="94" eb="98">
      <t>ルイサイボウシ</t>
    </rPh>
    <rPh sb="102" eb="106">
      <t>ジッコウケイカク</t>
    </rPh>
    <rPh sb="112" eb="114">
      <t>タイサク</t>
    </rPh>
    <rPh sb="115" eb="117">
      <t>ジッシ</t>
    </rPh>
    <phoneticPr fontId="4"/>
  </si>
  <si>
    <t>Countermeasures are being implemented on site following recurrence prevention requests
計画された類災防止対策が実行されていること確認できる。</t>
    <rPh sb="87" eb="89">
      <t>ケイカク</t>
    </rPh>
    <rPh sb="92" eb="94">
      <t>ルイサイ</t>
    </rPh>
    <rPh sb="94" eb="96">
      <t>ボウシ</t>
    </rPh>
    <rPh sb="96" eb="98">
      <t>タイサク</t>
    </rPh>
    <rPh sb="99" eb="101">
      <t>ジッコウ</t>
    </rPh>
    <rPh sb="108" eb="110">
      <t>カクニン</t>
    </rPh>
    <phoneticPr fontId="4"/>
  </si>
  <si>
    <t>Are trainings updated with industry best practices?
業界のベストプラクティスをもとに、教育内容や方法が更新されているか？</t>
    <rPh sb="52" eb="54">
      <t>ギョウカイ</t>
    </rPh>
    <rPh sb="69" eb="71">
      <t>キョウイク</t>
    </rPh>
    <rPh sb="71" eb="73">
      <t>ナイヨウ</t>
    </rPh>
    <rPh sb="74" eb="76">
      <t>ホウホウ</t>
    </rPh>
    <rPh sb="77" eb="79">
      <t>コウシン</t>
    </rPh>
    <phoneticPr fontId="4"/>
  </si>
  <si>
    <t>The respondent can show an example of trainings being updated with industry best practices.
回答者は、業界のベストプラクティスにより、教育内容や方法を更新した事例を説明できる。</t>
    <rPh sb="92" eb="94">
      <t>カイトウ</t>
    </rPh>
    <rPh sb="94" eb="95">
      <t>シャ</t>
    </rPh>
    <rPh sb="97" eb="99">
      <t>ギョウカイ</t>
    </rPh>
    <rPh sb="113" eb="117">
      <t>キョウイクナイヨウ</t>
    </rPh>
    <rPh sb="118" eb="120">
      <t>ホウホウ</t>
    </rPh>
    <rPh sb="121" eb="123">
      <t>コウシン</t>
    </rPh>
    <rPh sb="125" eb="127">
      <t>ジレイ</t>
    </rPh>
    <rPh sb="128" eb="130">
      <t>セツメイ</t>
    </rPh>
    <phoneticPr fontId="4"/>
  </si>
  <si>
    <t>Is the effectiveness of a training reviewed based on pre and post training assessments? Is the training improved based on the assessment result?
教育の有効性は、教育実施前後の評価に基づき、確認されているか？その評価結果に基づき、教育内容や方法は改善されているか？</t>
    <rPh sb="145" eb="147">
      <t>キョウイク</t>
    </rPh>
    <rPh sb="153" eb="155">
      <t>キョウイク</t>
    </rPh>
    <rPh sb="155" eb="157">
      <t>ジッシ</t>
    </rPh>
    <rPh sb="157" eb="159">
      <t>ゼンゴ</t>
    </rPh>
    <rPh sb="160" eb="162">
      <t>ヒョウカ</t>
    </rPh>
    <rPh sb="163" eb="164">
      <t>モト</t>
    </rPh>
    <rPh sb="167" eb="169">
      <t>カクニン</t>
    </rPh>
    <rPh sb="178" eb="182">
      <t>ヒョウカケッカ</t>
    </rPh>
    <rPh sb="183" eb="184">
      <t>モト</t>
    </rPh>
    <rPh sb="187" eb="189">
      <t>キョウイク</t>
    </rPh>
    <rPh sb="189" eb="191">
      <t>ナイヨウ</t>
    </rPh>
    <rPh sb="192" eb="194">
      <t>ホウホウ</t>
    </rPh>
    <rPh sb="195" eb="197">
      <t>カイゼン</t>
    </rPh>
    <phoneticPr fontId="4"/>
  </si>
  <si>
    <t>There is evidence of pre and post training assessments. The respondent can show an example of the improvement based on the assessment results.
教育前後の評価記録がある。回答者は、その評価結果に基づいた改善事例を説明できる。</t>
    <rPh sb="143" eb="145">
      <t>キョウイク</t>
    </rPh>
    <rPh sb="145" eb="147">
      <t>ゼンゴ</t>
    </rPh>
    <rPh sb="148" eb="150">
      <t>ヒョウカ</t>
    </rPh>
    <rPh sb="150" eb="152">
      <t>キロク</t>
    </rPh>
    <rPh sb="156" eb="159">
      <t>カイトウシャ</t>
    </rPh>
    <rPh sb="163" eb="167">
      <t>ヒョウカケッカ</t>
    </rPh>
    <rPh sb="168" eb="169">
      <t>モト</t>
    </rPh>
    <rPh sb="172" eb="174">
      <t>カイゼン</t>
    </rPh>
    <rPh sb="174" eb="176">
      <t>ジレイ</t>
    </rPh>
    <rPh sb="177" eb="179">
      <t>セツメイ</t>
    </rPh>
    <phoneticPr fontId="4"/>
  </si>
  <si>
    <t>Are best practices in other sites incorporated into the procedure for emergency?
緊急事態の対応手順について、他事業所の好事例を取り入れたり工夫をしているか?</t>
    <rPh sb="96" eb="99">
      <t>ジギョウショ</t>
    </rPh>
    <phoneticPr fontId="4"/>
  </si>
  <si>
    <r>
      <t>The respondent can show an example that the best practices in other sites are incorporated into the site procedure for emergency. or There is a evidence of the comparison with othe</t>
    </r>
    <r>
      <rPr>
        <sz val="8"/>
        <color theme="1"/>
        <rFont val="Meiryo UI"/>
        <family val="3"/>
        <charset val="128"/>
      </rPr>
      <t>r sites.</t>
    </r>
    <r>
      <rPr>
        <sz val="8"/>
        <rFont val="Meiryo UI"/>
        <family val="3"/>
        <charset val="128"/>
      </rPr>
      <t xml:space="preserve">
回答者は、緊急事態の対応手順について、他事業所の好事例を取り入れたり工夫した事例を説明できる。または、他事業所と比較した結果がある。</t>
    </r>
    <rPh sb="209" eb="212">
      <t>ジギョウショ</t>
    </rPh>
    <phoneticPr fontId="4"/>
  </si>
  <si>
    <t>Do you communicate improvements with your TMs to evaluate the effectiveness against unsafe conditions or near misses that TMs have reported?
気がかり・困り事であがった不具合情報の改善内容は、技能員本人へフィードバックしていますか？</t>
    <phoneticPr fontId="4"/>
  </si>
  <si>
    <t>The respondent can show an example of record that improvements against unsafe conditions or near misses TM reported are communicated. 
気がかり困り事で上がった不具合の処置内容を技能員が確認した記録がある。</t>
    <rPh sb="135" eb="136">
      <t>キ</t>
    </rPh>
    <rPh sb="139" eb="140">
      <t>コマ</t>
    </rPh>
    <rPh sb="141" eb="142">
      <t>ゴト</t>
    </rPh>
    <rPh sb="143" eb="144">
      <t>ア</t>
    </rPh>
    <rPh sb="147" eb="150">
      <t>フグアイ</t>
    </rPh>
    <rPh sb="151" eb="155">
      <t>ショチナイヨウ</t>
    </rPh>
    <rPh sb="156" eb="159">
      <t>ギノウイン</t>
    </rPh>
    <rPh sb="160" eb="162">
      <t>カクニン</t>
    </rPh>
    <rPh sb="164" eb="166">
      <t>キロク</t>
    </rPh>
    <phoneticPr fontId="4"/>
  </si>
  <si>
    <t>Have you gathered best practices on LOTO from other sites/industry, and considered to incorporate them into the site procedure?
他事業所/業界のLOTOに関する好事例を入手し、自拠点へ落とし込みを検討しているか？</t>
    <phoneticPr fontId="4"/>
  </si>
  <si>
    <t>Logistics Safety dept.
or site manager
物流安全機能部署
もしくは事業所長</t>
    <rPh sb="52" eb="56">
      <t>ジギョウショチョウ</t>
    </rPh>
    <phoneticPr fontId="4"/>
  </si>
  <si>
    <t>The respondent can show an example that the best practices on LOTO have been gathered from other  sites, and it has been incorporated into the site procedure. or There is a evidence of the comparison with other sites.
回答者は、他事業所のLOTOに関する好事例を入手し、自拠点へ落とし込みした事例を説明できる。または、他事業所と比較した結果がある。</t>
    <phoneticPr fontId="4"/>
  </si>
  <si>
    <t>Have you gathered best practices on safety rules(e.g. work standards) from other sites/industry, and considered to incorporate them into the site procedure?
他事業所/業界の安全ルールや作業標準等に関する好事例を入手し、自拠点へ落とし込みを検討していますか？</t>
    <phoneticPr fontId="4"/>
  </si>
  <si>
    <t>The respondent can show an example that the respondent can show an example that the best practices on Safety rules have been gathered from other sites/industry, and it has been incorporated into the site procedure. Or There is a evidence of the comparison with other sites.
回答者は、他事業所/業界の安全ルール（作業標準等）に関する好事例を入手し、自拠点へ落とし込みした事例を説明できる。または、他事業所と比較した結果がある。</t>
    <rPh sb="322" eb="324">
      <t>ジレイ</t>
    </rPh>
    <rPh sb="325" eb="327">
      <t>セツメイ</t>
    </rPh>
    <phoneticPr fontId="4"/>
  </si>
  <si>
    <t>Have you gathered best practices on safety rules(e.g. work standards) from other sites/industry, and considered to incorporate them into the site procedure?
他事業所/業界の高所作業に関する好事例を入手し、自拠点へ落とし込みを検討しているか？</t>
    <phoneticPr fontId="4"/>
  </si>
  <si>
    <t>The respondent can show an example that the best practices on Work at height have been gathered from other sites/industry, and it has been incorporated into the site procedure. or There is a evidence of the comparison with other plants.
回答者は、他事業所/業界の高所作業に関する好事例を入手し、自拠点へ落とし込みした事例を説明できる。または、他事業所と比較した結果がある。</t>
    <phoneticPr fontId="4"/>
  </si>
  <si>
    <t>Have you gathered best practices on mobile equipment from other sites/industry, and considered to incorporate them into the site procedure?
他事業所/業界の動力車に関する好事例を入手し、自拠点へ落とし込みを検討しているか？</t>
    <phoneticPr fontId="4"/>
  </si>
  <si>
    <t>The respondent can show an example that the best practices on mobile equipment have been gathered from other sites/industry, and it has been incorporated into the site procedure. or There is a evidence of the comparison with other plants.
回答者は、他事業所/業界の動力車に関する好事例を入手し、自拠点へ落とし込みした事例を説明できる。または、他事業所と比較した結果がある。</t>
    <phoneticPr fontId="4"/>
  </si>
  <si>
    <t>Have you gathered best practices on 3S from other sites/industry, and considered to incorporate them into the site procedure?
他事業所/業界の3Sに関する好事例を入手し、自拠点へ落とし込みを検討していますか？</t>
    <phoneticPr fontId="4"/>
  </si>
  <si>
    <t>The respondent can show an example that the best practices on 3S have been gathered from other sites/industry, and it has been incorporated into the site procedure. or There is a evidence of the comparison with other sites.
回答者は、他事業所/業界の3Sに関する好事例を入手し、自拠点へ落とし込みした事例を説明できる。または、他事業所と比較した結果がある。</t>
    <phoneticPr fontId="4"/>
  </si>
  <si>
    <t>Have you gathered best practices on　crane and hoist from other sites/external companies, and considered to incorporate them into the site procedure?
他事業所/他社からクレーン・ホイスト運用に関する好事例を入手し、自拠点へ落とし込みを検討していますか？</t>
    <phoneticPr fontId="4"/>
  </si>
  <si>
    <t>The respondent can show an example that the best practices on crane and hoist have been gathered from other sites/industry, and it has been incorporated into the site procedure. or There is a evidence of the comparison with other sites.
回答者は、他事業所/業界のクレーン・ホイスト運用に関する好事例を入手し、自拠点へ落とし込みした事例を説明できる。または、他事業所と比較した結果がある。</t>
    <rPh sb="237" eb="240">
      <t>カイトウシャ</t>
    </rPh>
    <phoneticPr fontId="4"/>
  </si>
  <si>
    <t>Have you gathered best practices and/or risks found in other sites during KY, and considered to incorporate them into site procedure?
他事業所のKYで見つかったリスクの内容や、改善の好事例を入手し、自拠点への落とし込みを検討していますか？</t>
    <phoneticPr fontId="4"/>
  </si>
  <si>
    <t>The respondent can show an example that the best practices and/or risks found in other sites during KY have been gathered, and it has been incorporated into the site procedure. or There is a evidence of the comparison with other ites.
他事業所のKYで見つかったリスクの内容、改善の好事例を入手し、自拠点へ落とし込みし事例を説明できる。または、他事業所と比較した結果がある。</t>
    <phoneticPr fontId="4"/>
  </si>
  <si>
    <t>Have you gathered best practices on tire inflation from other sites/industry, and considered to incorporate them into the site procedure?
他事業所/業界の空気充填に関する好事例を入手し、自拠点へ落とし込みを検討しているか？</t>
    <phoneticPr fontId="4"/>
  </si>
  <si>
    <t>The respondent can show an example that the best practices on tire inflation have been gathered from other sites/industry, and it has been incorporated into the site procedure. or There is a evidence of the comparison with other sites.
回答者は、他事業所/業界の空気充填作業に関する好事例を入手し、自拠点へ落とし込みしていた事例を説明できる。または、他事業所と比較した結果がある。</t>
    <phoneticPr fontId="4"/>
  </si>
  <si>
    <t>Have you gathered best practices on contractor management from other sites/external companies, and considered to incorporate them into the site procedure? (E.g. Daily JSA, using the external consultant for selecting contractors, etc.)
他事業所/他社から協力会社の安全管理に関する好事例(例:日々のRA、業者選定において社外コンサルを活用　等）を入手し、自拠点へ落とし込みを検討していますか？</t>
    <phoneticPr fontId="4"/>
  </si>
  <si>
    <t>The respondent can show an example that the best practices on contractor management have been gathered from other plants/industry, and it has been incorporated into the site procedure. or There is a evidence of the comparison with other sites.
回答者は、他事業所/業界の協力会社の安全管理に関する好事例を入手し、自拠点へ落とし込みした事例を説明できる。または、他事業所と比較した結果がある。</t>
    <rPh sb="244" eb="247">
      <t>カイトウシャ</t>
    </rPh>
    <rPh sb="289" eb="291">
      <t>ジレイ</t>
    </rPh>
    <rPh sb="292" eb="294">
      <t>セツメイ</t>
    </rPh>
    <phoneticPr fontId="4"/>
  </si>
  <si>
    <t>Are best industry practices and new advances in large tire manual handling equipment considered to modify or improve procedures on site?
大型タイヤハンドリング標準の改善や修正のため、業界のベストプラクティスや最新安全技術・装置の導入が検討されているか？</t>
    <phoneticPr fontId="4"/>
  </si>
  <si>
    <t>The respondent can show an example that the best practices on Large Tire Manual Handling Operations have been gathered from industry and have been incorporated into the site procedure. or There is a evidence of information exchange and the comparison with other sites.
回答者は、他事業所/業界の大型タイヤハンドリングに関する好事例を入手し、自拠点へ落とし込みした事例を説明できる。または、他事業所と情報交換や比較した結果がある。</t>
    <rPh sb="269" eb="272">
      <t>カイトウシャ</t>
    </rPh>
    <rPh sb="316" eb="318">
      <t>ジレイ</t>
    </rPh>
    <rPh sb="319" eb="321">
      <t>セツメイ</t>
    </rPh>
    <phoneticPr fontId="4"/>
  </si>
  <si>
    <t>Are best industry practices or new technology considered to mitigate the OH&amp;S and fire risks on site?
安全防災リスクを低減するため、業界のベストプラクティスや最新技術の採用が検討されているか？</t>
    <rPh sb="102" eb="106">
      <t>アンゼンボウサイ</t>
    </rPh>
    <rPh sb="117" eb="119">
      <t>ギョウカイ</t>
    </rPh>
    <rPh sb="130" eb="132">
      <t>サイシン</t>
    </rPh>
    <rPh sb="132" eb="134">
      <t>ギジュツ</t>
    </rPh>
    <rPh sb="135" eb="137">
      <t>サイヨウ</t>
    </rPh>
    <phoneticPr fontId="4"/>
  </si>
  <si>
    <t>The respondent can show an example that the best practices  or new technology have been gathered from industry and have been incorporated to mitigate the OH&amp;S and Fire risks on site. Or there is a evidence of information exchange and the comparison with other sites.
回答者は、安全防災リスク低減のため、他事業所/業界の好事例や新技術情報を入手し、自拠点へ落とし込みした事例を説明できる。または、他事業所と情報交換や比較した結果がある。</t>
    <rPh sb="272" eb="276">
      <t>アンゼンボウサイ</t>
    </rPh>
    <rPh sb="279" eb="281">
      <t>テイゲン</t>
    </rPh>
    <rPh sb="297" eb="300">
      <t>シンギジュツ</t>
    </rPh>
    <rPh sb="300" eb="302">
      <t>ジョウホウ</t>
    </rPh>
    <phoneticPr fontId="4"/>
  </si>
  <si>
    <r>
      <t>Are industry best practices being considered when determining the countermeasures against incidents</t>
    </r>
    <r>
      <rPr>
        <sz val="8"/>
        <color rgb="FF0000FF"/>
        <rFont val="Meiryo UI"/>
        <family val="3"/>
        <charset val="128"/>
      </rPr>
      <t>*</t>
    </r>
    <r>
      <rPr>
        <sz val="8"/>
        <rFont val="Meiryo UI"/>
        <family val="3"/>
        <charset val="128"/>
      </rPr>
      <t>?
災害やヒヤリが発生した重災ポテンシャルのあるリスクに対して、最新技術の適用可否を定期的に検討していますか？</t>
    </r>
    <phoneticPr fontId="4"/>
  </si>
  <si>
    <t>The respondent can show an example that the best practices have been gathered from other sites/industry, and it has been incorporated into the contermeasures. or There is a evidence of the comparison with other sites.
回答者は、他事業所/業界の協力会社の好事例を入手し、自拠点の再発防止策に落とし込みした事例を説明できる。または、他事業所と比較した結果がある。</t>
    <rPh sb="218" eb="221">
      <t>カイトウシャ</t>
    </rPh>
    <rPh sb="248" eb="253">
      <t>サイハツボウシサク</t>
    </rPh>
    <rPh sb="261" eb="263">
      <t>ジレイ</t>
    </rPh>
    <rPh sb="264" eb="266">
      <t>セツメイ</t>
    </rPh>
    <phoneticPr fontId="4"/>
  </si>
  <si>
    <t>*ベストプラクティスには、他事業所や他社から入手した好事例が含まれる。但し、既に標準化/規格化/要領化された内容を除く。（例：国際規格やSBU規格に規定されている設備対策・類災対策）</t>
    <rPh sb="14" eb="17">
      <t>ジギョウショ</t>
    </rPh>
    <phoneticPr fontId="4"/>
  </si>
  <si>
    <t>*"Safety rules" includes not only Bridgestone safety rules, but also procedures in sites and working standards.</t>
    <phoneticPr fontId="4"/>
  </si>
  <si>
    <t>*”安全ルール”には、ブリヂストン共通安全ルールだけでなく、自職場や事業所の標準も含まれる。</t>
    <phoneticPr fontId="4"/>
  </si>
  <si>
    <t>*Incidents: Occupational injuries, illnesses/diseases, Fire accidents or Near Misses / Hidden Dangers (NM/HD)　災害： 労働災害、業務上疾病、発火発煙トラブル、安全ヒヤリ</t>
    <rPh sb="110" eb="112">
      <t>サイガイ</t>
    </rPh>
    <rPh sb="114" eb="118">
      <t>ロウドウサイガイ</t>
    </rPh>
    <rPh sb="119" eb="124">
      <t>ギョウムジョウシッペイ</t>
    </rPh>
    <rPh sb="125" eb="127">
      <t>ハッカ</t>
    </rPh>
    <rPh sb="127" eb="129">
      <t>ハツエン</t>
    </rPh>
    <rPh sb="134" eb="136">
      <t>アンゼン</t>
    </rPh>
    <phoneticPr fontId="4"/>
  </si>
  <si>
    <r>
      <t xml:space="preserve">G-SMS Maturity Assessment / </t>
    </r>
    <r>
      <rPr>
        <b/>
        <sz val="18"/>
        <color theme="1"/>
        <rFont val="游ゴシック"/>
        <family val="2"/>
      </rPr>
      <t>安全成熟度</t>
    </r>
  </si>
  <si>
    <t>Site:</t>
  </si>
  <si>
    <t>Date:</t>
  </si>
  <si>
    <r>
      <t>Assessor/</t>
    </r>
    <r>
      <rPr>
        <b/>
        <sz val="12"/>
        <color theme="1"/>
        <rFont val="游ゴシック"/>
        <family val="2"/>
      </rPr>
      <t>評価者</t>
    </r>
    <r>
      <rPr>
        <b/>
        <sz val="12"/>
        <color theme="1"/>
        <rFont val="BridgestoneType"/>
        <family val="2"/>
      </rPr>
      <t>:</t>
    </r>
  </si>
  <si>
    <r>
      <t>Assessment type/</t>
    </r>
    <r>
      <rPr>
        <b/>
        <sz val="12"/>
        <color theme="1"/>
        <rFont val="游ゴシック"/>
        <family val="2"/>
      </rPr>
      <t>評価種類</t>
    </r>
    <r>
      <rPr>
        <b/>
        <sz val="12"/>
        <color theme="1"/>
        <rFont val="BridgestoneType"/>
        <family val="2"/>
      </rPr>
      <t>:</t>
    </r>
  </si>
  <si>
    <r>
      <t xml:space="preserve">Validation assessment </t>
    </r>
    <r>
      <rPr>
        <b/>
        <sz val="12"/>
        <color theme="1"/>
        <rFont val="游ゴシック"/>
        <family val="2"/>
      </rPr>
      <t>妥当性評価</t>
    </r>
  </si>
  <si>
    <r>
      <t>Summary Result of Safety Maturity Assessment</t>
    </r>
    <r>
      <rPr>
        <b/>
        <sz val="14"/>
        <color theme="1"/>
        <rFont val="游ゴシック"/>
        <family val="2"/>
      </rPr>
      <t>　安全成熟度評価結果　サマリー</t>
    </r>
  </si>
  <si>
    <t>Maturity Levels</t>
  </si>
  <si>
    <r>
      <t xml:space="preserve">Safety Maturity Outcome / </t>
    </r>
    <r>
      <rPr>
        <b/>
        <sz val="14"/>
        <color theme="1"/>
        <rFont val="游ゴシック"/>
        <family val="2"/>
      </rPr>
      <t>安全成熟度　結果</t>
    </r>
  </si>
  <si>
    <r>
      <t>Safety Awareness</t>
    </r>
    <r>
      <rPr>
        <b/>
        <sz val="14"/>
        <color theme="1"/>
        <rFont val="游ゴシック"/>
        <family val="2"/>
      </rPr>
      <t>　ﾘｰﾀﾞｰ</t>
    </r>
    <r>
      <rPr>
        <b/>
        <sz val="14"/>
        <color theme="1"/>
        <rFont val="BridgestoneType"/>
        <family val="2"/>
      </rPr>
      <t>/</t>
    </r>
    <r>
      <rPr>
        <b/>
        <sz val="14"/>
        <color theme="1"/>
        <rFont val="游ゴシック"/>
        <family val="2"/>
      </rPr>
      <t>一人ひとりの安全意識</t>
    </r>
  </si>
  <si>
    <r>
      <t>System Implementation</t>
    </r>
    <r>
      <rPr>
        <b/>
        <sz val="14"/>
        <color theme="1"/>
        <rFont val="游ゴシック"/>
        <family val="2"/>
      </rPr>
      <t>　安全ﾏﾈｼﾞﾒﾝﾄｼｽﾃﾑの運用度</t>
    </r>
  </si>
  <si>
    <r>
      <t>Leadership</t>
    </r>
    <r>
      <rPr>
        <b/>
        <sz val="14"/>
        <color theme="1"/>
        <rFont val="游ゴシック"/>
        <family val="2"/>
      </rPr>
      <t>　ﾘｰﾀﾞｰｼｯﾌﾟ</t>
    </r>
  </si>
  <si>
    <r>
      <t xml:space="preserve">Teammate Engagement </t>
    </r>
    <r>
      <rPr>
        <b/>
        <sz val="12"/>
        <color theme="1"/>
        <rFont val="游ゴシック"/>
        <family val="2"/>
      </rPr>
      <t>一人ひとり</t>
    </r>
  </si>
  <si>
    <r>
      <t xml:space="preserve">Organization </t>
    </r>
    <r>
      <rPr>
        <b/>
        <sz val="14"/>
        <color theme="1"/>
        <rFont val="游ゴシック"/>
        <family val="2"/>
      </rPr>
      <t>組織</t>
    </r>
  </si>
  <si>
    <r>
      <t xml:space="preserve">System </t>
    </r>
    <r>
      <rPr>
        <b/>
        <sz val="14"/>
        <color theme="1"/>
        <rFont val="游ゴシック"/>
        <family val="2"/>
      </rPr>
      <t>システム</t>
    </r>
  </si>
  <si>
    <t>Leadership Elements</t>
  </si>
  <si>
    <t>Teammate Engagement Elements</t>
  </si>
  <si>
    <t>Organization Elements</t>
  </si>
  <si>
    <t>System Elements</t>
    <phoneticPr fontId="4"/>
  </si>
  <si>
    <r>
      <t xml:space="preserve">Prioritization
</t>
    </r>
    <r>
      <rPr>
        <b/>
        <sz val="14"/>
        <color theme="1"/>
        <rFont val="游ゴシック"/>
        <family val="2"/>
      </rPr>
      <t>優先付け</t>
    </r>
    <phoneticPr fontId="4"/>
  </si>
  <si>
    <r>
      <t xml:space="preserve">Action
</t>
    </r>
    <r>
      <rPr>
        <b/>
        <sz val="14"/>
        <color theme="1"/>
        <rFont val="游ゴシック"/>
        <family val="2"/>
      </rPr>
      <t>行動</t>
    </r>
    <phoneticPr fontId="4"/>
  </si>
  <si>
    <r>
      <t xml:space="preserve">Participation
</t>
    </r>
    <r>
      <rPr>
        <b/>
        <sz val="14"/>
        <color theme="1"/>
        <rFont val="游ゴシック"/>
        <family val="2"/>
      </rPr>
      <t>参画</t>
    </r>
    <phoneticPr fontId="4"/>
  </si>
  <si>
    <r>
      <t xml:space="preserve">Design
</t>
    </r>
    <r>
      <rPr>
        <b/>
        <sz val="14"/>
        <color theme="1"/>
        <rFont val="游ゴシック"/>
        <family val="2"/>
      </rPr>
      <t>設計</t>
    </r>
    <phoneticPr fontId="4"/>
  </si>
  <si>
    <r>
      <t xml:space="preserve">Decisions
</t>
    </r>
    <r>
      <rPr>
        <b/>
        <sz val="14"/>
        <color theme="1"/>
        <rFont val="游ゴシック"/>
        <family val="2"/>
      </rPr>
      <t>意思決定</t>
    </r>
    <phoneticPr fontId="4"/>
  </si>
  <si>
    <r>
      <t xml:space="preserve">Capability
</t>
    </r>
    <r>
      <rPr>
        <b/>
        <sz val="14"/>
        <color theme="1"/>
        <rFont val="游ゴシック"/>
        <family val="2"/>
      </rPr>
      <t>能力</t>
    </r>
    <phoneticPr fontId="4"/>
  </si>
  <si>
    <r>
      <t xml:space="preserve">Information
</t>
    </r>
    <r>
      <rPr>
        <b/>
        <sz val="14"/>
        <color theme="1"/>
        <rFont val="游ゴシック"/>
        <family val="2"/>
      </rPr>
      <t>情報</t>
    </r>
    <phoneticPr fontId="4"/>
  </si>
  <si>
    <r>
      <t xml:space="preserve">Integration
</t>
    </r>
    <r>
      <rPr>
        <b/>
        <sz val="14"/>
        <color theme="1"/>
        <rFont val="Meiryo UI"/>
        <family val="2"/>
        <charset val="128"/>
      </rPr>
      <t>関連付け</t>
    </r>
    <phoneticPr fontId="4"/>
  </si>
  <si>
    <r>
      <t xml:space="preserve">Support
</t>
    </r>
    <r>
      <rPr>
        <b/>
        <sz val="14"/>
        <color theme="1"/>
        <rFont val="游ゴシック"/>
        <family val="2"/>
      </rPr>
      <t>支援</t>
    </r>
    <phoneticPr fontId="4"/>
  </si>
  <si>
    <r>
      <t xml:space="preserve">Knowledge
</t>
    </r>
    <r>
      <rPr>
        <b/>
        <sz val="14"/>
        <color theme="1"/>
        <rFont val="游ゴシック"/>
        <family val="2"/>
      </rPr>
      <t>知識</t>
    </r>
    <phoneticPr fontId="4"/>
  </si>
  <si>
    <r>
      <t xml:space="preserve">Communication
</t>
    </r>
    <r>
      <rPr>
        <b/>
        <sz val="14"/>
        <color theme="1"/>
        <rFont val="ＭＳ Ｐゴシック"/>
        <family val="2"/>
        <charset val="128"/>
      </rPr>
      <t>コミュニケーション</t>
    </r>
    <phoneticPr fontId="4"/>
  </si>
  <si>
    <r>
      <t xml:space="preserve">Change &amp; emergency planning
</t>
    </r>
    <r>
      <rPr>
        <b/>
        <sz val="12"/>
        <color theme="1"/>
        <rFont val="Meiryo UI"/>
        <family val="2"/>
        <charset val="128"/>
      </rPr>
      <t>変更管理</t>
    </r>
    <r>
      <rPr>
        <b/>
        <sz val="12"/>
        <color theme="1"/>
        <rFont val="BridgestoneType"/>
        <family val="2"/>
      </rPr>
      <t xml:space="preserve"> &amp; </t>
    </r>
    <r>
      <rPr>
        <b/>
        <sz val="12"/>
        <color theme="1"/>
        <rFont val="Meiryo UI"/>
        <family val="2"/>
        <charset val="128"/>
      </rPr>
      <t>緊急事態準備</t>
    </r>
    <phoneticPr fontId="4"/>
  </si>
  <si>
    <r>
      <t>Output Visualization</t>
    </r>
    <r>
      <rPr>
        <b/>
        <sz val="14"/>
        <color theme="1"/>
        <rFont val="游ゴシック"/>
        <family val="2"/>
      </rPr>
      <t>　成熟度の見える化</t>
    </r>
  </si>
  <si>
    <r>
      <t>Output Visualization</t>
    </r>
    <r>
      <rPr>
        <b/>
        <sz val="14"/>
        <color theme="1"/>
        <rFont val="游ゴシック"/>
        <family val="2"/>
      </rPr>
      <t>　安全成熟度</t>
    </r>
  </si>
  <si>
    <r>
      <t>Individual Process Results</t>
    </r>
    <r>
      <rPr>
        <b/>
        <sz val="14"/>
        <color theme="1"/>
        <rFont val="游ゴシック"/>
        <family val="2"/>
      </rPr>
      <t>　規格の順守状況</t>
    </r>
    <phoneticPr fontId="4"/>
  </si>
  <si>
    <t>4 Pillars</t>
  </si>
  <si>
    <t>Maturity level</t>
  </si>
  <si>
    <r>
      <t>Strength</t>
    </r>
    <r>
      <rPr>
        <b/>
        <sz val="12"/>
        <color rgb="FF000000"/>
        <rFont val="Calibri"/>
        <family val="2"/>
      </rPr>
      <t>　長所</t>
    </r>
  </si>
  <si>
    <r>
      <t xml:space="preserve">Opportunity for Improvement </t>
    </r>
    <r>
      <rPr>
        <b/>
        <sz val="12"/>
        <color rgb="FF000000"/>
        <rFont val="Calibri"/>
        <family val="2"/>
      </rPr>
      <t>改善機会</t>
    </r>
  </si>
  <si>
    <r>
      <t>Action items</t>
    </r>
    <r>
      <rPr>
        <b/>
        <sz val="12"/>
        <color rgb="FF000000"/>
        <rFont val="Calibri"/>
        <family val="2"/>
      </rPr>
      <t>　実施事項</t>
    </r>
  </si>
  <si>
    <r>
      <t xml:space="preserve">Due date </t>
    </r>
    <r>
      <rPr>
        <b/>
        <sz val="12"/>
        <color rgb="FF000000"/>
        <rFont val="Calibri"/>
        <family val="2"/>
      </rPr>
      <t>納期</t>
    </r>
  </si>
  <si>
    <r>
      <t xml:space="preserve">Leadership
</t>
    </r>
    <r>
      <rPr>
        <b/>
        <i/>
        <sz val="14"/>
        <color rgb="FF000000"/>
        <rFont val="ＭＳ Ｐゴシック"/>
        <family val="2"/>
        <charset val="128"/>
      </rPr>
      <t>リーダーシップ</t>
    </r>
    <phoneticPr fontId="4"/>
  </si>
  <si>
    <r>
      <t xml:space="preserve">Teammate Engagement
</t>
    </r>
    <r>
      <rPr>
        <b/>
        <i/>
        <sz val="14"/>
        <color rgb="FF000000"/>
        <rFont val="ＭＳ Ｐゴシック"/>
        <family val="2"/>
        <charset val="128"/>
      </rPr>
      <t>一人ひとり</t>
    </r>
    <phoneticPr fontId="4"/>
  </si>
  <si>
    <r>
      <t xml:space="preserve">Organization
</t>
    </r>
    <r>
      <rPr>
        <b/>
        <i/>
        <sz val="14"/>
        <color rgb="FF000000"/>
        <rFont val="ＭＳ Ｐゴシック"/>
        <family val="3"/>
        <charset val="128"/>
      </rPr>
      <t>組織</t>
    </r>
    <phoneticPr fontId="4"/>
  </si>
  <si>
    <r>
      <t xml:space="preserve">System
</t>
    </r>
    <r>
      <rPr>
        <b/>
        <i/>
        <sz val="14"/>
        <color rgb="FF000000"/>
        <rFont val="ＭＳ Ｐゴシック"/>
        <family val="2"/>
        <charset val="128"/>
      </rPr>
      <t>システム</t>
    </r>
    <phoneticPr fontId="4"/>
  </si>
  <si>
    <t>Checklist options</t>
  </si>
  <si>
    <t>Assessment types</t>
  </si>
  <si>
    <t>Yes</t>
  </si>
  <si>
    <t>Self-assessment セルフアセスメント</t>
  </si>
  <si>
    <t>No</t>
  </si>
  <si>
    <t>Validation assessment 妥当性評価</t>
  </si>
  <si>
    <t>Maturity levels</t>
  </si>
  <si>
    <t>Excellence</t>
  </si>
  <si>
    <t>Standardised</t>
  </si>
  <si>
    <t>Passive</t>
  </si>
  <si>
    <t>Ad-hoc</t>
    <phoneticPr fontId="4"/>
  </si>
  <si>
    <t>Reactive</t>
    <phoneticPr fontId="4"/>
  </si>
  <si>
    <t>Proactive</t>
    <phoneticPr fontId="4"/>
  </si>
  <si>
    <t>Excellent</t>
    <phoneticPr fontId="4"/>
  </si>
  <si>
    <t>Total</t>
    <phoneticPr fontId="4"/>
  </si>
  <si>
    <t>filled out</t>
    <phoneticPr fontId="4"/>
  </si>
  <si>
    <t>Score</t>
    <phoneticPr fontId="4"/>
  </si>
  <si>
    <t>Yes</t>
    <phoneticPr fontId="4"/>
  </si>
  <si>
    <t>Other</t>
    <phoneticPr fontId="4"/>
  </si>
  <si>
    <t>questions</t>
    <phoneticPr fontId="4"/>
  </si>
  <si>
    <t>&lt;System&gt;</t>
    <phoneticPr fontId="4"/>
  </si>
  <si>
    <t>Design</t>
  </si>
  <si>
    <t>Integration</t>
  </si>
  <si>
    <t>Change &amp; Emergency</t>
  </si>
  <si>
    <t>&lt;Organization&gt;</t>
    <phoneticPr fontId="4"/>
  </si>
  <si>
    <t>Participation</t>
  </si>
  <si>
    <t>Information</t>
  </si>
  <si>
    <t>Communication</t>
  </si>
  <si>
    <t>&lt;TM engagement&gt;</t>
    <phoneticPr fontId="4"/>
  </si>
  <si>
    <t>Action</t>
  </si>
  <si>
    <t>Capability</t>
  </si>
  <si>
    <t>Knowledge</t>
  </si>
  <si>
    <t>&lt;Leadership&gt;</t>
    <phoneticPr fontId="4"/>
  </si>
  <si>
    <t>Prioritization</t>
  </si>
  <si>
    <t>Decision</t>
  </si>
  <si>
    <t>Support</t>
  </si>
  <si>
    <t>N/A</t>
    <phoneticPr fontId="4"/>
  </si>
  <si>
    <t>Not rolled out yet</t>
    <phoneticPr fontId="4"/>
  </si>
  <si>
    <t>Total number of Question</t>
    <phoneticPr fontId="4"/>
  </si>
  <si>
    <t>fullfill</t>
    <phoneticPr fontId="4"/>
  </si>
  <si>
    <t>Training and Education</t>
  </si>
  <si>
    <t>Emergency Planning</t>
  </si>
  <si>
    <t>LOTO Standard</t>
  </si>
  <si>
    <t>Safety Rules</t>
  </si>
  <si>
    <t>Work at Height</t>
  </si>
  <si>
    <t>Mobile Equipment</t>
  </si>
  <si>
    <t>3S</t>
    <phoneticPr fontId="4"/>
  </si>
  <si>
    <t>Crane and Hoist</t>
  </si>
  <si>
    <t>Crane and Hoist
クレーン・ホイスト</t>
  </si>
  <si>
    <t xml:space="preserve">KY </t>
  </si>
  <si>
    <t>Tire Inflation Operation</t>
  </si>
  <si>
    <t>Contractor management</t>
    <phoneticPr fontId="4"/>
  </si>
  <si>
    <t>Large Tire Manual Handling</t>
    <phoneticPr fontId="4"/>
  </si>
  <si>
    <t>Risk Assessment</t>
  </si>
  <si>
    <t>Integrated risk assessment
リスクアセスメント</t>
  </si>
  <si>
    <t>Incidents management</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</si>
</sst>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51">
    <font>
      <sz val="11"/>
      <color theme="1"/>
      <name val="游ゴシック"/>
      <family val="2"/>
      <scheme val="minor"/>
    </font>
    <font>
      <b/>
      <sz val="11"/>
      <color theme="0"/>
      <name val="Arial"/>
      <family val="2"/>
    </font>
    <font>
      <b/>
      <sz val="11"/>
      <color theme="1"/>
      <name val="游ゴシック"/>
      <family val="2"/>
      <scheme val="minor"/>
    </font>
    <font>
      <sz val="11"/>
      <color theme="1"/>
      <name val="游ゴシック"/>
      <family val="2"/>
      <scheme val="minor"/>
    </font>
    <font>
      <sz val="6"/>
      <name val="游ゴシック"/>
      <family val="3"/>
      <charset val="128"/>
      <scheme val="minor"/>
    </font>
    <font>
      <b/>
      <sz val="11"/>
      <color theme="0"/>
      <name val="Meiryo UI"/>
      <family val="3"/>
      <charset val="128"/>
    </font>
    <font>
      <b/>
      <sz val="10"/>
      <color theme="1"/>
      <name val="Meiryo UI"/>
      <family val="3"/>
      <charset val="128"/>
    </font>
    <font>
      <sz val="8"/>
      <color theme="1"/>
      <name val="Meiryo UI"/>
      <family val="3"/>
      <charset val="128"/>
    </font>
    <font>
      <sz val="11"/>
      <color theme="1"/>
      <name val="Meiryo UI"/>
      <family val="3"/>
      <charset val="128"/>
    </font>
    <font>
      <b/>
      <sz val="10"/>
      <color theme="0"/>
      <name val="Meiryo UI"/>
      <family val="3"/>
      <charset val="128"/>
    </font>
    <font>
      <b/>
      <sz val="8"/>
      <color theme="1"/>
      <name val="Meiryo UI"/>
      <family val="3"/>
      <charset val="128"/>
    </font>
    <font>
      <b/>
      <sz val="10"/>
      <color rgb="FFFFFFFF"/>
      <name val="Meiryo UI"/>
      <family val="3"/>
      <charset val="128"/>
    </font>
    <font>
      <sz val="8"/>
      <name val="Meiryo UI"/>
      <family val="3"/>
      <charset val="128"/>
    </font>
    <font>
      <b/>
      <sz val="8"/>
      <color theme="0"/>
      <name val="Meiryo UI"/>
      <family val="3"/>
      <charset val="128"/>
    </font>
    <font>
      <b/>
      <sz val="8"/>
      <color rgb="FFFFFFFF"/>
      <name val="Meiryo UI"/>
      <family val="3"/>
      <charset val="128"/>
    </font>
    <font>
      <strike/>
      <sz val="8"/>
      <name val="Meiryo UI"/>
      <family val="3"/>
      <charset val="128"/>
    </font>
    <font>
      <sz val="8"/>
      <color rgb="FFFF0000"/>
      <name val="Meiryo UI"/>
      <family val="3"/>
      <charset val="128"/>
    </font>
    <font>
      <b/>
      <sz val="8"/>
      <name val="Meiryo UI"/>
      <family val="3"/>
      <charset val="128"/>
    </font>
    <font>
      <sz val="11"/>
      <name val="游ゴシック"/>
      <family val="2"/>
      <scheme val="minor"/>
    </font>
    <font>
      <sz val="8"/>
      <color rgb="FF0000FF"/>
      <name val="Meiryo UI"/>
      <family val="3"/>
      <charset val="128"/>
    </font>
    <font>
      <b/>
      <sz val="6"/>
      <color theme="1"/>
      <name val="Meiryo UI"/>
      <family val="3"/>
      <charset val="128"/>
    </font>
    <font>
      <sz val="11"/>
      <name val="Meiryo UI"/>
      <family val="3"/>
      <charset val="128"/>
    </font>
    <font>
      <sz val="9"/>
      <color theme="1"/>
      <name val="Meiryo UI"/>
      <family val="3"/>
      <charset val="128"/>
    </font>
    <font>
      <b/>
      <sz val="9"/>
      <color theme="1"/>
      <name val="Meiryo UI"/>
      <family val="3"/>
      <charset val="128"/>
    </font>
    <font>
      <sz val="11"/>
      <color theme="1"/>
      <name val="BridgestoneType"/>
      <family val="2"/>
    </font>
    <font>
      <b/>
      <sz val="14"/>
      <color theme="1"/>
      <name val="BridgestoneType"/>
      <family val="2"/>
    </font>
    <font>
      <b/>
      <sz val="14"/>
      <color theme="1"/>
      <name val="游ゴシック"/>
      <family val="2"/>
    </font>
    <font>
      <sz val="12"/>
      <color theme="1"/>
      <name val="BridgestoneType"/>
      <family val="2"/>
    </font>
    <font>
      <b/>
      <sz val="11"/>
      <name val="BridgestoneType"/>
      <family val="2"/>
    </font>
    <font>
      <b/>
      <sz val="12"/>
      <color theme="1"/>
      <name val="BridgestoneType"/>
      <family val="2"/>
    </font>
    <font>
      <b/>
      <sz val="12"/>
      <color theme="1"/>
      <name val="游ゴシック"/>
      <family val="2"/>
    </font>
    <font>
      <sz val="9"/>
      <color rgb="FF000000"/>
      <name val="BridgestoneType"/>
      <family val="2"/>
    </font>
    <font>
      <b/>
      <sz val="12"/>
      <color theme="0"/>
      <name val="BridgestoneType"/>
      <family val="2"/>
    </font>
    <font>
      <b/>
      <sz val="18"/>
      <color theme="1"/>
      <name val="BridgestoneType"/>
      <family val="2"/>
    </font>
    <font>
      <b/>
      <sz val="18"/>
      <color theme="1"/>
      <name val="游ゴシック"/>
      <family val="2"/>
    </font>
    <font>
      <b/>
      <sz val="12"/>
      <color rgb="FFFFFFFF"/>
      <name val="BridgestoneType"/>
      <family val="2"/>
    </font>
    <font>
      <sz val="16"/>
      <color theme="1"/>
      <name val="BridgestoneType"/>
      <family val="2"/>
    </font>
    <font>
      <b/>
      <sz val="16"/>
      <color theme="1"/>
      <name val="BridgestoneType"/>
      <family val="2"/>
    </font>
    <font>
      <b/>
      <sz val="14"/>
      <color theme="1"/>
      <name val="ＭＳ Ｐゴシック"/>
      <family val="2"/>
      <charset val="128"/>
    </font>
    <font>
      <b/>
      <i/>
      <sz val="14"/>
      <color rgb="FF000000"/>
      <name val="BridgestoneType"/>
      <family val="2"/>
    </font>
    <font>
      <b/>
      <i/>
      <sz val="14"/>
      <color rgb="FF000000"/>
      <name val="ＭＳ Ｐゴシック"/>
      <family val="2"/>
      <charset val="128"/>
    </font>
    <font>
      <b/>
      <i/>
      <sz val="14"/>
      <color rgb="FF000000"/>
      <name val="BridgestoneType"/>
      <family val="3"/>
    </font>
    <font>
      <b/>
      <i/>
      <sz val="14"/>
      <color rgb="FF000000"/>
      <name val="ＭＳ Ｐゴシック"/>
      <family val="3"/>
      <charset val="128"/>
    </font>
    <font>
      <sz val="9"/>
      <name val="Meiryo UI"/>
      <family val="3"/>
      <charset val="128"/>
    </font>
    <font>
      <b/>
      <sz val="14"/>
      <color theme="1"/>
      <name val="Meiryo UI"/>
      <family val="2"/>
      <charset val="128"/>
    </font>
    <font>
      <b/>
      <sz val="12"/>
      <color theme="1"/>
      <name val="Meiryo UI"/>
      <family val="2"/>
      <charset val="128"/>
    </font>
    <font>
      <u/>
      <sz val="8"/>
      <color rgb="FF0000FF"/>
      <name val="Meiryo UI"/>
      <family val="3"/>
      <charset val="128"/>
    </font>
    <font>
      <b/>
      <sz val="18"/>
      <color rgb="FF000000"/>
      <name val="BridgestoneType"/>
      <family val="2"/>
    </font>
    <font>
      <b/>
      <sz val="12"/>
      <color rgb="FF000000"/>
      <name val="BridgestoneType"/>
      <family val="2"/>
    </font>
    <font>
      <b/>
      <sz val="12"/>
      <color rgb="FF000000"/>
      <name val="Calibri"/>
      <family val="2"/>
    </font>
    <font>
      <u/>
      <sz val="8"/>
      <name val="Meiryo UI"/>
      <family val="3"/>
      <charset val="128"/>
    </font>
  </fonts>
  <fills count="14">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C00000"/>
        <bgColor indexed="64"/>
      </patternFill>
    </fill>
    <fill>
      <patternFill patternType="solid">
        <fgColor rgb="FFFBD4B4"/>
        <bgColor indexed="64"/>
      </patternFill>
    </fill>
    <fill>
      <patternFill patternType="solid">
        <fgColor rgb="FFFFE699"/>
        <bgColor indexed="64"/>
      </patternFill>
    </fill>
    <fill>
      <patternFill patternType="solid">
        <fgColor rgb="FFD6E3BC"/>
        <bgColor indexed="64"/>
      </patternFill>
    </fill>
    <fill>
      <patternFill patternType="solid">
        <fgColor rgb="FF00B050"/>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F2F2F2"/>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bottom/>
      <diagonal/>
    </border>
    <border>
      <left/>
      <right style="medium">
        <color indexed="64"/>
      </right>
      <top style="medium">
        <color indexed="64"/>
      </top>
      <bottom/>
      <diagonal/>
    </border>
    <border>
      <left/>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bottom/>
      <diagonal/>
    </border>
    <border>
      <left/>
      <right/>
      <top/>
      <bottom style="thin">
        <color indexed="64"/>
      </bottom>
      <diagonal/>
    </border>
    <border>
      <left/>
      <right/>
      <top style="thin">
        <color indexed="64"/>
      </top>
      <bottom/>
      <diagonal/>
    </border>
    <border>
      <left/>
      <right/>
      <top style="medium">
        <color indexed="64"/>
      </top>
      <bottom style="thin">
        <color indexed="64"/>
      </bottom>
      <diagonal/>
    </border>
    <border>
      <left/>
      <right/>
      <top style="thin">
        <color indexed="64"/>
      </top>
      <bottom style="medium">
        <color indexed="64"/>
      </bottom>
      <diagonal/>
    </border>
    <border>
      <left style="hair">
        <color indexed="64"/>
      </left>
      <right style="hair">
        <color indexed="64"/>
      </right>
      <top style="medium">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style="medium">
        <color indexed="64"/>
      </bottom>
      <diagonal/>
    </border>
    <border>
      <left style="hair">
        <color indexed="64"/>
      </left>
      <right style="hair">
        <color indexed="64"/>
      </right>
      <top/>
      <bottom style="thin">
        <color indexed="64"/>
      </bottom>
      <diagonal/>
    </border>
    <border>
      <left style="hair">
        <color indexed="64"/>
      </left>
      <right style="hair">
        <color indexed="64"/>
      </right>
      <top/>
      <bottom style="medium">
        <color indexed="64"/>
      </bottom>
      <diagonal/>
    </border>
    <border>
      <left style="hair">
        <color indexed="64"/>
      </left>
      <right style="hair">
        <color indexed="64"/>
      </right>
      <top style="thin">
        <color indexed="64"/>
      </top>
      <bottom/>
      <diagonal/>
    </border>
    <border>
      <left style="medium">
        <color indexed="64"/>
      </left>
      <right/>
      <top style="medium">
        <color indexed="64"/>
      </top>
      <bottom style="thin">
        <color indexed="64"/>
      </bottom>
      <diagonal/>
    </border>
    <border>
      <left style="hair">
        <color indexed="64"/>
      </left>
      <right style="hair">
        <color indexed="64"/>
      </right>
      <top/>
      <bottom/>
      <diagonal/>
    </border>
    <border>
      <left style="thin">
        <color indexed="64"/>
      </left>
      <right style="medium">
        <color indexed="64"/>
      </right>
      <top style="thin">
        <color indexed="64"/>
      </top>
      <bottom/>
      <diagonal/>
    </border>
  </borders>
  <cellStyleXfs count="2">
    <xf numFmtId="0" fontId="0" fillId="0" borderId="0"/>
    <xf numFmtId="43" fontId="3" fillId="0" borderId="0" applyFont="0" applyFill="0" applyBorder="0" applyAlignment="0" applyProtection="0"/>
  </cellStyleXfs>
  <cellXfs count="408">
    <xf numFmtId="0" fontId="0" fillId="0" borderId="0" xfId="0"/>
    <xf numFmtId="0" fontId="2" fillId="0" borderId="0" xfId="0" applyFont="1"/>
    <xf numFmtId="0" fontId="5" fillId="2" borderId="15" xfId="0" applyFont="1" applyFill="1" applyBorder="1" applyAlignment="1">
      <alignment horizontal="center" vertical="center" wrapText="1"/>
    </xf>
    <xf numFmtId="0" fontId="6" fillId="3" borderId="0" xfId="0" applyFont="1" applyFill="1" applyAlignment="1">
      <alignment vertical="center"/>
    </xf>
    <xf numFmtId="0" fontId="8" fillId="9" borderId="7" xfId="0" applyFont="1" applyFill="1" applyBorder="1" applyAlignment="1">
      <alignment vertical="center"/>
    </xf>
    <xf numFmtId="0" fontId="8" fillId="3" borderId="0" xfId="0" applyFont="1" applyFill="1" applyAlignment="1">
      <alignment vertical="center"/>
    </xf>
    <xf numFmtId="0" fontId="8" fillId="0" borderId="0" xfId="0" applyFont="1" applyAlignment="1">
      <alignment vertical="center"/>
    </xf>
    <xf numFmtId="0" fontId="5" fillId="2" borderId="1" xfId="0" applyFont="1" applyFill="1" applyBorder="1" applyAlignment="1">
      <alignment horizontal="center" vertical="center" wrapText="1"/>
    </xf>
    <xf numFmtId="0" fontId="5" fillId="2" borderId="37" xfId="0" applyFont="1" applyFill="1" applyBorder="1" applyAlignment="1">
      <alignment horizontal="center" vertical="center" wrapText="1"/>
    </xf>
    <xf numFmtId="0" fontId="5" fillId="2" borderId="0" xfId="0" applyFont="1" applyFill="1" applyAlignment="1">
      <alignment horizontal="center" vertical="center" wrapText="1"/>
    </xf>
    <xf numFmtId="0" fontId="6" fillId="3" borderId="0" xfId="0" applyFont="1" applyFill="1" applyAlignment="1">
      <alignment vertical="center" wrapText="1"/>
    </xf>
    <xf numFmtId="0" fontId="7" fillId="0" borderId="2" xfId="0" applyFont="1" applyBorder="1" applyAlignment="1">
      <alignment horizontal="center" vertical="center"/>
    </xf>
    <xf numFmtId="0" fontId="7" fillId="0" borderId="6" xfId="0" applyFont="1" applyBorder="1" applyAlignment="1">
      <alignment horizontal="center" vertical="center" wrapText="1"/>
    </xf>
    <xf numFmtId="0" fontId="7" fillId="0" borderId="5" xfId="0" applyFont="1" applyBorder="1" applyAlignment="1">
      <alignment vertical="center" wrapText="1"/>
    </xf>
    <xf numFmtId="0" fontId="7" fillId="0" borderId="6" xfId="0" applyFont="1" applyBorder="1" applyAlignment="1">
      <alignment vertical="center" wrapText="1"/>
    </xf>
    <xf numFmtId="0" fontId="7" fillId="9" borderId="29" xfId="0" applyFont="1" applyFill="1" applyBorder="1" applyAlignment="1">
      <alignment horizontal="left" vertical="center"/>
    </xf>
    <xf numFmtId="0" fontId="10" fillId="9" borderId="4" xfId="0" applyFont="1" applyFill="1" applyBorder="1" applyAlignment="1">
      <alignment horizontal="center" vertical="center"/>
    </xf>
    <xf numFmtId="0" fontId="7" fillId="0" borderId="35" xfId="0" applyFont="1" applyBorder="1" applyAlignment="1">
      <alignment vertical="center" wrapText="1"/>
    </xf>
    <xf numFmtId="0" fontId="7" fillId="9" borderId="4" xfId="0" applyFont="1" applyFill="1" applyBorder="1" applyAlignment="1">
      <alignment horizontal="left" vertical="center"/>
    </xf>
    <xf numFmtId="0" fontId="10" fillId="9" borderId="47" xfId="0" applyFont="1" applyFill="1" applyBorder="1" applyAlignment="1">
      <alignment horizontal="center" vertical="center"/>
    </xf>
    <xf numFmtId="0" fontId="7" fillId="10" borderId="29" xfId="0" applyFont="1" applyFill="1" applyBorder="1" applyAlignment="1">
      <alignment horizontal="left" vertical="center"/>
    </xf>
    <xf numFmtId="0" fontId="7" fillId="10" borderId="7" xfId="0" applyFont="1" applyFill="1" applyBorder="1" applyAlignment="1">
      <alignment horizontal="center" vertical="center"/>
    </xf>
    <xf numFmtId="0" fontId="8" fillId="9" borderId="4" xfId="0" applyFont="1" applyFill="1" applyBorder="1" applyAlignment="1">
      <alignment vertical="center"/>
    </xf>
    <xf numFmtId="0" fontId="8" fillId="9" borderId="24" xfId="0" applyFont="1" applyFill="1" applyBorder="1" applyAlignment="1">
      <alignment vertical="center"/>
    </xf>
    <xf numFmtId="0" fontId="8" fillId="3" borderId="0" xfId="0" applyFont="1" applyFill="1" applyAlignment="1">
      <alignment horizontal="center" vertical="center"/>
    </xf>
    <xf numFmtId="0" fontId="8" fillId="0" borderId="0" xfId="0" applyFont="1" applyAlignment="1">
      <alignment vertical="center" wrapText="1"/>
    </xf>
    <xf numFmtId="0" fontId="6" fillId="0" borderId="0" xfId="0" applyFont="1" applyAlignment="1">
      <alignment vertical="center"/>
    </xf>
    <xf numFmtId="0" fontId="7" fillId="0" borderId="5" xfId="0" applyFont="1" applyBorder="1" applyAlignment="1">
      <alignment horizontal="center" vertical="center" wrapText="1"/>
    </xf>
    <xf numFmtId="0" fontId="7" fillId="0" borderId="35" xfId="0" applyFont="1" applyBorder="1" applyAlignment="1">
      <alignment horizontal="center" vertical="center" wrapText="1"/>
    </xf>
    <xf numFmtId="0" fontId="7" fillId="0" borderId="11" xfId="0" applyFont="1" applyBorder="1" applyAlignment="1">
      <alignment vertical="center" wrapText="1"/>
    </xf>
    <xf numFmtId="0" fontId="7" fillId="10" borderId="4" xfId="0" applyFont="1" applyFill="1" applyBorder="1" applyAlignment="1">
      <alignment horizontal="center" vertical="center"/>
    </xf>
    <xf numFmtId="0" fontId="7" fillId="10" borderId="7" xfId="0" applyFont="1" applyFill="1" applyBorder="1" applyAlignment="1">
      <alignment vertical="center"/>
    </xf>
    <xf numFmtId="0" fontId="7" fillId="10" borderId="4" xfId="0" applyFont="1" applyFill="1" applyBorder="1" applyAlignment="1">
      <alignment vertical="center"/>
    </xf>
    <xf numFmtId="0" fontId="7" fillId="10" borderId="13" xfId="0" applyFont="1" applyFill="1" applyBorder="1" applyAlignment="1">
      <alignment vertical="center"/>
    </xf>
    <xf numFmtId="0" fontId="10" fillId="10" borderId="47" xfId="0" applyFont="1" applyFill="1" applyBorder="1" applyAlignment="1">
      <alignment horizontal="center" vertical="center"/>
    </xf>
    <xf numFmtId="0" fontId="7" fillId="0" borderId="14" xfId="0" applyFont="1" applyBorder="1" applyAlignment="1">
      <alignment vertical="center" wrapText="1"/>
    </xf>
    <xf numFmtId="0" fontId="7" fillId="10" borderId="7" xfId="0" applyFont="1" applyFill="1" applyBorder="1" applyAlignment="1">
      <alignment horizontal="center" vertical="center" wrapText="1"/>
    </xf>
    <xf numFmtId="0" fontId="7" fillId="10" borderId="7" xfId="0" applyFont="1" applyFill="1" applyBorder="1" applyAlignment="1">
      <alignment horizontal="left" vertical="center" wrapText="1"/>
    </xf>
    <xf numFmtId="0" fontId="10" fillId="10" borderId="4" xfId="0" applyFont="1" applyFill="1" applyBorder="1" applyAlignment="1">
      <alignment horizontal="center" vertical="center"/>
    </xf>
    <xf numFmtId="0" fontId="7" fillId="3" borderId="0" xfId="0" applyFont="1" applyFill="1" applyAlignment="1">
      <alignment vertical="center"/>
    </xf>
    <xf numFmtId="0" fontId="8" fillId="3" borderId="0" xfId="0" applyFont="1" applyFill="1" applyAlignment="1">
      <alignment vertical="center" wrapText="1"/>
    </xf>
    <xf numFmtId="0" fontId="7" fillId="0" borderId="30" xfId="0" applyFont="1" applyBorder="1" applyAlignment="1">
      <alignment vertical="center" wrapText="1"/>
    </xf>
    <xf numFmtId="0" fontId="12" fillId="0" borderId="2" xfId="0" applyFont="1" applyBorder="1" applyAlignment="1">
      <alignment horizontal="center" vertical="center" wrapText="1"/>
    </xf>
    <xf numFmtId="0" fontId="7" fillId="0" borderId="9" xfId="0" applyFont="1" applyBorder="1" applyAlignment="1">
      <alignment horizontal="center" vertical="center"/>
    </xf>
    <xf numFmtId="0" fontId="12" fillId="0" borderId="3" xfId="0" applyFont="1" applyBorder="1" applyAlignment="1">
      <alignment horizontal="center" vertical="center" wrapText="1"/>
    </xf>
    <xf numFmtId="0" fontId="7" fillId="0" borderId="11" xfId="0" applyFont="1" applyBorder="1" applyAlignment="1">
      <alignment horizontal="center" vertical="center"/>
    </xf>
    <xf numFmtId="0" fontId="12" fillId="10" borderId="4" xfId="0" applyFont="1" applyFill="1" applyBorder="1" applyAlignment="1">
      <alignment horizontal="left" vertical="center" wrapText="1"/>
    </xf>
    <xf numFmtId="0" fontId="7" fillId="0" borderId="14" xfId="0" applyFont="1" applyBorder="1" applyAlignment="1">
      <alignment horizontal="center" vertical="center"/>
    </xf>
    <xf numFmtId="0" fontId="7" fillId="0" borderId="34" xfId="0" applyFont="1" applyBorder="1" applyAlignment="1">
      <alignment horizontal="center" vertical="center" wrapText="1"/>
    </xf>
    <xf numFmtId="0" fontId="12" fillId="0" borderId="3" xfId="0" applyFont="1" applyBorder="1" applyAlignment="1">
      <alignment vertical="center" wrapText="1"/>
    </xf>
    <xf numFmtId="0" fontId="7" fillId="0" borderId="2" xfId="0" applyFont="1" applyBorder="1" applyAlignment="1">
      <alignment horizontal="center" vertical="center" wrapText="1"/>
    </xf>
    <xf numFmtId="0" fontId="7" fillId="0" borderId="34" xfId="0" applyFont="1" applyBorder="1" applyAlignment="1">
      <alignment horizontal="center" vertical="center"/>
    </xf>
    <xf numFmtId="0" fontId="12" fillId="0" borderId="5" xfId="0" applyFont="1" applyBorder="1" applyAlignment="1">
      <alignment horizontal="left" vertical="center" wrapText="1"/>
    </xf>
    <xf numFmtId="0" fontId="12" fillId="0" borderId="6" xfId="0" applyFont="1" applyBorder="1" applyAlignment="1">
      <alignment horizontal="left" vertical="center" wrapText="1"/>
    </xf>
    <xf numFmtId="0" fontId="12" fillId="0" borderId="5" xfId="0" applyFont="1" applyBorder="1" applyAlignment="1">
      <alignment vertical="center" wrapText="1"/>
    </xf>
    <xf numFmtId="0" fontId="12" fillId="0" borderId="6" xfId="0" applyFont="1" applyBorder="1" applyAlignment="1">
      <alignment vertical="center" wrapText="1"/>
    </xf>
    <xf numFmtId="0" fontId="12" fillId="0" borderId="11" xfId="0" applyFont="1" applyBorder="1" applyAlignment="1">
      <alignment vertical="center" wrapText="1"/>
    </xf>
    <xf numFmtId="0" fontId="12" fillId="0" borderId="31" xfId="0" applyFont="1" applyBorder="1" applyAlignment="1">
      <alignment vertical="center" wrapText="1"/>
    </xf>
    <xf numFmtId="0" fontId="12" fillId="0" borderId="18" xfId="0" applyFont="1" applyBorder="1" applyAlignment="1">
      <alignment vertical="center" wrapText="1"/>
    </xf>
    <xf numFmtId="0" fontId="12" fillId="0" borderId="9" xfId="0" applyFont="1" applyBorder="1" applyAlignment="1">
      <alignment vertical="center" wrapText="1"/>
    </xf>
    <xf numFmtId="0" fontId="12" fillId="0" borderId="14" xfId="0" applyFont="1" applyBorder="1" applyAlignment="1">
      <alignment vertical="center" wrapText="1"/>
    </xf>
    <xf numFmtId="0" fontId="12" fillId="0" borderId="29" xfId="0" applyFont="1" applyBorder="1" applyAlignment="1">
      <alignment vertical="center" wrapText="1"/>
    </xf>
    <xf numFmtId="0" fontId="7" fillId="12" borderId="2" xfId="0" applyFont="1" applyFill="1" applyBorder="1" applyAlignment="1">
      <alignment horizontal="center" vertical="center"/>
    </xf>
    <xf numFmtId="0" fontId="7" fillId="12" borderId="34" xfId="0" applyFont="1" applyFill="1" applyBorder="1" applyAlignment="1">
      <alignment horizontal="center" vertical="center"/>
    </xf>
    <xf numFmtId="0" fontId="7" fillId="12" borderId="29" xfId="0" applyFont="1" applyFill="1" applyBorder="1" applyAlignment="1">
      <alignment horizontal="center" vertical="center"/>
    </xf>
    <xf numFmtId="0" fontId="7" fillId="12" borderId="3" xfId="0" applyFont="1" applyFill="1" applyBorder="1" applyAlignment="1">
      <alignment horizontal="center" vertical="center"/>
    </xf>
    <xf numFmtId="0" fontId="8" fillId="0" borderId="0" xfId="0" applyFont="1" applyAlignment="1">
      <alignment horizontal="center" vertical="center"/>
    </xf>
    <xf numFmtId="0" fontId="7" fillId="0" borderId="23" xfId="0" applyFont="1" applyBorder="1" applyAlignment="1">
      <alignment horizontal="center" vertical="center" wrapText="1"/>
    </xf>
    <xf numFmtId="0" fontId="7" fillId="10" borderId="20" xfId="0" applyFont="1" applyFill="1" applyBorder="1" applyAlignment="1">
      <alignment vertical="center"/>
    </xf>
    <xf numFmtId="0" fontId="7" fillId="3" borderId="3" xfId="0" applyFont="1" applyFill="1" applyBorder="1" applyAlignment="1">
      <alignment horizontal="center" vertical="center"/>
    </xf>
    <xf numFmtId="0" fontId="7" fillId="3" borderId="2" xfId="0" applyFont="1" applyFill="1" applyBorder="1" applyAlignment="1">
      <alignment horizontal="center" vertical="center"/>
    </xf>
    <xf numFmtId="0" fontId="7" fillId="0" borderId="3" xfId="0" applyFont="1" applyBorder="1" applyAlignment="1">
      <alignment horizontal="center" vertical="center" wrapText="1"/>
    </xf>
    <xf numFmtId="0" fontId="7" fillId="0" borderId="3" xfId="0" applyFont="1" applyBorder="1" applyAlignment="1">
      <alignment horizontal="center" vertical="center"/>
    </xf>
    <xf numFmtId="0" fontId="12" fillId="10" borderId="4" xfId="0" applyFont="1" applyFill="1" applyBorder="1" applyAlignment="1">
      <alignment horizontal="center" vertical="center"/>
    </xf>
    <xf numFmtId="0" fontId="12" fillId="10" borderId="4" xfId="0" applyFont="1" applyFill="1" applyBorder="1" applyAlignment="1">
      <alignment vertical="center"/>
    </xf>
    <xf numFmtId="0" fontId="12" fillId="0" borderId="30" xfId="0" applyFont="1" applyBorder="1" applyAlignment="1">
      <alignment vertical="center" wrapText="1"/>
    </xf>
    <xf numFmtId="0" fontId="12" fillId="3" borderId="3" xfId="0" applyFont="1" applyFill="1" applyBorder="1" applyAlignment="1">
      <alignment horizontal="center" vertical="center" wrapText="1"/>
    </xf>
    <xf numFmtId="0" fontId="7" fillId="3" borderId="11" xfId="0" applyFont="1" applyFill="1" applyBorder="1" applyAlignment="1">
      <alignment horizontal="center" vertical="center"/>
    </xf>
    <xf numFmtId="0" fontId="12" fillId="10" borderId="24" xfId="0" applyFont="1" applyFill="1" applyBorder="1" applyAlignment="1">
      <alignment horizontal="left" vertical="center" wrapText="1"/>
    </xf>
    <xf numFmtId="0" fontId="12" fillId="0" borderId="35" xfId="0" applyFont="1" applyBorder="1" applyAlignment="1">
      <alignment vertical="center" wrapText="1"/>
    </xf>
    <xf numFmtId="0" fontId="12" fillId="3" borderId="3" xfId="0" applyFont="1" applyFill="1" applyBorder="1" applyAlignment="1">
      <alignment vertical="center" wrapText="1"/>
    </xf>
    <xf numFmtId="0" fontId="12" fillId="10" borderId="13" xfId="0" applyFont="1" applyFill="1" applyBorder="1" applyAlignment="1">
      <alignment vertical="center"/>
    </xf>
    <xf numFmtId="0" fontId="12" fillId="3" borderId="18" xfId="0" applyFont="1" applyFill="1" applyBorder="1" applyAlignment="1">
      <alignment vertical="center" wrapText="1"/>
    </xf>
    <xf numFmtId="0" fontId="12" fillId="10" borderId="20" xfId="0" applyFont="1" applyFill="1" applyBorder="1" applyAlignment="1">
      <alignment vertical="center"/>
    </xf>
    <xf numFmtId="0" fontId="12" fillId="3" borderId="29" xfId="0" applyFont="1" applyFill="1" applyBorder="1" applyAlignment="1">
      <alignment horizontal="center" vertical="center" wrapText="1"/>
    </xf>
    <xf numFmtId="0" fontId="12" fillId="9" borderId="28" xfId="0" applyFont="1" applyFill="1" applyBorder="1" applyAlignment="1">
      <alignment horizontal="left" vertical="center"/>
    </xf>
    <xf numFmtId="0" fontId="12" fillId="10" borderId="28" xfId="0" applyFont="1" applyFill="1" applyBorder="1" applyAlignment="1">
      <alignment horizontal="left" vertical="center"/>
    </xf>
    <xf numFmtId="0" fontId="12" fillId="3" borderId="6" xfId="0" applyFont="1" applyFill="1" applyBorder="1" applyAlignment="1">
      <alignment horizontal="left" vertical="center" wrapText="1"/>
    </xf>
    <xf numFmtId="0" fontId="12" fillId="9" borderId="30" xfId="0" applyFont="1" applyFill="1" applyBorder="1" applyAlignment="1">
      <alignment horizontal="left" vertical="center"/>
    </xf>
    <xf numFmtId="0" fontId="12" fillId="9" borderId="7" xfId="0" applyFont="1" applyFill="1" applyBorder="1" applyAlignment="1">
      <alignment horizontal="left" vertical="center"/>
    </xf>
    <xf numFmtId="0" fontId="12" fillId="3" borderId="6" xfId="0" applyFont="1" applyFill="1" applyBorder="1" applyAlignment="1">
      <alignment vertical="center" wrapText="1"/>
    </xf>
    <xf numFmtId="0" fontId="12" fillId="10" borderId="30" xfId="0" applyFont="1" applyFill="1" applyBorder="1" applyAlignment="1">
      <alignment horizontal="left" vertical="center"/>
    </xf>
    <xf numFmtId="0" fontId="12" fillId="9" borderId="30" xfId="0" applyFont="1" applyFill="1" applyBorder="1" applyAlignment="1">
      <alignment vertical="center"/>
    </xf>
    <xf numFmtId="0" fontId="12" fillId="10" borderId="30" xfId="0" applyFont="1" applyFill="1" applyBorder="1" applyAlignment="1">
      <alignment vertical="center"/>
    </xf>
    <xf numFmtId="0" fontId="18" fillId="0" borderId="0" xfId="0" applyFont="1"/>
    <xf numFmtId="9" fontId="0" fillId="0" borderId="0" xfId="0" applyNumberFormat="1"/>
    <xf numFmtId="0" fontId="7" fillId="0" borderId="29" xfId="0" applyFont="1" applyBorder="1" applyAlignment="1">
      <alignment horizontal="center" vertical="center" wrapText="1"/>
    </xf>
    <xf numFmtId="0" fontId="7" fillId="0" borderId="29" xfId="0" applyFont="1" applyBorder="1" applyAlignment="1">
      <alignment horizontal="center" vertical="center"/>
    </xf>
    <xf numFmtId="0" fontId="7" fillId="0" borderId="37" xfId="0" applyFont="1" applyBorder="1" applyAlignment="1">
      <alignment horizontal="center" vertical="center" wrapText="1"/>
    </xf>
    <xf numFmtId="0" fontId="7" fillId="0" borderId="51" xfId="0" applyFont="1" applyBorder="1" applyAlignment="1">
      <alignment horizontal="center" vertical="center" wrapText="1"/>
    </xf>
    <xf numFmtId="0" fontId="7" fillId="9" borderId="29" xfId="0" applyFont="1" applyFill="1" applyBorder="1" applyAlignment="1">
      <alignment horizontal="center" vertical="center"/>
    </xf>
    <xf numFmtId="0" fontId="7" fillId="9" borderId="4" xfId="0" applyFont="1" applyFill="1" applyBorder="1" applyAlignment="1">
      <alignment horizontal="center" vertical="center"/>
    </xf>
    <xf numFmtId="0" fontId="7" fillId="10" borderId="30" xfId="0" applyFont="1" applyFill="1" applyBorder="1" applyAlignment="1">
      <alignment horizontal="center" vertical="center"/>
    </xf>
    <xf numFmtId="0" fontId="8" fillId="9" borderId="7" xfId="0" applyFont="1" applyFill="1" applyBorder="1" applyAlignment="1">
      <alignment horizontal="center" vertical="center"/>
    </xf>
    <xf numFmtId="0" fontId="8" fillId="0" borderId="45" xfId="0" applyFont="1" applyBorder="1" applyAlignment="1">
      <alignment vertical="center"/>
    </xf>
    <xf numFmtId="0" fontId="8" fillId="3" borderId="45" xfId="0" applyFont="1" applyFill="1" applyBorder="1" applyAlignment="1">
      <alignment vertical="center"/>
    </xf>
    <xf numFmtId="0" fontId="7" fillId="3" borderId="3" xfId="0" applyFont="1" applyFill="1" applyBorder="1" applyAlignment="1">
      <alignment vertical="center" wrapText="1"/>
    </xf>
    <xf numFmtId="0" fontId="7" fillId="3" borderId="3" xfId="0" applyFont="1" applyFill="1" applyBorder="1" applyAlignment="1">
      <alignment horizontal="center" vertical="center" wrapText="1"/>
    </xf>
    <xf numFmtId="0" fontId="7" fillId="0" borderId="3" xfId="0" applyFont="1" applyBorder="1" applyAlignment="1">
      <alignment horizontal="left" vertical="center" wrapText="1"/>
    </xf>
    <xf numFmtId="0" fontId="10" fillId="3" borderId="0" xfId="0" applyFont="1" applyFill="1" applyAlignment="1">
      <alignment vertical="center"/>
    </xf>
    <xf numFmtId="0" fontId="7" fillId="0" borderId="6" xfId="0" applyFont="1" applyBorder="1" applyAlignment="1">
      <alignment horizontal="left" vertical="center" wrapText="1"/>
    </xf>
    <xf numFmtId="0" fontId="7" fillId="3" borderId="6" xfId="0" applyFont="1" applyFill="1" applyBorder="1" applyAlignment="1">
      <alignment vertical="center" wrapText="1"/>
    </xf>
    <xf numFmtId="0" fontId="12" fillId="0" borderId="0" xfId="0" applyFont="1" applyAlignment="1">
      <alignment vertical="center" wrapText="1"/>
    </xf>
    <xf numFmtId="0" fontId="7" fillId="0" borderId="34" xfId="0" applyFont="1" applyBorder="1" applyAlignment="1">
      <alignment horizontal="left" vertical="center" wrapText="1"/>
    </xf>
    <xf numFmtId="0" fontId="7" fillId="0" borderId="5" xfId="0" applyFont="1" applyBorder="1" applyAlignment="1">
      <alignment horizontal="left" vertical="center" wrapText="1"/>
    </xf>
    <xf numFmtId="0" fontId="7" fillId="0" borderId="35" xfId="0" applyFont="1" applyBorder="1" applyAlignment="1">
      <alignment horizontal="left" vertical="center" wrapText="1"/>
    </xf>
    <xf numFmtId="0" fontId="7" fillId="0" borderId="11" xfId="0" applyFont="1" applyBorder="1" applyAlignment="1">
      <alignment horizontal="left" vertical="center" wrapText="1"/>
    </xf>
    <xf numFmtId="0" fontId="7" fillId="3" borderId="18" xfId="0" applyFont="1" applyFill="1" applyBorder="1" applyAlignment="1">
      <alignment horizontal="left" vertical="center" wrapText="1"/>
    </xf>
    <xf numFmtId="0" fontId="7" fillId="0" borderId="9" xfId="0" applyFont="1" applyBorder="1" applyAlignment="1">
      <alignment vertical="center" wrapText="1"/>
    </xf>
    <xf numFmtId="0" fontId="7" fillId="0" borderId="18" xfId="0" applyFont="1" applyBorder="1" applyAlignment="1">
      <alignment vertical="center" wrapText="1"/>
    </xf>
    <xf numFmtId="0" fontId="7" fillId="0" borderId="2" xfId="0" applyFont="1" applyBorder="1" applyAlignment="1">
      <alignment horizontal="left" vertical="center" wrapText="1"/>
    </xf>
    <xf numFmtId="0" fontId="7" fillId="10" borderId="4" xfId="0" applyFont="1" applyFill="1" applyBorder="1" applyAlignment="1">
      <alignment horizontal="left" vertical="center" wrapText="1"/>
    </xf>
    <xf numFmtId="0" fontId="7" fillId="0" borderId="33" xfId="0" applyFont="1" applyBorder="1" applyAlignment="1">
      <alignment horizontal="left" vertical="center" wrapText="1"/>
    </xf>
    <xf numFmtId="0" fontId="7" fillId="0" borderId="23" xfId="0" applyFont="1" applyBorder="1" applyAlignment="1">
      <alignment horizontal="left" vertical="center" wrapText="1"/>
    </xf>
    <xf numFmtId="0" fontId="7" fillId="10" borderId="24" xfId="0" applyFont="1" applyFill="1" applyBorder="1" applyAlignment="1">
      <alignment horizontal="left" vertical="center" wrapText="1"/>
    </xf>
    <xf numFmtId="0" fontId="7" fillId="3" borderId="6" xfId="0" applyFont="1" applyFill="1" applyBorder="1" applyAlignment="1">
      <alignment horizontal="left" vertical="center" wrapText="1"/>
    </xf>
    <xf numFmtId="0" fontId="12" fillId="3" borderId="0" xfId="0" applyFont="1" applyFill="1" applyAlignment="1">
      <alignment vertical="center"/>
    </xf>
    <xf numFmtId="0" fontId="6" fillId="0" borderId="0" xfId="0" applyFont="1" applyAlignment="1">
      <alignment horizontal="center" vertical="center"/>
    </xf>
    <xf numFmtId="0" fontId="7" fillId="10" borderId="47" xfId="0" applyFont="1" applyFill="1" applyBorder="1" applyAlignment="1">
      <alignment horizontal="center" vertical="center"/>
    </xf>
    <xf numFmtId="0" fontId="6" fillId="0" borderId="50" xfId="0" applyFont="1" applyBorder="1" applyAlignment="1">
      <alignment horizontal="center" vertical="center"/>
    </xf>
    <xf numFmtId="0" fontId="7" fillId="10" borderId="38" xfId="0" applyFont="1" applyFill="1" applyBorder="1" applyAlignment="1">
      <alignment horizontal="center" vertical="center"/>
    </xf>
    <xf numFmtId="0" fontId="7" fillId="0" borderId="52" xfId="0" applyFont="1" applyBorder="1" applyAlignment="1">
      <alignment horizontal="center" vertical="center" wrapText="1"/>
    </xf>
    <xf numFmtId="0" fontId="7" fillId="0" borderId="32" xfId="0" applyFont="1" applyBorder="1" applyAlignment="1">
      <alignment horizontal="center" vertical="center" wrapText="1"/>
    </xf>
    <xf numFmtId="0" fontId="7" fillId="0" borderId="53" xfId="0" applyFont="1" applyBorder="1" applyAlignment="1">
      <alignment horizontal="center" vertical="center" wrapText="1"/>
    </xf>
    <xf numFmtId="0" fontId="16" fillId="0" borderId="6" xfId="0" applyFont="1" applyBorder="1" applyAlignment="1">
      <alignment horizontal="center" vertical="center" wrapText="1"/>
    </xf>
    <xf numFmtId="0" fontId="7" fillId="0" borderId="54" xfId="0" applyFont="1" applyBorder="1" applyAlignment="1">
      <alignment horizontal="center" vertical="center" wrapText="1"/>
    </xf>
    <xf numFmtId="0" fontId="7" fillId="10" borderId="55" xfId="0" applyFont="1" applyFill="1" applyBorder="1" applyAlignment="1">
      <alignment horizontal="center" vertical="center"/>
    </xf>
    <xf numFmtId="0" fontId="7" fillId="10" borderId="40" xfId="0" applyFont="1" applyFill="1" applyBorder="1" applyAlignment="1">
      <alignment horizontal="center" vertical="center"/>
    </xf>
    <xf numFmtId="0" fontId="7" fillId="10" borderId="55" xfId="0" applyFont="1" applyFill="1" applyBorder="1" applyAlignment="1">
      <alignment vertical="center"/>
    </xf>
    <xf numFmtId="0" fontId="7" fillId="0" borderId="56" xfId="0" applyFont="1" applyBorder="1" applyAlignment="1">
      <alignment horizontal="center" vertical="center" wrapText="1"/>
    </xf>
    <xf numFmtId="0" fontId="7" fillId="0" borderId="57" xfId="0" applyFont="1" applyBorder="1" applyAlignment="1">
      <alignment horizontal="center" vertical="center" wrapText="1"/>
    </xf>
    <xf numFmtId="0" fontId="7" fillId="10" borderId="58" xfId="0" applyFont="1" applyFill="1" applyBorder="1" applyAlignment="1">
      <alignment horizontal="center" vertical="center"/>
    </xf>
    <xf numFmtId="0" fontId="7" fillId="0" borderId="59" xfId="0" applyFont="1" applyBorder="1" applyAlignment="1">
      <alignment horizontal="center" vertical="center" wrapText="1"/>
    </xf>
    <xf numFmtId="0" fontId="7" fillId="10" borderId="60" xfId="0" applyFont="1" applyFill="1" applyBorder="1" applyAlignment="1">
      <alignment horizontal="center" vertical="center"/>
    </xf>
    <xf numFmtId="0" fontId="7" fillId="0" borderId="61" xfId="0" applyFont="1" applyBorder="1" applyAlignment="1">
      <alignment horizontal="center" vertical="center" wrapText="1"/>
    </xf>
    <xf numFmtId="0" fontId="7" fillId="10" borderId="58" xfId="0" applyFont="1" applyFill="1" applyBorder="1" applyAlignment="1">
      <alignment vertical="center"/>
    </xf>
    <xf numFmtId="0" fontId="7" fillId="0" borderId="62" xfId="0" applyFont="1" applyBorder="1" applyAlignment="1">
      <alignment horizontal="center" vertical="center" wrapText="1"/>
    </xf>
    <xf numFmtId="0" fontId="7" fillId="0" borderId="32" xfId="0" applyFont="1" applyBorder="1" applyAlignment="1">
      <alignment vertical="center" wrapText="1"/>
    </xf>
    <xf numFmtId="0" fontId="7" fillId="0" borderId="53" xfId="0" applyFont="1" applyBorder="1" applyAlignment="1">
      <alignment vertical="center" wrapText="1"/>
    </xf>
    <xf numFmtId="0" fontId="7" fillId="0" borderId="52" xfId="0" applyFont="1" applyBorder="1" applyAlignment="1">
      <alignment vertical="center" wrapText="1"/>
    </xf>
    <xf numFmtId="0" fontId="12" fillId="0" borderId="32" xfId="0" applyFont="1" applyBorder="1" applyAlignment="1">
      <alignment vertical="center" wrapText="1"/>
    </xf>
    <xf numFmtId="0" fontId="20" fillId="0" borderId="41" xfId="0" applyFont="1" applyBorder="1" applyAlignment="1">
      <alignment horizontal="center" vertical="center" wrapText="1"/>
    </xf>
    <xf numFmtId="0" fontId="7" fillId="0" borderId="30" xfId="0" applyFont="1" applyBorder="1" applyAlignment="1">
      <alignment horizontal="center" vertical="center" wrapText="1"/>
    </xf>
    <xf numFmtId="0" fontId="20" fillId="0" borderId="27" xfId="0" applyFont="1" applyBorder="1" applyAlignment="1">
      <alignment horizontal="center" vertical="center" wrapText="1"/>
    </xf>
    <xf numFmtId="0" fontId="20" fillId="0" borderId="60" xfId="0" applyFont="1" applyBorder="1" applyAlignment="1">
      <alignment horizontal="center" vertical="center" wrapText="1"/>
    </xf>
    <xf numFmtId="0" fontId="12" fillId="10" borderId="7" xfId="0" applyFont="1" applyFill="1" applyBorder="1" applyAlignment="1">
      <alignment horizontal="center" vertical="center"/>
    </xf>
    <xf numFmtId="0" fontId="12" fillId="0" borderId="6" xfId="0" applyFont="1" applyBorder="1" applyAlignment="1">
      <alignment horizontal="center" vertical="center" wrapText="1"/>
    </xf>
    <xf numFmtId="0" fontId="12" fillId="10" borderId="55" xfId="0" applyFont="1" applyFill="1" applyBorder="1" applyAlignment="1">
      <alignment horizontal="center" vertical="center"/>
    </xf>
    <xf numFmtId="0" fontId="12" fillId="0" borderId="52" xfId="0" applyFont="1" applyBorder="1" applyAlignment="1">
      <alignment horizontal="center" vertical="center" wrapText="1"/>
    </xf>
    <xf numFmtId="0" fontId="12" fillId="10" borderId="58" xfId="0" applyFont="1" applyFill="1" applyBorder="1" applyAlignment="1">
      <alignment horizontal="center" vertical="center"/>
    </xf>
    <xf numFmtId="0" fontId="12" fillId="0" borderId="59" xfId="0" applyFont="1" applyBorder="1" applyAlignment="1">
      <alignment horizontal="center" vertical="center" wrapText="1"/>
    </xf>
    <xf numFmtId="0" fontId="12" fillId="0" borderId="57" xfId="0" applyFont="1" applyBorder="1" applyAlignment="1">
      <alignment horizontal="center" vertical="center" wrapText="1"/>
    </xf>
    <xf numFmtId="0" fontId="12" fillId="10" borderId="7" xfId="0" applyFont="1" applyFill="1" applyBorder="1" applyAlignment="1">
      <alignment vertical="center"/>
    </xf>
    <xf numFmtId="0" fontId="12" fillId="10" borderId="55" xfId="0" applyFont="1" applyFill="1" applyBorder="1" applyAlignment="1">
      <alignment vertical="center"/>
    </xf>
    <xf numFmtId="0" fontId="12" fillId="10" borderId="58" xfId="0" applyFont="1" applyFill="1" applyBorder="1" applyAlignment="1">
      <alignment vertical="center"/>
    </xf>
    <xf numFmtId="0" fontId="7" fillId="0" borderId="28" xfId="0" applyFont="1" applyBorder="1" applyAlignment="1">
      <alignment horizontal="center" vertical="center" wrapText="1"/>
    </xf>
    <xf numFmtId="0" fontId="7" fillId="3" borderId="23" xfId="0" applyFont="1" applyFill="1" applyBorder="1" applyAlignment="1">
      <alignment horizontal="center" vertical="center" wrapText="1"/>
    </xf>
    <xf numFmtId="0" fontId="8" fillId="9" borderId="27" xfId="0" applyFont="1" applyFill="1" applyBorder="1" applyAlignment="1">
      <alignment horizontal="center" vertical="center"/>
    </xf>
    <xf numFmtId="0" fontId="7" fillId="3" borderId="57" xfId="0" applyFont="1" applyFill="1" applyBorder="1" applyAlignment="1">
      <alignment horizontal="center" vertical="center" wrapText="1"/>
    </xf>
    <xf numFmtId="0" fontId="16" fillId="0" borderId="23" xfId="0" applyFont="1" applyBorder="1" applyAlignment="1">
      <alignment horizontal="center" vertical="center" wrapText="1"/>
    </xf>
    <xf numFmtId="0" fontId="7" fillId="9" borderId="24" xfId="0" applyFont="1" applyFill="1" applyBorder="1" applyAlignment="1">
      <alignment horizontal="center" vertical="center"/>
    </xf>
    <xf numFmtId="0" fontId="7" fillId="10" borderId="24" xfId="0" applyFont="1" applyFill="1" applyBorder="1" applyAlignment="1">
      <alignment horizontal="center" vertical="center"/>
    </xf>
    <xf numFmtId="0" fontId="7" fillId="3" borderId="6" xfId="0" applyFont="1" applyFill="1" applyBorder="1" applyAlignment="1">
      <alignment horizontal="center" vertical="center" wrapText="1"/>
    </xf>
    <xf numFmtId="0" fontId="7" fillId="3" borderId="0" xfId="0" applyFont="1" applyFill="1" applyAlignment="1">
      <alignment vertical="center" wrapText="1"/>
    </xf>
    <xf numFmtId="0" fontId="16" fillId="3" borderId="0" xfId="0" applyFont="1" applyFill="1" applyAlignment="1">
      <alignment vertical="center" wrapText="1"/>
    </xf>
    <xf numFmtId="0" fontId="7" fillId="10" borderId="23" xfId="0" applyFont="1" applyFill="1" applyBorder="1" applyAlignment="1">
      <alignment horizontal="center" vertical="center"/>
    </xf>
    <xf numFmtId="0" fontId="7" fillId="10" borderId="57" xfId="0" applyFont="1" applyFill="1" applyBorder="1" applyAlignment="1">
      <alignment horizontal="center" vertical="center"/>
    </xf>
    <xf numFmtId="0" fontId="7" fillId="10" borderId="6" xfId="0" applyFont="1" applyFill="1" applyBorder="1" applyAlignment="1">
      <alignment horizontal="center" vertical="center"/>
    </xf>
    <xf numFmtId="0" fontId="8" fillId="9" borderId="24" xfId="0" applyFont="1" applyFill="1" applyBorder="1" applyAlignment="1">
      <alignment horizontal="center" vertical="center"/>
    </xf>
    <xf numFmtId="0" fontId="8" fillId="9" borderId="58" xfId="0" applyFont="1" applyFill="1" applyBorder="1" applyAlignment="1">
      <alignment horizontal="center" vertical="center"/>
    </xf>
    <xf numFmtId="0" fontId="7" fillId="0" borderId="0" xfId="0" applyFont="1" applyAlignment="1">
      <alignment vertical="center"/>
    </xf>
    <xf numFmtId="0" fontId="12" fillId="0" borderId="3" xfId="0" applyFont="1" applyBorder="1" applyAlignment="1">
      <alignment horizontal="center" vertical="center"/>
    </xf>
    <xf numFmtId="0" fontId="12" fillId="0" borderId="29" xfId="0" applyFont="1" applyBorder="1" applyAlignment="1">
      <alignment horizontal="center" vertical="center" wrapText="1"/>
    </xf>
    <xf numFmtId="0" fontId="12" fillId="0" borderId="0" xfId="0" applyFont="1" applyAlignment="1">
      <alignment vertical="center"/>
    </xf>
    <xf numFmtId="0" fontId="21" fillId="0" borderId="0" xfId="0" applyFont="1" applyAlignment="1">
      <alignment vertical="center"/>
    </xf>
    <xf numFmtId="0" fontId="12" fillId="3" borderId="32" xfId="0" applyFont="1" applyFill="1" applyBorder="1" applyAlignment="1">
      <alignment vertical="center" wrapText="1"/>
    </xf>
    <xf numFmtId="0" fontId="12" fillId="0" borderId="9" xfId="0" applyFont="1" applyBorder="1" applyAlignment="1">
      <alignment horizontal="justify" vertical="center" wrapText="1"/>
    </xf>
    <xf numFmtId="0" fontId="19" fillId="0" borderId="57" xfId="0" applyFont="1" applyBorder="1" applyAlignment="1">
      <alignment horizontal="center" vertical="center" wrapText="1"/>
    </xf>
    <xf numFmtId="0" fontId="19" fillId="0" borderId="6" xfId="0" applyFont="1" applyBorder="1" applyAlignment="1">
      <alignment horizontal="center" vertical="center" wrapText="1"/>
    </xf>
    <xf numFmtId="0" fontId="7" fillId="0" borderId="2" xfId="0" applyFont="1" applyBorder="1" applyAlignment="1">
      <alignment vertical="center" wrapText="1"/>
    </xf>
    <xf numFmtId="0" fontId="23" fillId="3" borderId="0" xfId="0" applyFont="1" applyFill="1" applyAlignment="1">
      <alignment vertical="center"/>
    </xf>
    <xf numFmtId="0" fontId="10" fillId="3" borderId="0" xfId="0" applyFont="1" applyFill="1" applyAlignment="1">
      <alignment vertical="center" wrapText="1"/>
    </xf>
    <xf numFmtId="0" fontId="12" fillId="0" borderId="3" xfId="0" applyFont="1" applyBorder="1" applyAlignment="1">
      <alignment horizontal="left" vertical="center" wrapText="1"/>
    </xf>
    <xf numFmtId="0" fontId="12" fillId="0" borderId="23" xfId="0" applyFont="1" applyBorder="1" applyAlignment="1">
      <alignment horizontal="center" vertical="center" wrapText="1"/>
    </xf>
    <xf numFmtId="0" fontId="12" fillId="3" borderId="23" xfId="0" applyFont="1" applyFill="1" applyBorder="1" applyAlignment="1">
      <alignment horizontal="center" vertical="center" wrapText="1"/>
    </xf>
    <xf numFmtId="0" fontId="12" fillId="3" borderId="57" xfId="0" applyFont="1" applyFill="1" applyBorder="1" applyAlignment="1">
      <alignment horizontal="center" vertical="center" wrapText="1"/>
    </xf>
    <xf numFmtId="0" fontId="12" fillId="3" borderId="61" xfId="0" applyFont="1" applyFill="1" applyBorder="1" applyAlignment="1">
      <alignment horizontal="center" vertical="center" wrapText="1"/>
    </xf>
    <xf numFmtId="0" fontId="12" fillId="3" borderId="30" xfId="0" applyFont="1" applyFill="1" applyBorder="1" applyAlignment="1">
      <alignment horizontal="center" vertical="center" wrapText="1"/>
    </xf>
    <xf numFmtId="0" fontId="20" fillId="0" borderId="26" xfId="0" applyFont="1" applyBorder="1" applyAlignment="1">
      <alignment horizontal="center" vertical="center" wrapText="1"/>
    </xf>
    <xf numFmtId="0" fontId="20" fillId="0" borderId="63" xfId="0" applyFont="1" applyBorder="1" applyAlignment="1">
      <alignment horizontal="center" vertical="center" wrapText="1"/>
    </xf>
    <xf numFmtId="0" fontId="22" fillId="0" borderId="5" xfId="0" applyFont="1" applyBorder="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7" fillId="10" borderId="41" xfId="0" applyFont="1" applyFill="1" applyBorder="1" applyAlignment="1">
      <alignment horizontal="center" vertical="center" wrapText="1"/>
    </xf>
    <xf numFmtId="0" fontId="7" fillId="10" borderId="41" xfId="0" applyFont="1" applyFill="1" applyBorder="1" applyAlignment="1">
      <alignment horizontal="left" vertical="center" wrapText="1"/>
    </xf>
    <xf numFmtId="0" fontId="7" fillId="10" borderId="29" xfId="0" applyFont="1" applyFill="1" applyBorder="1" applyAlignment="1">
      <alignment horizontal="center" vertical="center"/>
    </xf>
    <xf numFmtId="0" fontId="7" fillId="10" borderId="53" xfId="0" applyFont="1" applyFill="1" applyBorder="1" applyAlignment="1">
      <alignment horizontal="center" vertical="center"/>
    </xf>
    <xf numFmtId="0" fontId="7" fillId="10" borderId="61" xfId="0" applyFont="1" applyFill="1" applyBorder="1" applyAlignment="1">
      <alignment horizontal="center" vertical="center"/>
    </xf>
    <xf numFmtId="0" fontId="7" fillId="10" borderId="30" xfId="0" applyFont="1" applyFill="1" applyBorder="1" applyAlignment="1">
      <alignment vertical="center"/>
    </xf>
    <xf numFmtId="0" fontId="10" fillId="10" borderId="51" xfId="0" applyFont="1" applyFill="1" applyBorder="1" applyAlignment="1">
      <alignment horizontal="center" vertical="center"/>
    </xf>
    <xf numFmtId="0" fontId="8" fillId="0" borderId="30" xfId="0" applyFont="1" applyBorder="1" applyAlignment="1">
      <alignment vertical="center"/>
    </xf>
    <xf numFmtId="0" fontId="7" fillId="10" borderId="30" xfId="0" applyFont="1" applyFill="1" applyBorder="1" applyAlignment="1">
      <alignment horizontal="center" vertical="center" wrapText="1"/>
    </xf>
    <xf numFmtId="0" fontId="7" fillId="10" borderId="30" xfId="0" applyFont="1" applyFill="1" applyBorder="1" applyAlignment="1">
      <alignment horizontal="left" vertical="center" wrapText="1"/>
    </xf>
    <xf numFmtId="0" fontId="7" fillId="10" borderId="51" xfId="0" applyFont="1" applyFill="1" applyBorder="1" applyAlignment="1">
      <alignment horizontal="center" vertical="center"/>
    </xf>
    <xf numFmtId="0" fontId="7" fillId="10" borderId="0" xfId="0" applyFont="1" applyFill="1" applyAlignment="1">
      <alignment horizontal="center" vertical="center"/>
    </xf>
    <xf numFmtId="0" fontId="7" fillId="10" borderId="63" xfId="0" applyFont="1" applyFill="1" applyBorder="1" applyAlignment="1">
      <alignment horizontal="center" vertical="center"/>
    </xf>
    <xf numFmtId="0" fontId="7" fillId="10" borderId="41" xfId="0" applyFont="1" applyFill="1" applyBorder="1" applyAlignment="1">
      <alignment horizontal="center" vertical="center"/>
    </xf>
    <xf numFmtId="0" fontId="8" fillId="0" borderId="35" xfId="0" applyFont="1" applyBorder="1" applyAlignment="1">
      <alignment vertical="center"/>
    </xf>
    <xf numFmtId="0" fontId="7" fillId="0" borderId="33" xfId="0" applyFont="1" applyBorder="1" applyAlignment="1">
      <alignment horizontal="center" vertical="center" wrapText="1"/>
    </xf>
    <xf numFmtId="0" fontId="8" fillId="0" borderId="5" xfId="0" applyFont="1" applyBorder="1" applyAlignment="1">
      <alignment vertical="center"/>
    </xf>
    <xf numFmtId="0" fontId="24" fillId="0" borderId="0" xfId="0" applyFont="1" applyAlignment="1">
      <alignment vertical="center"/>
    </xf>
    <xf numFmtId="0" fontId="24" fillId="11" borderId="25" xfId="0" applyFont="1" applyFill="1" applyBorder="1" applyAlignment="1">
      <alignment vertical="center"/>
    </xf>
    <xf numFmtId="0" fontId="24" fillId="11" borderId="39" xfId="0" applyFont="1" applyFill="1" applyBorder="1" applyAlignment="1">
      <alignment vertical="center"/>
    </xf>
    <xf numFmtId="0" fontId="24" fillId="11" borderId="42" xfId="0" applyFont="1" applyFill="1" applyBorder="1" applyAlignment="1">
      <alignment vertical="center"/>
    </xf>
    <xf numFmtId="0" fontId="24" fillId="11" borderId="26" xfId="0" applyFont="1" applyFill="1" applyBorder="1" applyAlignment="1">
      <alignment vertical="center"/>
    </xf>
    <xf numFmtId="0" fontId="24" fillId="11" borderId="41" xfId="0" applyFont="1" applyFill="1" applyBorder="1" applyAlignment="1">
      <alignment vertical="center"/>
    </xf>
    <xf numFmtId="0" fontId="24" fillId="11" borderId="0" xfId="0" applyFont="1" applyFill="1" applyAlignment="1">
      <alignment vertical="center"/>
    </xf>
    <xf numFmtId="0" fontId="28" fillId="0" borderId="1" xfId="0" applyFont="1" applyBorder="1" applyAlignment="1">
      <alignment horizontal="center" vertical="center"/>
    </xf>
    <xf numFmtId="164" fontId="27" fillId="0" borderId="0" xfId="1" applyNumberFormat="1" applyFont="1" applyFill="1" applyBorder="1" applyAlignment="1">
      <alignment vertical="center"/>
    </xf>
    <xf numFmtId="0" fontId="31" fillId="12" borderId="1" xfId="0" applyFont="1" applyFill="1" applyBorder="1" applyAlignment="1">
      <alignment horizontal="center" vertical="center" wrapText="1" readingOrder="1"/>
    </xf>
    <xf numFmtId="0" fontId="24" fillId="11" borderId="27" xfId="0" applyFont="1" applyFill="1" applyBorder="1" applyAlignment="1">
      <alignment vertical="center"/>
    </xf>
    <xf numFmtId="0" fontId="24" fillId="11" borderId="40" xfId="0" applyFont="1" applyFill="1" applyBorder="1" applyAlignment="1">
      <alignment vertical="center"/>
    </xf>
    <xf numFmtId="0" fontId="24" fillId="11" borderId="38" xfId="0" applyFont="1" applyFill="1" applyBorder="1" applyAlignment="1">
      <alignment vertical="center"/>
    </xf>
    <xf numFmtId="0" fontId="32" fillId="4" borderId="1" xfId="0" applyFont="1" applyFill="1" applyBorder="1" applyAlignment="1">
      <alignment vertical="center" wrapText="1"/>
    </xf>
    <xf numFmtId="0" fontId="29" fillId="5" borderId="1" xfId="0" applyFont="1" applyFill="1" applyBorder="1" applyAlignment="1">
      <alignment vertical="center" wrapText="1"/>
    </xf>
    <xf numFmtId="0" fontId="29" fillId="6" borderId="1" xfId="0" applyFont="1" applyFill="1" applyBorder="1" applyAlignment="1">
      <alignment vertical="center" wrapText="1"/>
    </xf>
    <xf numFmtId="0" fontId="29" fillId="7" borderId="1" xfId="0" applyFont="1" applyFill="1" applyBorder="1" applyAlignment="1">
      <alignment vertical="center" wrapText="1"/>
    </xf>
    <xf numFmtId="0" fontId="35" fillId="8" borderId="1" xfId="0" applyFont="1" applyFill="1" applyBorder="1" applyAlignment="1">
      <alignment vertical="center" wrapText="1"/>
    </xf>
    <xf numFmtId="0" fontId="25" fillId="11" borderId="1" xfId="0" applyFont="1" applyFill="1" applyBorder="1" applyAlignment="1">
      <alignment horizontal="center" vertical="center" wrapText="1"/>
    </xf>
    <xf numFmtId="164" fontId="36" fillId="0" borderId="47" xfId="1" applyNumberFormat="1" applyFont="1" applyFill="1" applyBorder="1" applyAlignment="1">
      <alignment horizontal="center" vertical="center"/>
    </xf>
    <xf numFmtId="164" fontId="36" fillId="0" borderId="1" xfId="1" applyNumberFormat="1" applyFont="1" applyFill="1" applyBorder="1" applyAlignment="1">
      <alignment horizontal="center" vertical="center"/>
    </xf>
    <xf numFmtId="0" fontId="7" fillId="12" borderId="62" xfId="0" applyFont="1" applyFill="1" applyBorder="1" applyAlignment="1">
      <alignment horizontal="center" vertical="center"/>
    </xf>
    <xf numFmtId="0" fontId="7" fillId="12" borderId="23" xfId="0" applyFont="1" applyFill="1" applyBorder="1" applyAlignment="1">
      <alignment horizontal="center" vertical="center"/>
    </xf>
    <xf numFmtId="0" fontId="7" fillId="12" borderId="28" xfId="0" applyFont="1" applyFill="1" applyBorder="1" applyAlignment="1">
      <alignment horizontal="center" vertical="center"/>
    </xf>
    <xf numFmtId="0" fontId="10" fillId="10" borderId="24" xfId="0" applyFont="1" applyFill="1" applyBorder="1" applyAlignment="1">
      <alignment horizontal="center" vertical="center"/>
    </xf>
    <xf numFmtId="0" fontId="10" fillId="10" borderId="27" xfId="0" applyFont="1" applyFill="1" applyBorder="1" applyAlignment="1">
      <alignment horizontal="center" vertical="center"/>
    </xf>
    <xf numFmtId="0" fontId="8" fillId="3" borderId="9" xfId="0" applyFont="1" applyFill="1" applyBorder="1" applyAlignment="1">
      <alignment vertical="center"/>
    </xf>
    <xf numFmtId="0" fontId="8" fillId="3" borderId="11" xfId="0" applyFont="1" applyFill="1" applyBorder="1" applyAlignment="1">
      <alignment vertical="center"/>
    </xf>
    <xf numFmtId="0" fontId="8" fillId="3" borderId="14" xfId="0" applyFont="1" applyFill="1" applyBorder="1" applyAlignment="1">
      <alignment vertical="center"/>
    </xf>
    <xf numFmtId="0" fontId="8" fillId="10" borderId="13" xfId="0" applyFont="1" applyFill="1" applyBorder="1" applyAlignment="1">
      <alignment vertical="center"/>
    </xf>
    <xf numFmtId="0" fontId="8" fillId="10" borderId="64" xfId="0" applyFont="1" applyFill="1" applyBorder="1" applyAlignment="1">
      <alignment vertical="center"/>
    </xf>
    <xf numFmtId="0" fontId="12" fillId="0" borderId="23" xfId="0" applyFont="1" applyBorder="1" applyAlignment="1">
      <alignment horizontal="left" vertical="center" wrapText="1"/>
    </xf>
    <xf numFmtId="0" fontId="12" fillId="0" borderId="53" xfId="0" applyFont="1" applyBorder="1" applyAlignment="1">
      <alignment horizontal="center" vertical="center" wrapText="1"/>
    </xf>
    <xf numFmtId="0" fontId="12" fillId="0" borderId="6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2" xfId="0" applyFont="1" applyBorder="1" applyAlignment="1">
      <alignment horizontal="center" vertical="center" wrapText="1"/>
    </xf>
    <xf numFmtId="0" fontId="12" fillId="3" borderId="6" xfId="0" applyFont="1" applyFill="1" applyBorder="1" applyAlignment="1">
      <alignment horizontal="center" vertical="center" wrapText="1"/>
    </xf>
    <xf numFmtId="0" fontId="12" fillId="0" borderId="41" xfId="0" applyFont="1" applyBorder="1" applyAlignment="1">
      <alignment horizontal="left" vertical="center" wrapText="1"/>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35" xfId="0" applyFont="1" applyBorder="1" applyAlignment="1">
      <alignment horizontal="center" vertical="center"/>
    </xf>
    <xf numFmtId="0" fontId="7" fillId="0" borderId="30" xfId="0" applyFont="1" applyBorder="1" applyAlignment="1">
      <alignment horizontal="center" vertical="center"/>
    </xf>
    <xf numFmtId="0" fontId="12" fillId="3" borderId="30" xfId="0" applyFont="1" applyFill="1" applyBorder="1" applyAlignment="1">
      <alignment horizontal="center" vertical="center"/>
    </xf>
    <xf numFmtId="0" fontId="12" fillId="0" borderId="30" xfId="0" applyFont="1" applyBorder="1" applyAlignment="1">
      <alignment horizontal="center" vertical="center"/>
    </xf>
    <xf numFmtId="0" fontId="43" fillId="0" borderId="6" xfId="0" applyFont="1" applyBorder="1" applyAlignment="1">
      <alignment vertical="center" wrapText="1"/>
    </xf>
    <xf numFmtId="0" fontId="43" fillId="0" borderId="6" xfId="0" applyFont="1" applyBorder="1" applyAlignment="1">
      <alignment vertical="center"/>
    </xf>
    <xf numFmtId="0" fontId="12" fillId="0" borderId="14" xfId="0" applyFont="1" applyBorder="1" applyAlignment="1">
      <alignment horizontal="center" vertical="center"/>
    </xf>
    <xf numFmtId="0" fontId="8" fillId="3" borderId="64" xfId="0" applyFont="1" applyFill="1" applyBorder="1" applyAlignment="1">
      <alignment vertical="center"/>
    </xf>
    <xf numFmtId="0" fontId="7" fillId="0" borderId="9" xfId="0" applyFont="1" applyBorder="1" applyAlignment="1">
      <alignment horizontal="center" vertical="center" wrapText="1"/>
    </xf>
    <xf numFmtId="0" fontId="7" fillId="0" borderId="11" xfId="0" applyFont="1" applyBorder="1" applyAlignment="1">
      <alignment horizontal="center" vertical="center" wrapText="1"/>
    </xf>
    <xf numFmtId="0" fontId="7" fillId="10" borderId="13" xfId="0" applyFont="1" applyFill="1" applyBorder="1" applyAlignment="1">
      <alignment horizontal="center" vertical="center" wrapText="1"/>
    </xf>
    <xf numFmtId="0" fontId="12" fillId="0" borderId="9" xfId="0" applyFont="1" applyBorder="1" applyAlignment="1">
      <alignment horizontal="center" vertical="center" wrapText="1"/>
    </xf>
    <xf numFmtId="0" fontId="12" fillId="0" borderId="11" xfId="0" applyFont="1" applyBorder="1" applyAlignment="1">
      <alignment horizontal="center" vertical="center" wrapText="1"/>
    </xf>
    <xf numFmtId="0" fontId="7" fillId="0" borderId="14" xfId="0" applyFont="1" applyBorder="1" applyAlignment="1">
      <alignment horizontal="center" vertical="center" wrapText="1"/>
    </xf>
    <xf numFmtId="0" fontId="12" fillId="10" borderId="13" xfId="0" applyFont="1" applyFill="1" applyBorder="1" applyAlignment="1">
      <alignment horizontal="center" vertical="center" wrapText="1"/>
    </xf>
    <xf numFmtId="0" fontId="12" fillId="0" borderId="30" xfId="0" applyFont="1" applyBorder="1" applyAlignment="1">
      <alignment horizontal="left" vertical="center" wrapText="1"/>
    </xf>
    <xf numFmtId="0" fontId="7" fillId="3" borderId="9"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5" fillId="2" borderId="15" xfId="0" applyFont="1" applyFill="1" applyBorder="1" applyAlignment="1">
      <alignment horizontal="center" vertical="top" wrapText="1"/>
    </xf>
    <xf numFmtId="0" fontId="43" fillId="3" borderId="0" xfId="0" applyFont="1" applyFill="1" applyAlignment="1">
      <alignment vertical="center" wrapText="1"/>
    </xf>
    <xf numFmtId="0" fontId="12" fillId="0" borderId="34" xfId="0" applyFont="1" applyBorder="1" applyAlignment="1">
      <alignment horizontal="center" vertical="center" wrapText="1"/>
    </xf>
    <xf numFmtId="0" fontId="12" fillId="9" borderId="4" xfId="0" applyFont="1" applyFill="1" applyBorder="1" applyAlignment="1">
      <alignment horizontal="left" vertical="center"/>
    </xf>
    <xf numFmtId="0" fontId="7" fillId="9" borderId="58" xfId="0" applyFont="1" applyFill="1" applyBorder="1" applyAlignment="1">
      <alignment horizontal="center" vertical="center"/>
    </xf>
    <xf numFmtId="0" fontId="7" fillId="9" borderId="7" xfId="0" applyFont="1" applyFill="1" applyBorder="1" applyAlignment="1">
      <alignment horizontal="center" vertical="center"/>
    </xf>
    <xf numFmtId="0" fontId="8" fillId="0" borderId="44" xfId="0" applyFont="1" applyBorder="1" applyAlignment="1">
      <alignment vertical="center"/>
    </xf>
    <xf numFmtId="0" fontId="12" fillId="9" borderId="7" xfId="0" applyFont="1" applyFill="1" applyBorder="1" applyAlignment="1">
      <alignment vertical="center"/>
    </xf>
    <xf numFmtId="0" fontId="12" fillId="0" borderId="35" xfId="0" applyFont="1" applyBorder="1" applyAlignment="1">
      <alignment horizontal="left" vertical="center" wrapText="1"/>
    </xf>
    <xf numFmtId="0" fontId="6" fillId="3" borderId="40" xfId="0" applyFont="1" applyFill="1" applyBorder="1" applyAlignment="1">
      <alignment vertical="center"/>
    </xf>
    <xf numFmtId="0" fontId="6" fillId="3" borderId="40" xfId="0" applyFont="1" applyFill="1" applyBorder="1" applyAlignment="1">
      <alignment horizontal="center" vertical="center"/>
    </xf>
    <xf numFmtId="0" fontId="23" fillId="3" borderId="40" xfId="0" applyFont="1" applyFill="1" applyBorder="1" applyAlignment="1">
      <alignment vertical="center"/>
    </xf>
    <xf numFmtId="0" fontId="10" fillId="3" borderId="40" xfId="0" applyFont="1" applyFill="1" applyBorder="1" applyAlignment="1">
      <alignment vertical="center" wrapText="1"/>
    </xf>
    <xf numFmtId="0" fontId="20" fillId="0" borderId="38" xfId="0" applyFont="1" applyBorder="1" applyAlignment="1">
      <alignment horizontal="center" vertical="center" wrapText="1"/>
    </xf>
    <xf numFmtId="0" fontId="8" fillId="10" borderId="12" xfId="0" applyFont="1" applyFill="1" applyBorder="1" applyAlignment="1">
      <alignment vertical="center"/>
    </xf>
    <xf numFmtId="0" fontId="12" fillId="9" borderId="24" xfId="0" applyFont="1" applyFill="1" applyBorder="1" applyAlignment="1">
      <alignment horizontal="left" vertical="center"/>
    </xf>
    <xf numFmtId="0" fontId="43" fillId="3" borderId="40" xfId="0" applyFont="1" applyFill="1" applyBorder="1" applyAlignment="1">
      <alignment vertical="center" wrapText="1"/>
    </xf>
    <xf numFmtId="0" fontId="6" fillId="3" borderId="0" xfId="0" applyFont="1" applyFill="1" applyAlignment="1">
      <alignment horizontal="center" vertical="center" wrapText="1"/>
    </xf>
    <xf numFmtId="0" fontId="15" fillId="0" borderId="53" xfId="0" applyFont="1" applyBorder="1" applyAlignment="1">
      <alignment horizontal="center" vertical="center" wrapText="1"/>
    </xf>
    <xf numFmtId="0" fontId="15" fillId="0" borderId="57" xfId="0" applyFont="1" applyBorder="1" applyAlignment="1">
      <alignment horizontal="center" vertical="center" wrapText="1"/>
    </xf>
    <xf numFmtId="164" fontId="36" fillId="0" borderId="1" xfId="1" applyNumberFormat="1" applyFont="1" applyFill="1" applyBorder="1" applyAlignment="1">
      <alignment vertical="center"/>
    </xf>
    <xf numFmtId="0" fontId="27" fillId="11" borderId="26" xfId="0" applyFont="1" applyFill="1" applyBorder="1" applyAlignment="1">
      <alignment vertical="center"/>
    </xf>
    <xf numFmtId="0" fontId="48" fillId="13" borderId="1" xfId="0" applyFont="1" applyFill="1" applyBorder="1" applyAlignment="1">
      <alignment horizontal="center" vertical="center" wrapText="1" readingOrder="1"/>
    </xf>
    <xf numFmtId="0" fontId="27" fillId="11" borderId="41" xfId="0" applyFont="1" applyFill="1" applyBorder="1" applyAlignment="1">
      <alignment vertical="center"/>
    </xf>
    <xf numFmtId="0" fontId="27" fillId="0" borderId="0" xfId="0" applyFont="1" applyAlignment="1">
      <alignment vertical="center"/>
    </xf>
    <xf numFmtId="0" fontId="12" fillId="0" borderId="52" xfId="0" applyFont="1" applyBorder="1" applyAlignment="1">
      <alignment vertical="center" wrapText="1"/>
    </xf>
    <xf numFmtId="0" fontId="12" fillId="0" borderId="53" xfId="0" applyFont="1" applyBorder="1" applyAlignment="1">
      <alignment horizontal="left" vertical="center" wrapText="1"/>
    </xf>
    <xf numFmtId="0" fontId="12" fillId="0" borderId="0" xfId="0" applyFont="1" applyAlignment="1">
      <alignment horizontal="center" vertical="center" wrapText="1"/>
    </xf>
    <xf numFmtId="0" fontId="12" fillId="0" borderId="41" xfId="0" applyFont="1" applyBorder="1" applyAlignment="1">
      <alignment horizontal="center" vertical="center" wrapText="1"/>
    </xf>
    <xf numFmtId="0" fontId="12" fillId="0" borderId="53" xfId="0" applyFont="1" applyBorder="1" applyAlignment="1">
      <alignment vertical="center" wrapText="1"/>
    </xf>
    <xf numFmtId="0" fontId="12" fillId="0" borderId="35" xfId="0" applyFont="1" applyBorder="1" applyAlignment="1">
      <alignment horizontal="center" vertical="center" wrapText="1"/>
    </xf>
    <xf numFmtId="0" fontId="12" fillId="0" borderId="6" xfId="0" applyFont="1" applyBorder="1" applyAlignment="1">
      <alignment horizontal="center" vertical="center"/>
    </xf>
    <xf numFmtId="0" fontId="12" fillId="0" borderId="33" xfId="0" applyFont="1" applyBorder="1" applyAlignment="1">
      <alignment horizontal="left" vertical="center" wrapText="1"/>
    </xf>
    <xf numFmtId="0" fontId="5" fillId="2" borderId="26"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41" xfId="0" applyFont="1" applyFill="1" applyBorder="1" applyAlignment="1">
      <alignment horizontal="center" vertical="center" wrapText="1"/>
    </xf>
    <xf numFmtId="0" fontId="14" fillId="8" borderId="21" xfId="0" applyFont="1" applyFill="1" applyBorder="1" applyAlignment="1">
      <alignment horizontal="center" vertical="center" textRotation="90" wrapText="1"/>
    </xf>
    <xf numFmtId="0" fontId="14" fillId="8" borderId="10" xfId="0" applyFont="1" applyFill="1" applyBorder="1" applyAlignment="1">
      <alignment horizontal="center" vertical="center" textRotation="90" wrapText="1"/>
    </xf>
    <xf numFmtId="0" fontId="14" fillId="8" borderId="12" xfId="0" applyFont="1" applyFill="1" applyBorder="1" applyAlignment="1">
      <alignment horizontal="center" vertical="center" textRotation="90" wrapText="1"/>
    </xf>
    <xf numFmtId="0" fontId="13" fillId="4" borderId="8" xfId="0" applyFont="1" applyFill="1" applyBorder="1" applyAlignment="1">
      <alignment horizontal="center" vertical="center" textRotation="90" wrapText="1"/>
    </xf>
    <xf numFmtId="0" fontId="13" fillId="4" borderId="10" xfId="0" applyFont="1" applyFill="1" applyBorder="1" applyAlignment="1">
      <alignment horizontal="center" vertical="center" textRotation="90" wrapText="1"/>
    </xf>
    <xf numFmtId="0" fontId="13" fillId="4" borderId="12" xfId="0" applyFont="1" applyFill="1" applyBorder="1" applyAlignment="1">
      <alignment horizontal="center" vertical="center" textRotation="90" wrapText="1"/>
    </xf>
    <xf numFmtId="0" fontId="10" fillId="5" borderId="21" xfId="0" applyFont="1" applyFill="1" applyBorder="1" applyAlignment="1">
      <alignment horizontal="center" vertical="center" textRotation="90" wrapText="1"/>
    </xf>
    <xf numFmtId="0" fontId="10" fillId="5" borderId="10" xfId="0" applyFont="1" applyFill="1" applyBorder="1" applyAlignment="1">
      <alignment horizontal="center" vertical="center" textRotation="90" wrapText="1"/>
    </xf>
    <xf numFmtId="0" fontId="10" fillId="5" borderId="12" xfId="0" applyFont="1" applyFill="1" applyBorder="1" applyAlignment="1">
      <alignment horizontal="center" vertical="center" textRotation="90" wrapText="1"/>
    </xf>
    <xf numFmtId="0" fontId="10" fillId="6" borderId="21" xfId="0" applyFont="1" applyFill="1" applyBorder="1" applyAlignment="1">
      <alignment horizontal="center" vertical="center" textRotation="90" wrapText="1"/>
    </xf>
    <xf numFmtId="0" fontId="10" fillId="6" borderId="10" xfId="0" applyFont="1" applyFill="1" applyBorder="1" applyAlignment="1">
      <alignment horizontal="center" vertical="center" textRotation="90" wrapText="1"/>
    </xf>
    <xf numFmtId="0" fontId="10" fillId="6" borderId="12" xfId="0" applyFont="1" applyFill="1" applyBorder="1" applyAlignment="1">
      <alignment horizontal="center" vertical="center" textRotation="90" wrapText="1"/>
    </xf>
    <xf numFmtId="0" fontId="10" fillId="7" borderId="21" xfId="0" applyFont="1" applyFill="1" applyBorder="1" applyAlignment="1">
      <alignment horizontal="center" vertical="center" textRotation="90" wrapText="1"/>
    </xf>
    <xf numFmtId="0" fontId="10" fillId="7" borderId="10" xfId="0" applyFont="1" applyFill="1" applyBorder="1" applyAlignment="1">
      <alignment horizontal="center" vertical="center" textRotation="90" wrapText="1"/>
    </xf>
    <xf numFmtId="0" fontId="10" fillId="7" borderId="12" xfId="0" applyFont="1" applyFill="1" applyBorder="1" applyAlignment="1">
      <alignment horizontal="center" vertical="center" textRotation="90" wrapText="1"/>
    </xf>
    <xf numFmtId="0" fontId="14" fillId="8" borderId="36" xfId="0" applyFont="1" applyFill="1" applyBorder="1" applyAlignment="1">
      <alignment horizontal="center" vertical="center" textRotation="90" wrapText="1"/>
    </xf>
    <xf numFmtId="0" fontId="13" fillId="4" borderId="36" xfId="0" applyFont="1" applyFill="1" applyBorder="1" applyAlignment="1">
      <alignment horizontal="center" vertical="center" textRotation="90" wrapText="1"/>
    </xf>
    <xf numFmtId="0" fontId="10" fillId="5" borderId="8" xfId="0" applyFont="1" applyFill="1" applyBorder="1" applyAlignment="1">
      <alignment horizontal="center" vertical="center" textRotation="90" wrapText="1"/>
    </xf>
    <xf numFmtId="0" fontId="10" fillId="6" borderId="36" xfId="0" applyFont="1" applyFill="1" applyBorder="1" applyAlignment="1">
      <alignment horizontal="center" vertical="center" textRotation="90" wrapText="1"/>
    </xf>
    <xf numFmtId="0" fontId="10" fillId="7" borderId="8" xfId="0" applyFont="1" applyFill="1" applyBorder="1" applyAlignment="1">
      <alignment horizontal="center" vertical="center" textRotation="90" wrapText="1"/>
    </xf>
    <xf numFmtId="0" fontId="10" fillId="7" borderId="36" xfId="0" applyFont="1" applyFill="1" applyBorder="1" applyAlignment="1">
      <alignment horizontal="center" vertical="center" textRotation="90" wrapText="1"/>
    </xf>
    <xf numFmtId="0" fontId="6" fillId="5" borderId="25" xfId="0" applyFont="1" applyFill="1" applyBorder="1" applyAlignment="1">
      <alignment horizontal="center" vertical="center" textRotation="90" wrapText="1"/>
    </xf>
    <xf numFmtId="0" fontId="6" fillId="5" borderId="51" xfId="0" applyFont="1" applyFill="1" applyBorder="1" applyAlignment="1">
      <alignment horizontal="center" vertical="center" textRotation="90" wrapText="1"/>
    </xf>
    <xf numFmtId="0" fontId="6" fillId="5" borderId="47" xfId="0" applyFont="1" applyFill="1" applyBorder="1" applyAlignment="1">
      <alignment horizontal="center" vertical="center" textRotation="90" wrapText="1"/>
    </xf>
    <xf numFmtId="0" fontId="6" fillId="6" borderId="51" xfId="0" applyFont="1" applyFill="1" applyBorder="1" applyAlignment="1">
      <alignment horizontal="center" vertical="center" textRotation="90" wrapText="1"/>
    </xf>
    <xf numFmtId="0" fontId="6" fillId="6" borderId="47" xfId="0" applyFont="1" applyFill="1" applyBorder="1" applyAlignment="1">
      <alignment horizontal="center" vertical="center" textRotation="90" wrapText="1"/>
    </xf>
    <xf numFmtId="0" fontId="6" fillId="7" borderId="25" xfId="0" applyFont="1" applyFill="1" applyBorder="1" applyAlignment="1">
      <alignment horizontal="center" vertical="center" textRotation="90" wrapText="1"/>
    </xf>
    <xf numFmtId="0" fontId="6" fillId="7" borderId="26" xfId="0" applyFont="1" applyFill="1" applyBorder="1" applyAlignment="1">
      <alignment horizontal="center" vertical="center" textRotation="90" wrapText="1"/>
    </xf>
    <xf numFmtId="0" fontId="6" fillId="7" borderId="27" xfId="0" applyFont="1" applyFill="1" applyBorder="1" applyAlignment="1">
      <alignment horizontal="center" vertical="center" textRotation="90" wrapText="1"/>
    </xf>
    <xf numFmtId="0" fontId="11" fillId="8" borderId="51" xfId="0" applyFont="1" applyFill="1" applyBorder="1" applyAlignment="1">
      <alignment horizontal="center" vertical="center" textRotation="90" wrapText="1"/>
    </xf>
    <xf numFmtId="0" fontId="11" fillId="8" borderId="47" xfId="0" applyFont="1" applyFill="1" applyBorder="1" applyAlignment="1">
      <alignment horizontal="center" vertical="center" textRotation="90" wrapText="1"/>
    </xf>
    <xf numFmtId="0" fontId="9" fillId="4" borderId="26" xfId="0" applyFont="1" applyFill="1" applyBorder="1" applyAlignment="1">
      <alignment horizontal="center" vertical="center" textRotation="90" wrapText="1"/>
    </xf>
    <xf numFmtId="0" fontId="9" fillId="4" borderId="27" xfId="0" applyFont="1" applyFill="1" applyBorder="1" applyAlignment="1">
      <alignment horizontal="center" vertical="center" textRotation="90" wrapText="1"/>
    </xf>
    <xf numFmtId="0" fontId="29" fillId="10" borderId="23" xfId="0" applyFont="1" applyFill="1" applyBorder="1" applyAlignment="1">
      <alignment horizontal="right" vertical="center"/>
    </xf>
    <xf numFmtId="0" fontId="29" fillId="10" borderId="32" xfId="0" applyFont="1" applyFill="1" applyBorder="1" applyAlignment="1">
      <alignment horizontal="right" vertical="center"/>
    </xf>
    <xf numFmtId="0" fontId="29" fillId="10" borderId="45" xfId="0" applyFont="1" applyFill="1" applyBorder="1" applyAlignment="1">
      <alignment horizontal="right" vertical="center"/>
    </xf>
    <xf numFmtId="14" fontId="29" fillId="12" borderId="18" xfId="0" applyNumberFormat="1" applyFont="1" applyFill="1" applyBorder="1" applyAlignment="1" applyProtection="1">
      <alignment horizontal="center" vertical="center"/>
      <protection locked="0"/>
    </xf>
    <xf numFmtId="14" fontId="29" fillId="12" borderId="45" xfId="0" applyNumberFormat="1" applyFont="1" applyFill="1" applyBorder="1" applyAlignment="1" applyProtection="1">
      <alignment horizontal="center" vertical="center"/>
      <protection locked="0"/>
    </xf>
    <xf numFmtId="0" fontId="25" fillId="12" borderId="37" xfId="0" applyFont="1" applyFill="1" applyBorder="1" applyAlignment="1">
      <alignment horizontal="center" vertical="center"/>
    </xf>
    <xf numFmtId="0" fontId="25" fillId="12" borderId="47" xfId="0" applyFont="1" applyFill="1" applyBorder="1" applyAlignment="1">
      <alignment horizontal="center" vertical="center"/>
    </xf>
    <xf numFmtId="164" fontId="37" fillId="0" borderId="37" xfId="1" applyNumberFormat="1" applyFont="1" applyFill="1" applyBorder="1" applyAlignment="1">
      <alignment horizontal="center" vertical="center"/>
    </xf>
    <xf numFmtId="164" fontId="37" fillId="0" borderId="47" xfId="1" applyNumberFormat="1" applyFont="1" applyFill="1" applyBorder="1" applyAlignment="1">
      <alignment horizontal="center" vertical="center"/>
    </xf>
    <xf numFmtId="0" fontId="36" fillId="12" borderId="25" xfId="0" applyFont="1" applyFill="1" applyBorder="1" applyAlignment="1">
      <alignment horizontal="center" vertical="center"/>
    </xf>
    <xf numFmtId="0" fontId="36" fillId="12" borderId="39" xfId="0" applyFont="1" applyFill="1" applyBorder="1" applyAlignment="1">
      <alignment horizontal="center" vertical="center"/>
    </xf>
    <xf numFmtId="0" fontId="36" fillId="12" borderId="42" xfId="0" applyFont="1" applyFill="1" applyBorder="1" applyAlignment="1">
      <alignment horizontal="center" vertical="center"/>
    </xf>
    <xf numFmtId="0" fontId="36" fillId="12" borderId="27" xfId="0" applyFont="1" applyFill="1" applyBorder="1" applyAlignment="1">
      <alignment horizontal="center" vertical="center"/>
    </xf>
    <xf numFmtId="0" fontId="36" fillId="12" borderId="40" xfId="0" applyFont="1" applyFill="1" applyBorder="1" applyAlignment="1">
      <alignment horizontal="center" vertical="center"/>
    </xf>
    <xf numFmtId="0" fontId="36" fillId="12" borderId="38" xfId="0" applyFont="1" applyFill="1" applyBorder="1" applyAlignment="1">
      <alignment horizontal="center" vertical="center"/>
    </xf>
    <xf numFmtId="0" fontId="25" fillId="11" borderId="15" xfId="0" applyFont="1" applyFill="1" applyBorder="1" applyAlignment="1">
      <alignment horizontal="center" vertical="center"/>
    </xf>
    <xf numFmtId="0" fontId="25" fillId="11" borderId="43" xfId="0" applyFont="1" applyFill="1" applyBorder="1" applyAlignment="1">
      <alignment horizontal="center" vertical="center"/>
    </xf>
    <xf numFmtId="0" fontId="25" fillId="11" borderId="16" xfId="0" applyFont="1" applyFill="1" applyBorder="1" applyAlignment="1">
      <alignment horizontal="center" vertical="center"/>
    </xf>
    <xf numFmtId="0" fontId="29" fillId="11" borderId="15" xfId="0" applyFont="1" applyFill="1" applyBorder="1" applyAlignment="1">
      <alignment horizontal="center" vertical="center"/>
    </xf>
    <xf numFmtId="0" fontId="29" fillId="11" borderId="16" xfId="0" applyFont="1" applyFill="1" applyBorder="1" applyAlignment="1">
      <alignment horizontal="center" vertical="center"/>
    </xf>
    <xf numFmtId="0" fontId="48" fillId="13" borderId="15" xfId="0" applyFont="1" applyFill="1" applyBorder="1" applyAlignment="1">
      <alignment horizontal="center" vertical="center" wrapText="1" readingOrder="1"/>
    </xf>
    <xf numFmtId="0" fontId="48" fillId="13" borderId="43" xfId="0" applyFont="1" applyFill="1" applyBorder="1" applyAlignment="1">
      <alignment horizontal="center" vertical="center" wrapText="1" readingOrder="1"/>
    </xf>
    <xf numFmtId="0" fontId="48" fillId="13" borderId="16" xfId="0" applyFont="1" applyFill="1" applyBorder="1" applyAlignment="1">
      <alignment horizontal="center" vertical="center" wrapText="1" readingOrder="1"/>
    </xf>
    <xf numFmtId="0" fontId="31" fillId="12" borderId="15" xfId="0" applyFont="1" applyFill="1" applyBorder="1" applyAlignment="1">
      <alignment horizontal="center" vertical="center" wrapText="1" readingOrder="1"/>
    </xf>
    <xf numFmtId="0" fontId="31" fillId="12" borderId="43" xfId="0" applyFont="1" applyFill="1" applyBorder="1" applyAlignment="1">
      <alignment horizontal="center" vertical="center" wrapText="1" readingOrder="1"/>
    </xf>
    <xf numFmtId="0" fontId="31" fillId="12" borderId="16" xfId="0" applyFont="1" applyFill="1" applyBorder="1" applyAlignment="1">
      <alignment horizontal="center" vertical="center" wrapText="1" readingOrder="1"/>
    </xf>
    <xf numFmtId="0" fontId="41" fillId="0" borderId="15" xfId="0" applyFont="1" applyBorder="1" applyAlignment="1">
      <alignment horizontal="center" vertical="center" wrapText="1" readingOrder="1"/>
    </xf>
    <xf numFmtId="0" fontId="39" fillId="0" borderId="16" xfId="0" applyFont="1" applyBorder="1" applyAlignment="1">
      <alignment horizontal="center" vertical="center" wrapText="1" readingOrder="1"/>
    </xf>
    <xf numFmtId="164" fontId="47" fillId="0" borderId="15" xfId="0" applyNumberFormat="1" applyFont="1" applyBorder="1" applyAlignment="1">
      <alignment horizontal="center" vertical="center" wrapText="1" readingOrder="1"/>
    </xf>
    <xf numFmtId="0" fontId="47" fillId="0" borderId="16" xfId="0" applyFont="1" applyBorder="1" applyAlignment="1">
      <alignment horizontal="center" vertical="center" wrapText="1" readingOrder="1"/>
    </xf>
    <xf numFmtId="0" fontId="39" fillId="0" borderId="15" xfId="0" applyFont="1" applyBorder="1" applyAlignment="1">
      <alignment horizontal="center" vertical="center" wrapText="1" readingOrder="1"/>
    </xf>
    <xf numFmtId="0" fontId="33" fillId="11" borderId="15" xfId="0" applyFont="1" applyFill="1" applyBorder="1" applyAlignment="1">
      <alignment horizontal="center" vertical="center"/>
    </xf>
    <xf numFmtId="0" fontId="33" fillId="11" borderId="43" xfId="0" applyFont="1" applyFill="1" applyBorder="1" applyAlignment="1">
      <alignment horizontal="center" vertical="center"/>
    </xf>
    <xf numFmtId="0" fontId="33" fillId="11" borderId="16" xfId="0" applyFont="1" applyFill="1" applyBorder="1" applyAlignment="1">
      <alignment horizontal="center" vertical="center"/>
    </xf>
    <xf numFmtId="0" fontId="29" fillId="11" borderId="19" xfId="0" applyFont="1" applyFill="1" applyBorder="1" applyAlignment="1" applyProtection="1">
      <alignment horizontal="center" vertical="center"/>
      <protection locked="0"/>
    </xf>
    <xf numFmtId="0" fontId="29" fillId="12" borderId="31" xfId="0" applyFont="1" applyFill="1" applyBorder="1" applyAlignment="1" applyProtection="1">
      <alignment horizontal="center" vertical="center"/>
      <protection locked="0"/>
    </xf>
    <xf numFmtId="0" fontId="29" fillId="12" borderId="44" xfId="0" applyFont="1" applyFill="1" applyBorder="1" applyAlignment="1" applyProtection="1">
      <alignment horizontal="center" vertical="center"/>
      <protection locked="0"/>
    </xf>
    <xf numFmtId="0" fontId="29" fillId="10" borderId="21" xfId="0" applyFont="1" applyFill="1" applyBorder="1" applyAlignment="1">
      <alignment horizontal="right" vertical="center"/>
    </xf>
    <xf numFmtId="0" fontId="29" fillId="10" borderId="22" xfId="0" applyFont="1" applyFill="1" applyBorder="1" applyAlignment="1">
      <alignment horizontal="right" vertical="center"/>
    </xf>
    <xf numFmtId="0" fontId="29" fillId="10" borderId="10" xfId="0" applyFont="1" applyFill="1" applyBorder="1" applyAlignment="1">
      <alignment horizontal="right" vertical="center"/>
    </xf>
    <xf numFmtId="0" fontId="29" fillId="10" borderId="17" xfId="0" applyFont="1" applyFill="1" applyBorder="1" applyAlignment="1">
      <alignment horizontal="right" vertical="center"/>
    </xf>
    <xf numFmtId="0" fontId="29" fillId="10" borderId="12" xfId="0" applyFont="1" applyFill="1" applyBorder="1" applyAlignment="1">
      <alignment horizontal="right" vertical="center"/>
    </xf>
    <xf numFmtId="0" fontId="29" fillId="10" borderId="19" xfId="0" applyFont="1" applyFill="1" applyBorder="1" applyAlignment="1">
      <alignment horizontal="right" vertical="center"/>
    </xf>
    <xf numFmtId="0" fontId="37" fillId="12" borderId="25" xfId="0" applyFont="1" applyFill="1" applyBorder="1" applyAlignment="1">
      <alignment horizontal="center" vertical="center"/>
    </xf>
    <xf numFmtId="0" fontId="37" fillId="12" borderId="39" xfId="0" applyFont="1" applyFill="1" applyBorder="1" applyAlignment="1">
      <alignment horizontal="center" vertical="center"/>
    </xf>
    <xf numFmtId="0" fontId="37" fillId="12" borderId="42" xfId="0" applyFont="1" applyFill="1" applyBorder="1" applyAlignment="1">
      <alignment horizontal="center" vertical="center"/>
    </xf>
    <xf numFmtId="0" fontId="37" fillId="12" borderId="27" xfId="0" applyFont="1" applyFill="1" applyBorder="1" applyAlignment="1">
      <alignment horizontal="center" vertical="center"/>
    </xf>
    <xf numFmtId="0" fontId="37" fillId="12" borderId="40" xfId="0" applyFont="1" applyFill="1" applyBorder="1" applyAlignment="1">
      <alignment horizontal="center" vertical="center"/>
    </xf>
    <xf numFmtId="0" fontId="37" fillId="12" borderId="38" xfId="0" applyFont="1" applyFill="1" applyBorder="1" applyAlignment="1">
      <alignment horizontal="center" vertical="center"/>
    </xf>
    <xf numFmtId="0" fontId="33" fillId="10" borderId="49" xfId="0" applyFont="1" applyFill="1" applyBorder="1" applyAlignment="1">
      <alignment horizontal="center" vertical="center"/>
    </xf>
    <xf numFmtId="0" fontId="33" fillId="10" borderId="39" xfId="0" applyFont="1" applyFill="1" applyBorder="1" applyAlignment="1">
      <alignment horizontal="center" vertical="center"/>
    </xf>
    <xf numFmtId="0" fontId="33" fillId="10" borderId="42" xfId="0" applyFont="1" applyFill="1" applyBorder="1" applyAlignment="1">
      <alignment horizontal="center" vertical="center"/>
    </xf>
    <xf numFmtId="0" fontId="33" fillId="10" borderId="46" xfId="0" applyFont="1" applyFill="1" applyBorder="1" applyAlignment="1">
      <alignment horizontal="center" vertical="center"/>
    </xf>
    <xf numFmtId="0" fontId="33" fillId="10" borderId="0" xfId="0" applyFont="1" applyFill="1" applyAlignment="1">
      <alignment horizontal="center" vertical="center"/>
    </xf>
    <xf numFmtId="0" fontId="33" fillId="10" borderId="41" xfId="0" applyFont="1" applyFill="1" applyBorder="1" applyAlignment="1">
      <alignment horizontal="center" vertical="center"/>
    </xf>
    <xf numFmtId="0" fontId="33" fillId="10" borderId="48" xfId="0" applyFont="1" applyFill="1" applyBorder="1" applyAlignment="1">
      <alignment horizontal="center" vertical="center"/>
    </xf>
    <xf numFmtId="0" fontId="33" fillId="10" borderId="40" xfId="0" applyFont="1" applyFill="1" applyBorder="1" applyAlignment="1">
      <alignment horizontal="center" vertical="center"/>
    </xf>
    <xf numFmtId="0" fontId="33" fillId="10" borderId="38" xfId="0" applyFont="1" applyFill="1" applyBorder="1" applyAlignment="1">
      <alignment horizontal="center" vertical="center"/>
    </xf>
    <xf numFmtId="0" fontId="25" fillId="11" borderId="15" xfId="0" applyFont="1" applyFill="1" applyBorder="1" applyAlignment="1">
      <alignment horizontal="center" vertical="center" wrapText="1"/>
    </xf>
    <xf numFmtId="0" fontId="25" fillId="11" borderId="43" xfId="0" applyFont="1" applyFill="1" applyBorder="1" applyAlignment="1">
      <alignment horizontal="center" vertical="center" wrapText="1"/>
    </xf>
    <xf numFmtId="0" fontId="25" fillId="11" borderId="16" xfId="0" applyFont="1" applyFill="1" applyBorder="1" applyAlignment="1">
      <alignment horizontal="center" vertical="center" wrapText="1"/>
    </xf>
  </cellXfs>
  <cellStyles count="2">
    <cellStyle name="Comma" xfId="1" builtinId="3"/>
    <cellStyle name="Normal" xfId="0" builtinId="0"/>
  </cellStyles>
  <dxfs count="31">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font>
      <fill>
        <patternFill>
          <bgColor theme="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s>
  <tableStyles count="0" defaultTableStyle="TableStyleMedium2" defaultPivotStyle="PivotStyleLight16"/>
  <colors>
    <mruColors>
      <color rgb="FF0000FF"/>
      <color rgb="FFFFFF99"/>
      <color rgb="FFFFC1C1"/>
      <color rgb="FFBF8F00"/>
      <color rgb="FF4472C4"/>
      <color rgb="FFFF33CC"/>
      <color rgb="FF5DFF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35064604255983"/>
          <c:y val="0.13541626719488883"/>
          <c:w val="0.57712490957581009"/>
          <c:h val="0.72855715818221078"/>
        </c:manualLayout>
      </c:layout>
      <c:radarChart>
        <c:radarStyle val="filled"/>
        <c:varyColors val="0"/>
        <c:ser>
          <c:idx val="0"/>
          <c:order val="0"/>
          <c:tx>
            <c:strRef>
              <c:f>'Calculation sheet'!$B$16</c:f>
              <c:strCache>
                <c:ptCount val="1"/>
                <c:pt idx="0">
                  <c:v>Score</c:v>
                </c:pt>
              </c:strCache>
            </c:strRef>
          </c:tx>
          <c:spPr>
            <a:noFill/>
            <a:ln w="28575">
              <a:solidFill>
                <a:srgbClr val="FF0000"/>
              </a:solidFill>
            </a:ln>
            <a:effectLst/>
          </c:spPr>
          <c:cat>
            <c:strRef>
              <c:f>'Calculation sheet'!$A$16:$A$31</c:f>
              <c:strCache>
                <c:ptCount val="16"/>
                <c:pt idx="1">
                  <c:v>Design</c:v>
                </c:pt>
                <c:pt idx="2">
                  <c:v>Integration</c:v>
                </c:pt>
                <c:pt idx="3">
                  <c:v>Change &amp; Emergency</c:v>
                </c:pt>
                <c:pt idx="5">
                  <c:v>Participation</c:v>
                </c:pt>
                <c:pt idx="6">
                  <c:v>Information</c:v>
                </c:pt>
                <c:pt idx="7">
                  <c:v>Communication</c:v>
                </c:pt>
                <c:pt idx="9">
                  <c:v>Action</c:v>
                </c:pt>
                <c:pt idx="10">
                  <c:v>Capability</c:v>
                </c:pt>
                <c:pt idx="11">
                  <c:v>Knowledge</c:v>
                </c:pt>
                <c:pt idx="13">
                  <c:v>Prioritization</c:v>
                </c:pt>
                <c:pt idx="14">
                  <c:v>Decision</c:v>
                </c:pt>
                <c:pt idx="15">
                  <c:v>Support</c:v>
                </c:pt>
              </c:strCache>
            </c:strRef>
          </c:cat>
          <c:val>
            <c:numRef>
              <c:f>'Calculation sheet'!$B$16:$B$31</c:f>
              <c:numCache>
                <c:formatCode>General</c:formatCode>
                <c:ptCount val="16"/>
                <c:pt idx="0">
                  <c:v>0</c:v>
                </c:pt>
                <c:pt idx="1">
                  <c:v>0</c:v>
                </c:pt>
                <c:pt idx="2">
                  <c:v>0</c:v>
                </c:pt>
                <c:pt idx="3">
                  <c:v>0</c:v>
                </c:pt>
                <c:pt idx="5">
                  <c:v>0</c:v>
                </c:pt>
                <c:pt idx="6">
                  <c:v>0</c:v>
                </c:pt>
                <c:pt idx="7">
                  <c:v>0</c:v>
                </c:pt>
                <c:pt idx="9">
                  <c:v>0</c:v>
                </c:pt>
                <c:pt idx="10">
                  <c:v>0</c:v>
                </c:pt>
                <c:pt idx="11">
                  <c:v>0</c:v>
                </c:pt>
                <c:pt idx="13">
                  <c:v>0</c:v>
                </c:pt>
                <c:pt idx="14">
                  <c:v>0</c:v>
                </c:pt>
                <c:pt idx="15">
                  <c:v>0</c:v>
                </c:pt>
              </c:numCache>
            </c:numRef>
          </c:val>
          <c:extLst>
            <c:ext xmlns:c16="http://schemas.microsoft.com/office/drawing/2014/chart" uri="{C3380CC4-5D6E-409C-BE32-E72D297353CC}">
              <c16:uniqueId val="{00000000-7FC2-4162-B497-DD8BB83D7919}"/>
            </c:ext>
          </c:extLst>
        </c:ser>
        <c:dLbls>
          <c:showLegendKey val="0"/>
          <c:showVal val="0"/>
          <c:showCatName val="0"/>
          <c:showSerName val="0"/>
          <c:showPercent val="0"/>
          <c:showBubbleSize val="0"/>
        </c:dLbls>
        <c:axId val="635171952"/>
        <c:axId val="635176544"/>
      </c:radarChart>
      <c:catAx>
        <c:axId val="63517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lang="ja-JP" sz="1400" b="1" i="0" u="none" strike="noStrike" kern="1200" baseline="0">
                <a:solidFill>
                  <a:schemeClr val="tx1">
                    <a:lumMod val="65000"/>
                    <a:lumOff val="35000"/>
                  </a:schemeClr>
                </a:solidFill>
                <a:latin typeface="+mn-lt"/>
                <a:ea typeface="+mn-ea"/>
                <a:cs typeface="+mn-cs"/>
              </a:defRPr>
            </a:pPr>
            <a:endParaRPr lang="ja-JP"/>
          </a:p>
        </c:txPr>
        <c:crossAx val="635176544"/>
        <c:crosses val="autoZero"/>
        <c:auto val="1"/>
        <c:lblAlgn val="ctr"/>
        <c:lblOffset val="100"/>
        <c:noMultiLvlLbl val="0"/>
      </c:catAx>
      <c:valAx>
        <c:axId val="635176544"/>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200" b="0" i="0" u="none" strike="noStrike" kern="1200" baseline="0">
                <a:solidFill>
                  <a:schemeClr val="tx1">
                    <a:lumMod val="65000"/>
                    <a:lumOff val="35000"/>
                  </a:schemeClr>
                </a:solidFill>
                <a:latin typeface="+mn-lt"/>
                <a:ea typeface="+mn-ea"/>
                <a:cs typeface="+mn-cs"/>
              </a:defRPr>
            </a:pPr>
            <a:endParaRPr lang="ja-JP"/>
          </a:p>
        </c:txPr>
        <c:crossAx val="635171952"/>
        <c:crosses val="autoZero"/>
        <c:crossBetween val="between"/>
        <c:majorUnit val="1"/>
      </c:valAx>
      <c:spPr>
        <a:noFill/>
        <a:ln>
          <a:noFill/>
        </a:ln>
        <a:effectLst/>
      </c:spPr>
    </c:plotArea>
    <c:plotVisOnly val="1"/>
    <c:dispBlanksAs val="span"/>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608564581581905"/>
          <c:y val="0.13541626719488883"/>
          <c:w val="0.56347298995932948"/>
          <c:h val="0.72023615184855849"/>
        </c:manualLayout>
      </c:layout>
      <c:radarChart>
        <c:radarStyle val="filled"/>
        <c:varyColors val="0"/>
        <c:ser>
          <c:idx val="0"/>
          <c:order val="0"/>
          <c:tx>
            <c:strRef>
              <c:f>'Calculation sheet'!$A$35:$A$49</c:f>
              <c:strCache>
                <c:ptCount val="15"/>
                <c:pt idx="0">
                  <c:v>Training and Education</c:v>
                </c:pt>
                <c:pt idx="1">
                  <c:v>Emergency Planning</c:v>
                </c:pt>
                <c:pt idx="2">
                  <c:v>Communication</c:v>
                </c:pt>
                <c:pt idx="3">
                  <c:v>LOTO Standard</c:v>
                </c:pt>
                <c:pt idx="4">
                  <c:v>Safety Rules</c:v>
                </c:pt>
                <c:pt idx="5">
                  <c:v>Work at Height</c:v>
                </c:pt>
                <c:pt idx="6">
                  <c:v>Mobile Equipment</c:v>
                </c:pt>
                <c:pt idx="7">
                  <c:v>3S</c:v>
                </c:pt>
                <c:pt idx="8">
                  <c:v>Crane and Hoist</c:v>
                </c:pt>
                <c:pt idx="9">
                  <c:v>KY </c:v>
                </c:pt>
                <c:pt idx="10">
                  <c:v>Tire Inflation Operation</c:v>
                </c:pt>
                <c:pt idx="11">
                  <c:v>Contractor management</c:v>
                </c:pt>
                <c:pt idx="12">
                  <c:v>Large Tire Manual Handling</c:v>
                </c:pt>
                <c:pt idx="13">
                  <c:v>Risk Assessment</c:v>
                </c:pt>
                <c:pt idx="14">
                  <c:v>Incidents management</c:v>
                </c:pt>
              </c:strCache>
            </c:strRef>
          </c:tx>
          <c:spPr>
            <a:noFill/>
            <a:ln w="28575">
              <a:solidFill>
                <a:srgbClr val="FF0000"/>
              </a:solidFill>
            </a:ln>
            <a:effectLst/>
          </c:spPr>
          <c:cat>
            <c:strRef>
              <c:f>'Calculation sheet'!$A$35:$A$49</c:f>
              <c:strCache>
                <c:ptCount val="15"/>
                <c:pt idx="0">
                  <c:v>Training and Education</c:v>
                </c:pt>
                <c:pt idx="1">
                  <c:v>Emergency Planning</c:v>
                </c:pt>
                <c:pt idx="2">
                  <c:v>Communication</c:v>
                </c:pt>
                <c:pt idx="3">
                  <c:v>LOTO Standard</c:v>
                </c:pt>
                <c:pt idx="4">
                  <c:v>Safety Rules</c:v>
                </c:pt>
                <c:pt idx="5">
                  <c:v>Work at Height</c:v>
                </c:pt>
                <c:pt idx="6">
                  <c:v>Mobile Equipment</c:v>
                </c:pt>
                <c:pt idx="7">
                  <c:v>3S</c:v>
                </c:pt>
                <c:pt idx="8">
                  <c:v>Crane and Hoist</c:v>
                </c:pt>
                <c:pt idx="9">
                  <c:v>KY </c:v>
                </c:pt>
                <c:pt idx="10">
                  <c:v>Tire Inflation Operation</c:v>
                </c:pt>
                <c:pt idx="11">
                  <c:v>Contractor management</c:v>
                </c:pt>
                <c:pt idx="12">
                  <c:v>Large Tire Manual Handling</c:v>
                </c:pt>
                <c:pt idx="13">
                  <c:v>Risk Assessment</c:v>
                </c:pt>
                <c:pt idx="14">
                  <c:v>Incidents management</c:v>
                </c:pt>
              </c:strCache>
            </c:strRef>
          </c:cat>
          <c:val>
            <c:numRef>
              <c:f>'Calculation sheet'!$B$35:$B$49</c:f>
              <c:numCache>
                <c:formatCode>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F938-41C5-AE22-8D96A42568C5}"/>
            </c:ext>
          </c:extLst>
        </c:ser>
        <c:dLbls>
          <c:showLegendKey val="0"/>
          <c:showVal val="0"/>
          <c:showCatName val="0"/>
          <c:showSerName val="0"/>
          <c:showPercent val="0"/>
          <c:showBubbleSize val="0"/>
        </c:dLbls>
        <c:axId val="635171952"/>
        <c:axId val="635176544"/>
      </c:radarChart>
      <c:catAx>
        <c:axId val="63517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lang="ja-JP" sz="1200" b="1" i="0" u="none" strike="noStrike" kern="1200" baseline="0">
                <a:solidFill>
                  <a:schemeClr val="tx1">
                    <a:lumMod val="65000"/>
                    <a:lumOff val="35000"/>
                  </a:schemeClr>
                </a:solidFill>
                <a:latin typeface="+mn-lt"/>
                <a:ea typeface="+mn-ea"/>
                <a:cs typeface="+mn-cs"/>
              </a:defRPr>
            </a:pPr>
            <a:endParaRPr lang="ja-JP"/>
          </a:p>
        </c:txPr>
        <c:crossAx val="635176544"/>
        <c:crosses val="autoZero"/>
        <c:auto val="1"/>
        <c:lblAlgn val="ctr"/>
        <c:lblOffset val="100"/>
        <c:noMultiLvlLbl val="0"/>
      </c:catAx>
      <c:valAx>
        <c:axId val="635176544"/>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1100" b="0" i="0" u="none" strike="noStrike" kern="1200" baseline="0">
                <a:solidFill>
                  <a:schemeClr val="tx1">
                    <a:lumMod val="65000"/>
                    <a:lumOff val="35000"/>
                  </a:schemeClr>
                </a:solidFill>
                <a:latin typeface="+mn-lt"/>
                <a:ea typeface="+mn-ea"/>
                <a:cs typeface="+mn-cs"/>
              </a:defRPr>
            </a:pPr>
            <a:endParaRPr lang="ja-JP"/>
          </a:p>
        </c:txPr>
        <c:crossAx val="635171952"/>
        <c:crosses val="autoZero"/>
        <c:crossBetween val="between"/>
        <c:majorUnit val="0.2"/>
      </c:valAx>
      <c:spPr>
        <a:noFill/>
        <a:ln>
          <a:noFill/>
        </a:ln>
        <a:effectLst/>
      </c:spPr>
    </c:plotArea>
    <c:plotVisOnly val="1"/>
    <c:dispBlanksAs val="span"/>
    <c:showDLblsOverMax val="0"/>
  </c:chart>
  <c:spPr>
    <a:solidFill>
      <a:schemeClr val="bg1"/>
    </a:solidFill>
    <a:ln w="9525" cap="flat" cmpd="sng" algn="ctr">
      <a:noFill/>
      <a:round/>
    </a:ln>
    <a:effectLst/>
  </c:spPr>
  <c:txPr>
    <a:bodyPr/>
    <a:lstStyle/>
    <a:p>
      <a:pPr>
        <a:defRPr/>
      </a:pPr>
      <a:endParaRPr lang="ja-JP"/>
    </a:p>
  </c:txPr>
  <c:printSettings>
    <c:headerFooter/>
    <c:pageMargins b="0.74803149606299213" l="0.31496062992125984" r="0.31496062992125984" t="0.74803149606299213" header="0.31496062992125984" footer="0.31496062992125984"/>
    <c:pageSetup paperSize="8"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85223</xdr:colOff>
      <xdr:row>32</xdr:row>
      <xdr:rowOff>175461</xdr:rowOff>
    </xdr:from>
    <xdr:to>
      <xdr:col>9</xdr:col>
      <xdr:colOff>1733349</xdr:colOff>
      <xdr:row>44</xdr:row>
      <xdr:rowOff>134052</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fPrintsWithSheet="0"/>
  </xdr:twoCellAnchor>
  <xdr:twoCellAnchor editAs="oneCell">
    <xdr:from>
      <xdr:col>11</xdr:col>
      <xdr:colOff>16343</xdr:colOff>
      <xdr:row>32</xdr:row>
      <xdr:rowOff>112795</xdr:rowOff>
    </xdr:from>
    <xdr:to>
      <xdr:col>15</xdr:col>
      <xdr:colOff>2008142</xdr:colOff>
      <xdr:row>44</xdr:row>
      <xdr:rowOff>1139</xdr:rowOff>
    </xdr:to>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fPrintsWithSheet="0"/>
  </xdr:twoCellAnchor>
  <xdr:twoCellAnchor>
    <xdr:from>
      <xdr:col>6</xdr:col>
      <xdr:colOff>921602</xdr:colOff>
      <xdr:row>31</xdr:row>
      <xdr:rowOff>248846</xdr:rowOff>
    </xdr:from>
    <xdr:to>
      <xdr:col>6</xdr:col>
      <xdr:colOff>947781</xdr:colOff>
      <xdr:row>44</xdr:row>
      <xdr:rowOff>225592</xdr:rowOff>
    </xdr:to>
    <xdr:cxnSp macro="">
      <xdr:nvCxnSpPr>
        <xdr:cNvPr id="7" name="Straight Connector 6">
          <a:extLst>
            <a:ext uri="{FF2B5EF4-FFF2-40B4-BE49-F238E27FC236}">
              <a16:creationId xmlns:a16="http://schemas.microsoft.com/office/drawing/2014/main" id="{00000000-0008-0000-0400-000007000000}"/>
            </a:ext>
          </a:extLst>
        </xdr:cNvPr>
        <xdr:cNvCxnSpPr/>
      </xdr:nvCxnSpPr>
      <xdr:spPr>
        <a:xfrm>
          <a:off x="4105673" y="8249846"/>
          <a:ext cx="26179" cy="4222175"/>
        </a:xfrm>
        <a:prstGeom prst="line">
          <a:avLst/>
        </a:prstGeom>
        <a:ln w="22225">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372257</xdr:colOff>
      <xdr:row>38</xdr:row>
      <xdr:rowOff>112022</xdr:rowOff>
    </xdr:from>
    <xdr:to>
      <xdr:col>9</xdr:col>
      <xdr:colOff>1231164</xdr:colOff>
      <xdr:row>38</xdr:row>
      <xdr:rowOff>154672</xdr:rowOff>
    </xdr:to>
    <xdr:cxnSp macro="">
      <xdr:nvCxnSpPr>
        <xdr:cNvPr id="8" name="Straight Connector 7">
          <a:extLst>
            <a:ext uri="{FF2B5EF4-FFF2-40B4-BE49-F238E27FC236}">
              <a16:creationId xmlns:a16="http://schemas.microsoft.com/office/drawing/2014/main" id="{00000000-0008-0000-0400-000008000000}"/>
            </a:ext>
          </a:extLst>
        </xdr:cNvPr>
        <xdr:cNvCxnSpPr/>
      </xdr:nvCxnSpPr>
      <xdr:spPr>
        <a:xfrm flipV="1">
          <a:off x="807350" y="9096096"/>
          <a:ext cx="5903629" cy="42650"/>
        </a:xfrm>
        <a:prstGeom prst="line">
          <a:avLst/>
        </a:prstGeom>
        <a:ln w="22225">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xdr:col>
      <xdr:colOff>397691</xdr:colOff>
      <xdr:row>3</xdr:row>
      <xdr:rowOff>85116</xdr:rowOff>
    </xdr:from>
    <xdr:to>
      <xdr:col>17</xdr:col>
      <xdr:colOff>1821</xdr:colOff>
      <xdr:row>6</xdr:row>
      <xdr:rowOff>206571</xdr:rowOff>
    </xdr:to>
    <xdr:pic>
      <xdr:nvPicPr>
        <xdr:cNvPr id="10" name="Picture 9" descr="Afbeeldingsresultaat voor Bridgestone logo">
          <a:extLst>
            <a:ext uri="{FF2B5EF4-FFF2-40B4-BE49-F238E27FC236}">
              <a16:creationId xmlns:a16="http://schemas.microsoft.com/office/drawing/2014/main" id="{00000000-0008-0000-0400-00000A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848227" y="806295"/>
          <a:ext cx="1822094" cy="9283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15540</xdr:colOff>
      <xdr:row>31</xdr:row>
      <xdr:rowOff>195687</xdr:rowOff>
    </xdr:from>
    <xdr:to>
      <xdr:col>4</xdr:col>
      <xdr:colOff>115803</xdr:colOff>
      <xdr:row>33</xdr:row>
      <xdr:rowOff>161380</xdr:rowOff>
    </xdr:to>
    <xdr:sp macro="" textlink="">
      <xdr:nvSpPr>
        <xdr:cNvPr id="13" name="Rectangle 12">
          <a:extLst>
            <a:ext uri="{FF2B5EF4-FFF2-40B4-BE49-F238E27FC236}">
              <a16:creationId xmlns:a16="http://schemas.microsoft.com/office/drawing/2014/main" id="{00000000-0008-0000-0400-00000D000000}"/>
            </a:ext>
          </a:extLst>
        </xdr:cNvPr>
        <xdr:cNvSpPr/>
      </xdr:nvSpPr>
      <xdr:spPr>
        <a:xfrm>
          <a:off x="519004" y="8196687"/>
          <a:ext cx="1760335" cy="6188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400" b="1">
              <a:solidFill>
                <a:sysClr val="windowText" lastClr="000000"/>
              </a:solidFill>
            </a:rPr>
            <a:t>Leadership</a:t>
          </a:r>
        </a:p>
        <a:p>
          <a:pPr algn="r"/>
          <a:r>
            <a:rPr lang="ja-JP" altLang="en-US" sz="1400" b="1">
              <a:solidFill>
                <a:sysClr val="windowText" lastClr="000000"/>
              </a:solidFill>
            </a:rPr>
            <a:t>リーダーシップ</a:t>
          </a:r>
          <a:endParaRPr lang="en-US" sz="1400" b="1">
            <a:solidFill>
              <a:sysClr val="windowText" lastClr="000000"/>
            </a:solidFill>
          </a:endParaRPr>
        </a:p>
      </xdr:txBody>
    </xdr:sp>
    <xdr:clientData/>
  </xdr:twoCellAnchor>
  <xdr:twoCellAnchor>
    <xdr:from>
      <xdr:col>2</xdr:col>
      <xdr:colOff>13607</xdr:colOff>
      <xdr:row>42</xdr:row>
      <xdr:rowOff>167640</xdr:rowOff>
    </xdr:from>
    <xdr:to>
      <xdr:col>4</xdr:col>
      <xdr:colOff>98459</xdr:colOff>
      <xdr:row>44</xdr:row>
      <xdr:rowOff>225592</xdr:rowOff>
    </xdr:to>
    <xdr:sp macro="" textlink="">
      <xdr:nvSpPr>
        <xdr:cNvPr id="14" name="Rectangle 13">
          <a:extLst>
            <a:ext uri="{FF2B5EF4-FFF2-40B4-BE49-F238E27FC236}">
              <a16:creationId xmlns:a16="http://schemas.microsoft.com/office/drawing/2014/main" id="{00000000-0008-0000-0400-00000E000000}"/>
            </a:ext>
          </a:extLst>
        </xdr:cNvPr>
        <xdr:cNvSpPr/>
      </xdr:nvSpPr>
      <xdr:spPr>
        <a:xfrm>
          <a:off x="312964" y="11760926"/>
          <a:ext cx="1949031" cy="71109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400" b="1">
              <a:solidFill>
                <a:sysClr val="windowText" lastClr="000000"/>
              </a:solidFill>
            </a:rPr>
            <a:t>Teammate</a:t>
          </a:r>
          <a:r>
            <a:rPr lang="en-US" sz="1400" b="1" baseline="0">
              <a:solidFill>
                <a:sysClr val="windowText" lastClr="000000"/>
              </a:solidFill>
            </a:rPr>
            <a:t> Engagement</a:t>
          </a:r>
        </a:p>
        <a:p>
          <a:pPr algn="r"/>
          <a:r>
            <a:rPr lang="ja-JP" altLang="en-US" sz="1400" b="1" baseline="0">
              <a:solidFill>
                <a:sysClr val="windowText" lastClr="000000"/>
              </a:solidFill>
            </a:rPr>
            <a:t>一人ひとり</a:t>
          </a:r>
          <a:endParaRPr lang="en-US" sz="1400" b="1">
            <a:solidFill>
              <a:sysClr val="windowText" lastClr="000000"/>
            </a:solidFill>
          </a:endParaRPr>
        </a:p>
      </xdr:txBody>
    </xdr:sp>
    <xdr:clientData/>
  </xdr:twoCellAnchor>
  <xdr:twoCellAnchor>
    <xdr:from>
      <xdr:col>9</xdr:col>
      <xdr:colOff>57049</xdr:colOff>
      <xdr:row>31</xdr:row>
      <xdr:rowOff>190500</xdr:rowOff>
    </xdr:from>
    <xdr:to>
      <xdr:col>9</xdr:col>
      <xdr:colOff>1618748</xdr:colOff>
      <xdr:row>33</xdr:row>
      <xdr:rowOff>231321</xdr:rowOff>
    </xdr:to>
    <xdr:sp macro="" textlink="">
      <xdr:nvSpPr>
        <xdr:cNvPr id="15" name="Rectangle 14">
          <a:extLst>
            <a:ext uri="{FF2B5EF4-FFF2-40B4-BE49-F238E27FC236}">
              <a16:creationId xmlns:a16="http://schemas.microsoft.com/office/drawing/2014/main" id="{00000000-0008-0000-0400-00000F000000}"/>
            </a:ext>
          </a:extLst>
        </xdr:cNvPr>
        <xdr:cNvSpPr/>
      </xdr:nvSpPr>
      <xdr:spPr>
        <a:xfrm>
          <a:off x="6329942" y="8191500"/>
          <a:ext cx="1561699" cy="69396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System</a:t>
          </a:r>
        </a:p>
        <a:p>
          <a:pPr algn="l"/>
          <a:r>
            <a:rPr lang="ja-JP" altLang="en-US" sz="1400" b="1">
              <a:solidFill>
                <a:sysClr val="windowText" lastClr="000000"/>
              </a:solidFill>
            </a:rPr>
            <a:t>システム</a:t>
          </a:r>
          <a:endParaRPr lang="en-US" sz="1400" b="1">
            <a:solidFill>
              <a:sysClr val="windowText" lastClr="000000"/>
            </a:solidFill>
          </a:endParaRPr>
        </a:p>
      </xdr:txBody>
    </xdr:sp>
    <xdr:clientData/>
  </xdr:twoCellAnchor>
  <xdr:twoCellAnchor>
    <xdr:from>
      <xdr:col>9</xdr:col>
      <xdr:colOff>79207</xdr:colOff>
      <xdr:row>42</xdr:row>
      <xdr:rowOff>213904</xdr:rowOff>
    </xdr:from>
    <xdr:to>
      <xdr:col>9</xdr:col>
      <xdr:colOff>1627571</xdr:colOff>
      <xdr:row>44</xdr:row>
      <xdr:rowOff>283844</xdr:rowOff>
    </xdr:to>
    <xdr:sp macro="" textlink="">
      <xdr:nvSpPr>
        <xdr:cNvPr id="16" name="Rectangle 15">
          <a:extLst>
            <a:ext uri="{FF2B5EF4-FFF2-40B4-BE49-F238E27FC236}">
              <a16:creationId xmlns:a16="http://schemas.microsoft.com/office/drawing/2014/main" id="{00000000-0008-0000-0400-000010000000}"/>
            </a:ext>
          </a:extLst>
        </xdr:cNvPr>
        <xdr:cNvSpPr/>
      </xdr:nvSpPr>
      <xdr:spPr>
        <a:xfrm>
          <a:off x="6352100" y="11807190"/>
          <a:ext cx="1548364" cy="7230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Organization</a:t>
          </a:r>
        </a:p>
        <a:p>
          <a:pPr algn="l"/>
          <a:r>
            <a:rPr lang="ja-JP" altLang="en-US" sz="1400" b="1">
              <a:solidFill>
                <a:sysClr val="windowText" lastClr="000000"/>
              </a:solidFill>
            </a:rPr>
            <a:t>組織</a:t>
          </a:r>
          <a:endParaRPr lang="en-US" sz="1400" b="1">
            <a:solidFill>
              <a:sysClr val="windowText" lastClr="000000"/>
            </a:solidFill>
          </a:endParaRPr>
        </a:p>
      </xdr:txBody>
    </xdr:sp>
    <xdr:clientData/>
  </xdr:twoCellAnchor>
  <xdr:twoCellAnchor>
    <xdr:from>
      <xdr:col>2</xdr:col>
      <xdr:colOff>111604</xdr:colOff>
      <xdr:row>34</xdr:row>
      <xdr:rowOff>123826</xdr:rowOff>
    </xdr:from>
    <xdr:to>
      <xdr:col>3</xdr:col>
      <xdr:colOff>695326</xdr:colOff>
      <xdr:row>42</xdr:row>
      <xdr:rowOff>171453</xdr:rowOff>
    </xdr:to>
    <xdr:sp macro="" textlink="">
      <xdr:nvSpPr>
        <xdr:cNvPr id="17" name="Rectangle 16">
          <a:extLst>
            <a:ext uri="{FF2B5EF4-FFF2-40B4-BE49-F238E27FC236}">
              <a16:creationId xmlns:a16="http://schemas.microsoft.com/office/drawing/2014/main" id="{00000000-0008-0000-0400-000011000000}"/>
            </a:ext>
          </a:extLst>
        </xdr:cNvPr>
        <xdr:cNvSpPr/>
      </xdr:nvSpPr>
      <xdr:spPr>
        <a:xfrm rot="16200000">
          <a:off x="-601424" y="8790229"/>
          <a:ext cx="2714627" cy="7551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65000"/>
                </a:schemeClr>
              </a:solidFill>
            </a:rPr>
            <a:t>Safety Awareness</a:t>
          </a:r>
        </a:p>
        <a:p>
          <a:pPr algn="ctr"/>
          <a:r>
            <a:rPr lang="ja-JP" altLang="en-US" sz="1400" b="1">
              <a:solidFill>
                <a:schemeClr val="bg1">
                  <a:lumMod val="65000"/>
                </a:schemeClr>
              </a:solidFill>
            </a:rPr>
            <a:t>ﾘｰﾀﾞｰ</a:t>
          </a:r>
          <a:r>
            <a:rPr lang="en-US" altLang="ja-JP" sz="1400" b="1">
              <a:solidFill>
                <a:schemeClr val="bg1">
                  <a:lumMod val="65000"/>
                </a:schemeClr>
              </a:solidFill>
            </a:rPr>
            <a:t>/</a:t>
          </a:r>
          <a:r>
            <a:rPr lang="ja-JP" altLang="en-US" sz="1400" b="1">
              <a:solidFill>
                <a:schemeClr val="bg1">
                  <a:lumMod val="65000"/>
                </a:schemeClr>
              </a:solidFill>
            </a:rPr>
            <a:t>一人ひとりの安全意識</a:t>
          </a:r>
          <a:endParaRPr lang="en-US" sz="1400" b="1">
            <a:solidFill>
              <a:schemeClr val="bg1">
                <a:lumMod val="65000"/>
              </a:schemeClr>
            </a:solidFill>
          </a:endParaRPr>
        </a:p>
      </xdr:txBody>
    </xdr:sp>
    <xdr:clientData/>
  </xdr:twoCellAnchor>
  <xdr:twoCellAnchor>
    <xdr:from>
      <xdr:col>9</xdr:col>
      <xdr:colOff>1000124</xdr:colOff>
      <xdr:row>34</xdr:row>
      <xdr:rowOff>66675</xdr:rowOff>
    </xdr:from>
    <xdr:to>
      <xdr:col>9</xdr:col>
      <xdr:colOff>1657349</xdr:colOff>
      <xdr:row>42</xdr:row>
      <xdr:rowOff>38100</xdr:rowOff>
    </xdr:to>
    <xdr:sp macro="" textlink="">
      <xdr:nvSpPr>
        <xdr:cNvPr id="18" name="Rectangle 17">
          <a:extLst>
            <a:ext uri="{FF2B5EF4-FFF2-40B4-BE49-F238E27FC236}">
              <a16:creationId xmlns:a16="http://schemas.microsoft.com/office/drawing/2014/main" id="{00000000-0008-0000-0400-000012000000}"/>
            </a:ext>
          </a:extLst>
        </xdr:cNvPr>
        <xdr:cNvSpPr/>
      </xdr:nvSpPr>
      <xdr:spPr>
        <a:xfrm rot="5400000">
          <a:off x="5476874" y="8743950"/>
          <a:ext cx="2638425" cy="657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65000"/>
                </a:schemeClr>
              </a:solidFill>
            </a:rPr>
            <a:t>System</a:t>
          </a:r>
          <a:r>
            <a:rPr lang="en-US" sz="1400" b="1" baseline="0">
              <a:solidFill>
                <a:schemeClr val="bg1">
                  <a:lumMod val="65000"/>
                </a:schemeClr>
              </a:solidFill>
            </a:rPr>
            <a:t> Implementation</a:t>
          </a:r>
        </a:p>
        <a:p>
          <a:pPr algn="ctr"/>
          <a:r>
            <a:rPr lang="ja-JP" altLang="en-US" sz="1400" b="1" baseline="0">
              <a:solidFill>
                <a:schemeClr val="bg1">
                  <a:lumMod val="65000"/>
                </a:schemeClr>
              </a:solidFill>
            </a:rPr>
            <a:t>安全ﾏﾈｼﾞﾒﾝﾄｼｽﾃﾑ運用ﾚﾍﾞﾙ</a:t>
          </a:r>
          <a:endParaRPr lang="en-US" sz="1400" b="1">
            <a:solidFill>
              <a:schemeClr val="bg1">
                <a:lumMod val="65000"/>
              </a:schemeClr>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7" tint="0.79998168889431442"/>
  </sheetPr>
  <dimension ref="A1:M66"/>
  <sheetViews>
    <sheetView showGridLines="0" view="pageBreakPreview" zoomScale="85" zoomScaleNormal="100" zoomScaleSheetLayoutView="85" workbookViewId="0">
      <pane xSplit="1" ySplit="2" topLeftCell="B3" activePane="bottomRight" state="frozen"/>
      <selection pane="bottomRight" activeCell="J13" sqref="J13"/>
      <selection pane="bottomLeft" activeCell="K13" sqref="K13"/>
      <selection pane="topRight" activeCell="K13" sqref="K13"/>
    </sheetView>
  </sheetViews>
  <sheetFormatPr defaultColWidth="9.125" defaultRowHeight="15"/>
  <cols>
    <col min="1" max="1" width="2.25" style="5" customWidth="1"/>
    <col min="2" max="2" width="6.75" style="39" customWidth="1"/>
    <col min="3" max="3" width="13.75" style="40" customWidth="1"/>
    <col min="4" max="4" width="4.75" style="5" customWidth="1"/>
    <col min="5" max="5" width="85.25" style="40" customWidth="1"/>
    <col min="6" max="6" width="21.375" style="5" customWidth="1"/>
    <col min="7" max="9" width="7.5" style="5" customWidth="1"/>
    <col min="10" max="10" width="114.25" style="5" customWidth="1"/>
    <col min="11" max="11" width="17" style="66" customWidth="1"/>
    <col min="12" max="12" width="56.25" style="6" customWidth="1"/>
    <col min="13" max="13" width="49.75" style="6" customWidth="1"/>
    <col min="14" max="16384" width="9.125" style="6"/>
  </cols>
  <sheetData>
    <row r="1" spans="1:13" ht="30" customHeight="1" thickBot="1">
      <c r="A1" s="39"/>
      <c r="B1" s="278" t="s">
        <v>0</v>
      </c>
      <c r="C1" s="2" t="s">
        <v>1</v>
      </c>
      <c r="D1" s="278" t="s">
        <v>2</v>
      </c>
      <c r="E1" s="2" t="s">
        <v>3</v>
      </c>
      <c r="F1" s="8" t="s">
        <v>4</v>
      </c>
      <c r="G1" s="311" t="s">
        <v>5</v>
      </c>
      <c r="H1" s="312"/>
      <c r="I1" s="313"/>
      <c r="J1" s="9" t="s">
        <v>6</v>
      </c>
      <c r="K1" s="9" t="s">
        <v>7</v>
      </c>
      <c r="L1" s="9" t="s">
        <v>8</v>
      </c>
    </row>
    <row r="2" spans="1:13" s="26" customFormat="1" ht="25.9" thickBot="1">
      <c r="A2" s="3"/>
      <c r="B2" s="3"/>
      <c r="C2" s="10"/>
      <c r="D2" s="190"/>
      <c r="E2" s="191"/>
      <c r="F2" s="127"/>
      <c r="G2" s="198" t="s">
        <v>9</v>
      </c>
      <c r="H2" s="199" t="s">
        <v>10</v>
      </c>
      <c r="I2" s="151" t="s">
        <v>11</v>
      </c>
      <c r="J2" s="279" t="s">
        <v>12</v>
      </c>
      <c r="K2" s="295"/>
    </row>
    <row r="3" spans="1:13" ht="22.9">
      <c r="A3" s="183"/>
      <c r="B3" s="317" t="s">
        <v>13</v>
      </c>
      <c r="C3" s="27" t="s">
        <v>14</v>
      </c>
      <c r="D3" s="258">
        <v>1</v>
      </c>
      <c r="E3" s="13" t="s">
        <v>15</v>
      </c>
      <c r="F3" s="50" t="s">
        <v>16</v>
      </c>
      <c r="G3" s="135" t="s">
        <v>17</v>
      </c>
      <c r="H3" s="139"/>
      <c r="I3" s="27"/>
      <c r="J3" s="13" t="s">
        <v>18</v>
      </c>
      <c r="K3" s="62"/>
      <c r="L3" s="200"/>
      <c r="M3" s="112"/>
    </row>
    <row r="4" spans="1:13" ht="45.6">
      <c r="A4" s="183"/>
      <c r="B4" s="318"/>
      <c r="C4" s="12" t="s">
        <v>19</v>
      </c>
      <c r="D4" s="309">
        <v>2</v>
      </c>
      <c r="E4" s="286" t="s">
        <v>20</v>
      </c>
      <c r="F4" s="44" t="s">
        <v>16</v>
      </c>
      <c r="G4" s="255"/>
      <c r="H4" s="160" t="s">
        <v>21</v>
      </c>
      <c r="I4" s="156" t="s">
        <v>21</v>
      </c>
      <c r="J4" s="55" t="s">
        <v>22</v>
      </c>
      <c r="K4" s="65"/>
      <c r="L4" s="201"/>
    </row>
    <row r="5" spans="1:13" ht="33.4" customHeight="1">
      <c r="A5" s="183"/>
      <c r="B5" s="318"/>
      <c r="C5" s="12" t="s">
        <v>23</v>
      </c>
      <c r="D5" s="259">
        <v>3</v>
      </c>
      <c r="E5" s="286" t="s">
        <v>24</v>
      </c>
      <c r="F5" s="71" t="s">
        <v>25</v>
      </c>
      <c r="G5" s="132" t="s">
        <v>17</v>
      </c>
      <c r="H5" s="140"/>
      <c r="I5" s="12"/>
      <c r="J5" s="14" t="s">
        <v>26</v>
      </c>
      <c r="K5" s="65"/>
      <c r="L5" s="201"/>
    </row>
    <row r="6" spans="1:13" ht="14.65" customHeight="1" thickBot="1">
      <c r="A6" s="184"/>
      <c r="B6" s="330"/>
      <c r="C6" s="203"/>
      <c r="D6" s="102"/>
      <c r="E6" s="204"/>
      <c r="F6" s="205"/>
      <c r="G6" s="206"/>
      <c r="H6" s="207"/>
      <c r="I6" s="102"/>
      <c r="J6" s="208"/>
      <c r="K6" s="209"/>
      <c r="L6" s="210"/>
    </row>
    <row r="7" spans="1:13" ht="33.4" customHeight="1">
      <c r="A7" s="183"/>
      <c r="B7" s="331" t="s">
        <v>27</v>
      </c>
      <c r="C7" s="27" t="s">
        <v>23</v>
      </c>
      <c r="D7" s="258">
        <v>4</v>
      </c>
      <c r="E7" s="114" t="s">
        <v>28</v>
      </c>
      <c r="F7" s="98" t="s">
        <v>29</v>
      </c>
      <c r="G7" s="146" t="s">
        <v>17</v>
      </c>
      <c r="H7" s="139"/>
      <c r="I7" s="27"/>
      <c r="J7" s="13" t="s">
        <v>30</v>
      </c>
      <c r="K7" s="62"/>
      <c r="L7" s="219"/>
    </row>
    <row r="8" spans="1:13" ht="33.4" customHeight="1">
      <c r="A8" s="183"/>
      <c r="B8" s="321"/>
      <c r="C8" s="28" t="s">
        <v>14</v>
      </c>
      <c r="D8" s="260">
        <v>5</v>
      </c>
      <c r="E8" s="61" t="s">
        <v>31</v>
      </c>
      <c r="F8" s="71" t="s">
        <v>32</v>
      </c>
      <c r="G8" s="131" t="s">
        <v>17</v>
      </c>
      <c r="H8" s="142"/>
      <c r="I8" s="28"/>
      <c r="J8" s="17" t="s">
        <v>33</v>
      </c>
      <c r="K8" s="65"/>
      <c r="L8" s="201"/>
    </row>
    <row r="9" spans="1:13" ht="34.15" customHeight="1">
      <c r="A9" s="183"/>
      <c r="B9" s="321"/>
      <c r="C9" s="28" t="s">
        <v>14</v>
      </c>
      <c r="D9" s="259">
        <v>6</v>
      </c>
      <c r="E9" s="110" t="s">
        <v>34</v>
      </c>
      <c r="F9" s="71" t="s">
        <v>35</v>
      </c>
      <c r="G9" s="132"/>
      <c r="H9" s="140"/>
      <c r="I9" s="28" t="s">
        <v>17</v>
      </c>
      <c r="J9" s="90" t="s">
        <v>36</v>
      </c>
      <c r="K9" s="65"/>
      <c r="L9" s="201"/>
    </row>
    <row r="10" spans="1:13" ht="34.15">
      <c r="A10" s="183"/>
      <c r="B10" s="321"/>
      <c r="C10" s="28" t="s">
        <v>19</v>
      </c>
      <c r="D10" s="12">
        <v>7</v>
      </c>
      <c r="E10" s="110" t="s">
        <v>37</v>
      </c>
      <c r="F10" s="71" t="s">
        <v>38</v>
      </c>
      <c r="G10" s="131" t="s">
        <v>17</v>
      </c>
      <c r="H10" s="140"/>
      <c r="I10" s="28" t="s">
        <v>17</v>
      </c>
      <c r="J10" s="14" t="s">
        <v>39</v>
      </c>
      <c r="K10" s="65"/>
      <c r="L10" s="201"/>
    </row>
    <row r="11" spans="1:13" ht="14.65" customHeight="1" thickBot="1">
      <c r="A11" s="184"/>
      <c r="B11" s="322"/>
      <c r="C11" s="36"/>
      <c r="D11" s="21"/>
      <c r="E11" s="37"/>
      <c r="F11" s="128"/>
      <c r="G11" s="137"/>
      <c r="H11" s="143"/>
      <c r="I11" s="130"/>
      <c r="J11" s="31"/>
      <c r="K11" s="34"/>
      <c r="L11" s="202"/>
    </row>
    <row r="12" spans="1:13" ht="33.4" customHeight="1">
      <c r="A12" s="183"/>
      <c r="B12" s="323" t="s">
        <v>40</v>
      </c>
      <c r="C12" s="28" t="s">
        <v>23</v>
      </c>
      <c r="D12" s="28">
        <v>8</v>
      </c>
      <c r="E12" s="286" t="s">
        <v>41</v>
      </c>
      <c r="F12" s="280" t="s">
        <v>42</v>
      </c>
      <c r="G12" s="158" t="s">
        <v>17</v>
      </c>
      <c r="H12" s="160"/>
      <c r="I12" s="308"/>
      <c r="J12" s="303" t="s">
        <v>43</v>
      </c>
      <c r="K12" s="63"/>
      <c r="L12" s="217"/>
    </row>
    <row r="13" spans="1:13" ht="33.4" customHeight="1">
      <c r="A13" s="183"/>
      <c r="B13" s="324"/>
      <c r="C13" s="12" t="s">
        <v>23</v>
      </c>
      <c r="D13" s="259">
        <v>9</v>
      </c>
      <c r="E13" s="53" t="s">
        <v>44</v>
      </c>
      <c r="F13" s="44" t="s">
        <v>29</v>
      </c>
      <c r="G13" s="158" t="s">
        <v>17</v>
      </c>
      <c r="H13" s="161"/>
      <c r="I13" s="156"/>
      <c r="J13" s="150" t="s">
        <v>45</v>
      </c>
      <c r="K13" s="65"/>
      <c r="L13" s="201"/>
    </row>
    <row r="14" spans="1:13" ht="33.4" customHeight="1">
      <c r="A14" s="183"/>
      <c r="B14" s="324"/>
      <c r="C14" s="12" t="s">
        <v>19</v>
      </c>
      <c r="D14" s="259">
        <v>10</v>
      </c>
      <c r="E14" s="53" t="s">
        <v>46</v>
      </c>
      <c r="F14" s="44" t="s">
        <v>32</v>
      </c>
      <c r="G14" s="158" t="s">
        <v>17</v>
      </c>
      <c r="H14" s="161"/>
      <c r="I14" s="156"/>
      <c r="J14" s="150" t="s">
        <v>47</v>
      </c>
      <c r="K14" s="65"/>
      <c r="L14" s="201"/>
    </row>
    <row r="15" spans="1:13" ht="33.4" customHeight="1">
      <c r="A15" s="183"/>
      <c r="B15" s="324"/>
      <c r="C15" s="12" t="s">
        <v>19</v>
      </c>
      <c r="D15" s="259">
        <v>11</v>
      </c>
      <c r="E15" s="53" t="s">
        <v>48</v>
      </c>
      <c r="F15" s="44" t="s">
        <v>32</v>
      </c>
      <c r="G15" s="255"/>
      <c r="H15" s="161"/>
      <c r="I15" s="308" t="s">
        <v>17</v>
      </c>
      <c r="J15" s="150" t="s">
        <v>49</v>
      </c>
      <c r="K15" s="65"/>
      <c r="L15" s="201"/>
    </row>
    <row r="16" spans="1:13" ht="33.4" customHeight="1">
      <c r="A16" s="183"/>
      <c r="B16" s="332"/>
      <c r="C16" s="12" t="s">
        <v>14</v>
      </c>
      <c r="D16" s="261">
        <v>12</v>
      </c>
      <c r="E16" s="275" t="s">
        <v>50</v>
      </c>
      <c r="F16" s="44" t="s">
        <v>32</v>
      </c>
      <c r="G16" s="193"/>
      <c r="H16" s="161"/>
      <c r="I16" s="156" t="s">
        <v>17</v>
      </c>
      <c r="J16" s="307" t="s">
        <v>51</v>
      </c>
      <c r="K16" s="65"/>
      <c r="L16" s="201"/>
    </row>
    <row r="17" spans="1:13" ht="14.65" customHeight="1" thickBot="1">
      <c r="A17" s="184"/>
      <c r="B17" s="332"/>
      <c r="C17" s="211"/>
      <c r="D17" s="102"/>
      <c r="E17" s="212"/>
      <c r="F17" s="213"/>
      <c r="G17" s="214"/>
      <c r="H17" s="215"/>
      <c r="I17" s="216"/>
      <c r="J17" s="208"/>
      <c r="K17" s="209"/>
      <c r="L17" s="210"/>
    </row>
    <row r="18" spans="1:13" ht="33.4" customHeight="1">
      <c r="A18" s="183"/>
      <c r="B18" s="333" t="s">
        <v>52</v>
      </c>
      <c r="C18" s="27" t="s">
        <v>14</v>
      </c>
      <c r="D18" s="27">
        <v>13</v>
      </c>
      <c r="E18" s="189" t="s">
        <v>53</v>
      </c>
      <c r="F18" s="50" t="s">
        <v>32</v>
      </c>
      <c r="G18" s="135" t="s">
        <v>17</v>
      </c>
      <c r="H18" s="139"/>
      <c r="I18" s="27"/>
      <c r="J18" s="13" t="s">
        <v>54</v>
      </c>
      <c r="K18" s="62"/>
      <c r="L18" s="219"/>
      <c r="M18" s="112"/>
    </row>
    <row r="19" spans="1:13" ht="34.15">
      <c r="A19" s="183"/>
      <c r="B19" s="327"/>
      <c r="C19" s="12" t="s">
        <v>19</v>
      </c>
      <c r="D19" s="259">
        <v>14</v>
      </c>
      <c r="E19" s="53" t="s">
        <v>55</v>
      </c>
      <c r="F19" s="44" t="s">
        <v>56</v>
      </c>
      <c r="G19" s="131" t="s">
        <v>17</v>
      </c>
      <c r="H19" s="140"/>
      <c r="I19" s="28" t="s">
        <v>17</v>
      </c>
      <c r="J19" s="14" t="s">
        <v>57</v>
      </c>
      <c r="K19" s="65"/>
      <c r="L19" s="201"/>
    </row>
    <row r="20" spans="1:13" ht="34.15">
      <c r="A20" s="183"/>
      <c r="B20" s="327"/>
      <c r="C20" s="12" t="s">
        <v>14</v>
      </c>
      <c r="D20" s="259">
        <v>15</v>
      </c>
      <c r="E20" s="53" t="s">
        <v>58</v>
      </c>
      <c r="F20" s="44" t="s">
        <v>56</v>
      </c>
      <c r="G20" s="131" t="s">
        <v>17</v>
      </c>
      <c r="H20" s="140"/>
      <c r="I20" s="28" t="s">
        <v>17</v>
      </c>
      <c r="J20" s="55" t="s">
        <v>59</v>
      </c>
      <c r="K20" s="65"/>
      <c r="L20" s="201"/>
    </row>
    <row r="21" spans="1:13" ht="33.4" customHeight="1">
      <c r="A21" s="183"/>
      <c r="B21" s="334"/>
      <c r="C21" s="172" t="s">
        <v>23</v>
      </c>
      <c r="D21" s="77">
        <v>16</v>
      </c>
      <c r="E21" s="117" t="s">
        <v>60</v>
      </c>
      <c r="F21" s="71" t="s">
        <v>32</v>
      </c>
      <c r="G21" s="131" t="s">
        <v>17</v>
      </c>
      <c r="H21" s="140"/>
      <c r="I21" s="28"/>
      <c r="J21" s="185" t="s">
        <v>61</v>
      </c>
      <c r="K21" s="64"/>
      <c r="L21" s="201"/>
      <c r="M21" s="112"/>
    </row>
    <row r="22" spans="1:13" ht="33.4" customHeight="1">
      <c r="A22" s="183"/>
      <c r="B22" s="334"/>
      <c r="C22" s="256" t="s">
        <v>23</v>
      </c>
      <c r="D22" s="262">
        <v>17</v>
      </c>
      <c r="E22" s="304" t="s">
        <v>62</v>
      </c>
      <c r="F22" s="182" t="s">
        <v>16</v>
      </c>
      <c r="G22" s="305"/>
      <c r="H22" s="253"/>
      <c r="I22" s="306" t="s">
        <v>21</v>
      </c>
      <c r="J22" s="307" t="s">
        <v>63</v>
      </c>
      <c r="K22" s="64"/>
      <c r="L22" s="265"/>
      <c r="M22" s="112"/>
    </row>
    <row r="23" spans="1:13" ht="14.65" customHeight="1" thickBot="1">
      <c r="A23" s="184"/>
      <c r="B23" s="328"/>
      <c r="C23" s="36"/>
      <c r="D23" s="21"/>
      <c r="E23" s="37"/>
      <c r="F23" s="30"/>
      <c r="G23" s="136"/>
      <c r="H23" s="141"/>
      <c r="I23" s="21"/>
      <c r="J23" s="31"/>
      <c r="K23" s="38"/>
      <c r="L23" s="202"/>
    </row>
    <row r="24" spans="1:13" ht="33.4" customHeight="1">
      <c r="A24" s="183"/>
      <c r="B24" s="314" t="s">
        <v>64</v>
      </c>
      <c r="C24" s="28" t="s">
        <v>19</v>
      </c>
      <c r="D24" s="260">
        <v>18</v>
      </c>
      <c r="E24" s="115" t="s">
        <v>65</v>
      </c>
      <c r="F24" s="99" t="s">
        <v>56</v>
      </c>
      <c r="G24" s="218" t="s">
        <v>17</v>
      </c>
      <c r="H24" s="142"/>
      <c r="I24" s="28"/>
      <c r="J24" s="149" t="s">
        <v>66</v>
      </c>
      <c r="K24" s="63"/>
      <c r="L24" s="217"/>
    </row>
    <row r="25" spans="1:13" ht="33.4" customHeight="1">
      <c r="A25" s="183"/>
      <c r="B25" s="315"/>
      <c r="C25" s="12" t="s">
        <v>23</v>
      </c>
      <c r="D25" s="259">
        <v>19</v>
      </c>
      <c r="E25" s="115" t="s">
        <v>67</v>
      </c>
      <c r="F25" s="44" t="s">
        <v>56</v>
      </c>
      <c r="G25" s="131"/>
      <c r="H25" s="142"/>
      <c r="I25" s="28" t="s">
        <v>17</v>
      </c>
      <c r="J25" s="147" t="s">
        <v>68</v>
      </c>
      <c r="K25" s="65"/>
      <c r="L25" s="201"/>
    </row>
    <row r="26" spans="1:13" ht="33.4" customHeight="1">
      <c r="A26" s="183"/>
      <c r="B26" s="315"/>
      <c r="C26" s="12" t="s">
        <v>23</v>
      </c>
      <c r="D26" s="259">
        <v>20</v>
      </c>
      <c r="E26" s="115" t="s">
        <v>69</v>
      </c>
      <c r="F26" s="71" t="s">
        <v>29</v>
      </c>
      <c r="G26" s="131" t="s">
        <v>17</v>
      </c>
      <c r="H26" s="140"/>
      <c r="I26" s="12"/>
      <c r="J26" s="150" t="s">
        <v>70</v>
      </c>
      <c r="K26" s="65"/>
      <c r="L26" s="201"/>
    </row>
    <row r="27" spans="1:13" ht="33.4" customHeight="1">
      <c r="A27" s="183"/>
      <c r="B27" s="329"/>
      <c r="C27" s="12" t="s">
        <v>14</v>
      </c>
      <c r="D27" s="261">
        <v>21</v>
      </c>
      <c r="E27" s="257" t="s">
        <v>71</v>
      </c>
      <c r="F27" s="71" t="s">
        <v>32</v>
      </c>
      <c r="G27" s="131" t="s">
        <v>17</v>
      </c>
      <c r="H27" s="144"/>
      <c r="I27" s="152"/>
      <c r="J27" s="148" t="s">
        <v>72</v>
      </c>
      <c r="K27" s="65"/>
      <c r="L27" s="201"/>
    </row>
    <row r="28" spans="1:13" ht="33.4" customHeight="1">
      <c r="A28" s="183"/>
      <c r="B28" s="329"/>
      <c r="C28" s="156" t="s">
        <v>14</v>
      </c>
      <c r="D28" s="263">
        <v>22</v>
      </c>
      <c r="E28" s="53" t="s">
        <v>73</v>
      </c>
      <c r="F28" s="44" t="s">
        <v>56</v>
      </c>
      <c r="G28" s="193" t="s">
        <v>17</v>
      </c>
      <c r="H28" s="187"/>
      <c r="I28" s="188"/>
      <c r="J28" s="55" t="s">
        <v>74</v>
      </c>
      <c r="K28" s="65"/>
      <c r="L28" s="264"/>
    </row>
    <row r="29" spans="1:13" ht="14.65" customHeight="1" thickBot="1">
      <c r="A29" s="184"/>
      <c r="B29" s="316"/>
      <c r="C29" s="36"/>
      <c r="D29" s="21"/>
      <c r="E29" s="37"/>
      <c r="F29" s="32"/>
      <c r="G29" s="138"/>
      <c r="H29" s="145"/>
      <c r="I29" s="31"/>
      <c r="J29" s="31"/>
      <c r="K29" s="34"/>
      <c r="L29" s="202"/>
    </row>
    <row r="30" spans="1:13">
      <c r="K30" s="24"/>
    </row>
    <row r="31" spans="1:13">
      <c r="C31" s="39" t="s">
        <v>75</v>
      </c>
      <c r="K31" s="24"/>
    </row>
    <row r="32" spans="1:13">
      <c r="C32" s="39" t="s">
        <v>76</v>
      </c>
      <c r="E32" s="25"/>
      <c r="K32" s="24"/>
    </row>
    <row r="33" spans="3:11">
      <c r="C33" s="126" t="s">
        <v>77</v>
      </c>
      <c r="K33" s="24"/>
    </row>
    <row r="34" spans="3:11">
      <c r="K34" s="24"/>
    </row>
    <row r="35" spans="3:11">
      <c r="K35" s="24"/>
    </row>
    <row r="36" spans="3:11">
      <c r="K36" s="24"/>
    </row>
    <row r="37" spans="3:11">
      <c r="K37" s="24"/>
    </row>
    <row r="38" spans="3:11">
      <c r="K38" s="24"/>
    </row>
    <row r="39" spans="3:11">
      <c r="K39" s="24"/>
    </row>
    <row r="40" spans="3:11">
      <c r="K40" s="24"/>
    </row>
    <row r="41" spans="3:11">
      <c r="K41" s="24"/>
    </row>
    <row r="42" spans="3:11">
      <c r="K42" s="24"/>
    </row>
    <row r="43" spans="3:11">
      <c r="K43" s="24"/>
    </row>
    <row r="44" spans="3:11">
      <c r="K44" s="24"/>
    </row>
    <row r="45" spans="3:11">
      <c r="K45" s="24"/>
    </row>
    <row r="46" spans="3:11">
      <c r="K46" s="24"/>
    </row>
    <row r="47" spans="3:11">
      <c r="K47" s="24"/>
    </row>
    <row r="48" spans="3:11">
      <c r="K48" s="24"/>
    </row>
    <row r="49" spans="11:11">
      <c r="K49" s="24"/>
    </row>
    <row r="50" spans="11:11">
      <c r="K50" s="24"/>
    </row>
    <row r="51" spans="11:11">
      <c r="K51" s="24"/>
    </row>
    <row r="52" spans="11:11">
      <c r="K52" s="24"/>
    </row>
    <row r="53" spans="11:11">
      <c r="K53" s="24"/>
    </row>
    <row r="54" spans="11:11">
      <c r="K54" s="24"/>
    </row>
    <row r="55" spans="11:11">
      <c r="K55" s="24"/>
    </row>
    <row r="56" spans="11:11">
      <c r="K56" s="24"/>
    </row>
    <row r="57" spans="11:11">
      <c r="K57" s="24"/>
    </row>
    <row r="58" spans="11:11">
      <c r="K58" s="24"/>
    </row>
    <row r="59" spans="11:11">
      <c r="K59" s="24"/>
    </row>
    <row r="60" spans="11:11">
      <c r="K60" s="24"/>
    </row>
    <row r="61" spans="11:11">
      <c r="K61" s="24"/>
    </row>
    <row r="62" spans="11:11">
      <c r="K62" s="24"/>
    </row>
    <row r="63" spans="11:11">
      <c r="K63" s="24"/>
    </row>
    <row r="64" spans="11:11">
      <c r="K64" s="24"/>
    </row>
    <row r="65" spans="11:11">
      <c r="K65" s="24"/>
    </row>
    <row r="66" spans="11:11">
      <c r="K66" s="24"/>
    </row>
  </sheetData>
  <autoFilter ref="A1:K29" xr:uid="{00000000-0009-0000-0000-000000000000}"/>
  <mergeCells count="6">
    <mergeCell ref="B24:B29"/>
    <mergeCell ref="G1:I1"/>
    <mergeCell ref="B3:B6"/>
    <mergeCell ref="B7:B11"/>
    <mergeCell ref="B12:B17"/>
    <mergeCell ref="B18:B23"/>
  </mergeCells>
  <phoneticPr fontId="4"/>
  <dataValidations count="1">
    <dataValidation type="list" allowBlank="1" showInputMessage="1" showErrorMessage="1" sqref="K7:K10 K3:K5 K18:K22 K12:K16 K24:K28" xr:uid="{00000000-0002-0000-0000-000000000000}">
      <formula1>"Yes, No, N/A, Not rolled out yet"</formula1>
    </dataValidation>
  </dataValidations>
  <pageMargins left="0.31496062992125984" right="0.31496062992125984" top="0.74803149606299213" bottom="0.74803149606299213" header="0.31496062992125984" footer="0.31496062992125984"/>
  <pageSetup paperSize="8" scale="55"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7" tint="0.79998168889431442"/>
  </sheetPr>
  <dimension ref="A1:M58"/>
  <sheetViews>
    <sheetView showGridLines="0" tabSelected="1" view="pageBreakPreview" zoomScale="85" zoomScaleNormal="100" zoomScaleSheetLayoutView="85" workbookViewId="0">
      <pane xSplit="1" ySplit="2" topLeftCell="B3" activePane="bottomRight" state="frozen"/>
      <selection pane="bottomRight" activeCell="E5" sqref="E5"/>
      <selection pane="bottomLeft" activeCell="K13" sqref="K13"/>
      <selection pane="topRight" activeCell="K13" sqref="K13"/>
    </sheetView>
  </sheetViews>
  <sheetFormatPr defaultColWidth="9.125" defaultRowHeight="15"/>
  <cols>
    <col min="1" max="1" width="2.375" style="5" customWidth="1"/>
    <col min="2" max="2" width="6.75" style="39" customWidth="1"/>
    <col min="3" max="3" width="13.75" style="40" customWidth="1"/>
    <col min="4" max="4" width="4.75" style="5" customWidth="1"/>
    <col min="5" max="5" width="82" style="40" customWidth="1"/>
    <col min="6" max="6" width="20.75" style="5" customWidth="1"/>
    <col min="7" max="9" width="7.5" style="5" customWidth="1"/>
    <col min="10" max="10" width="114.125" style="5" customWidth="1"/>
    <col min="11" max="11" width="17" style="66" customWidth="1"/>
    <col min="12" max="12" width="56.25" style="5" customWidth="1"/>
    <col min="13" max="13" width="32.75" style="5" customWidth="1"/>
    <col min="14" max="16384" width="9.125" style="6"/>
  </cols>
  <sheetData>
    <row r="1" spans="1:13" ht="30" customHeight="1" thickBot="1">
      <c r="A1" s="39"/>
      <c r="B1" s="278" t="s">
        <v>0</v>
      </c>
      <c r="C1" s="2" t="s">
        <v>1</v>
      </c>
      <c r="D1" s="278" t="s">
        <v>2</v>
      </c>
      <c r="E1" s="2" t="s">
        <v>3</v>
      </c>
      <c r="F1" s="8" t="s">
        <v>4</v>
      </c>
      <c r="G1" s="311" t="s">
        <v>5</v>
      </c>
      <c r="H1" s="312"/>
      <c r="I1" s="313"/>
      <c r="J1" s="9" t="s">
        <v>6</v>
      </c>
      <c r="K1" s="9" t="s">
        <v>7</v>
      </c>
      <c r="L1" s="9" t="s">
        <v>78</v>
      </c>
    </row>
    <row r="2" spans="1:13" s="26" customFormat="1" ht="25.9" thickBot="1">
      <c r="A2" s="3"/>
      <c r="B2" s="3"/>
      <c r="C2" s="3"/>
      <c r="D2" s="190"/>
      <c r="E2" s="191"/>
      <c r="F2" s="127"/>
      <c r="G2" s="153" t="s">
        <v>9</v>
      </c>
      <c r="H2" s="154" t="s">
        <v>10</v>
      </c>
      <c r="I2" s="151" t="s">
        <v>11</v>
      </c>
      <c r="J2" s="279" t="s">
        <v>79</v>
      </c>
      <c r="K2" s="295"/>
      <c r="L2" s="3"/>
      <c r="M2" s="3"/>
    </row>
    <row r="3" spans="1:13" ht="33.4" customHeight="1">
      <c r="A3" s="183"/>
      <c r="B3" s="317" t="s">
        <v>80</v>
      </c>
      <c r="C3" s="268" t="s">
        <v>81</v>
      </c>
      <c r="D3" s="43">
        <v>1</v>
      </c>
      <c r="E3" s="120" t="s">
        <v>82</v>
      </c>
      <c r="F3" s="50" t="s">
        <v>29</v>
      </c>
      <c r="G3" s="135" t="s">
        <v>17</v>
      </c>
      <c r="H3" s="139"/>
      <c r="I3" s="27"/>
      <c r="J3" s="59" t="s">
        <v>83</v>
      </c>
      <c r="K3" s="62"/>
      <c r="L3" s="105"/>
    </row>
    <row r="4" spans="1:13" ht="33.4" customHeight="1">
      <c r="A4" s="183"/>
      <c r="B4" s="318"/>
      <c r="C4" s="269" t="s">
        <v>84</v>
      </c>
      <c r="D4" s="45">
        <v>2</v>
      </c>
      <c r="E4" s="14" t="s">
        <v>85</v>
      </c>
      <c r="F4" s="96" t="s">
        <v>86</v>
      </c>
      <c r="G4" s="133" t="s">
        <v>17</v>
      </c>
      <c r="H4" s="144"/>
      <c r="I4" s="152"/>
      <c r="J4" s="116" t="s">
        <v>87</v>
      </c>
      <c r="K4" s="65"/>
      <c r="L4" s="105"/>
    </row>
    <row r="5" spans="1:13" ht="33.4" customHeight="1">
      <c r="A5" s="183"/>
      <c r="B5" s="318"/>
      <c r="C5" s="269" t="s">
        <v>81</v>
      </c>
      <c r="D5" s="45">
        <v>3</v>
      </c>
      <c r="E5" s="108" t="s">
        <v>88</v>
      </c>
      <c r="F5" s="71" t="s">
        <v>16</v>
      </c>
      <c r="G5" s="132" t="s">
        <v>17</v>
      </c>
      <c r="H5" s="140"/>
      <c r="I5" s="12"/>
      <c r="J5" s="29" t="s">
        <v>89</v>
      </c>
      <c r="K5" s="65"/>
      <c r="L5" s="105"/>
    </row>
    <row r="6" spans="1:13" ht="33.4" customHeight="1">
      <c r="A6" s="183"/>
      <c r="B6" s="318"/>
      <c r="C6" s="269" t="s">
        <v>90</v>
      </c>
      <c r="D6" s="45">
        <v>4</v>
      </c>
      <c r="E6" s="55" t="s">
        <v>91</v>
      </c>
      <c r="F6" s="280" t="s">
        <v>92</v>
      </c>
      <c r="G6" s="131" t="s">
        <v>17</v>
      </c>
      <c r="H6" s="142"/>
      <c r="I6" s="28"/>
      <c r="J6" s="29" t="s">
        <v>93</v>
      </c>
      <c r="K6" s="65"/>
      <c r="L6" s="105"/>
    </row>
    <row r="7" spans="1:13" ht="14.65" customHeight="1" thickBot="1">
      <c r="A7" s="184"/>
      <c r="B7" s="319"/>
      <c r="C7" s="270"/>
      <c r="D7" s="33"/>
      <c r="E7" s="121"/>
      <c r="F7" s="30"/>
      <c r="G7" s="136"/>
      <c r="H7" s="141"/>
      <c r="I7" s="21"/>
      <c r="J7" s="81"/>
      <c r="K7" s="34"/>
      <c r="L7" s="105"/>
    </row>
    <row r="8" spans="1:13" ht="33.4" customHeight="1">
      <c r="A8" s="183"/>
      <c r="B8" s="320" t="s">
        <v>94</v>
      </c>
      <c r="C8" s="268" t="s">
        <v>81</v>
      </c>
      <c r="D8" s="47">
        <v>5</v>
      </c>
      <c r="E8" s="113" t="s">
        <v>95</v>
      </c>
      <c r="F8" s="71" t="s">
        <v>86</v>
      </c>
      <c r="G8" s="131" t="s">
        <v>17</v>
      </c>
      <c r="H8" s="142"/>
      <c r="I8" s="28" t="s">
        <v>17</v>
      </c>
      <c r="J8" s="60" t="s">
        <v>96</v>
      </c>
      <c r="K8" s="62"/>
      <c r="L8" s="105"/>
    </row>
    <row r="9" spans="1:13" ht="33.4" customHeight="1">
      <c r="A9" s="183"/>
      <c r="B9" s="321"/>
      <c r="C9" s="269" t="s">
        <v>84</v>
      </c>
      <c r="D9" s="45">
        <v>6</v>
      </c>
      <c r="E9" s="192" t="s">
        <v>97</v>
      </c>
      <c r="F9" s="71" t="s">
        <v>29</v>
      </c>
      <c r="G9" s="132" t="s">
        <v>17</v>
      </c>
      <c r="H9" s="140"/>
      <c r="I9" s="12"/>
      <c r="J9" s="56" t="s">
        <v>98</v>
      </c>
      <c r="K9" s="65"/>
      <c r="L9" s="105"/>
    </row>
    <row r="10" spans="1:13" ht="33.4" customHeight="1">
      <c r="A10" s="183"/>
      <c r="B10" s="321"/>
      <c r="C10" s="269" t="s">
        <v>90</v>
      </c>
      <c r="D10" s="45">
        <v>7</v>
      </c>
      <c r="E10" s="55" t="s">
        <v>99</v>
      </c>
      <c r="F10" s="71" t="s">
        <v>29</v>
      </c>
      <c r="G10" s="132" t="s">
        <v>17</v>
      </c>
      <c r="H10" s="140"/>
      <c r="I10" s="12" t="s">
        <v>17</v>
      </c>
      <c r="J10" s="56" t="s">
        <v>100</v>
      </c>
      <c r="K10" s="64"/>
      <c r="L10" s="105"/>
    </row>
    <row r="11" spans="1:13" ht="14.65" customHeight="1" thickBot="1">
      <c r="A11" s="184"/>
      <c r="B11" s="322"/>
      <c r="C11" s="270"/>
      <c r="D11" s="33"/>
      <c r="E11" s="121"/>
      <c r="F11" s="30"/>
      <c r="G11" s="136"/>
      <c r="H11" s="141"/>
      <c r="I11" s="21"/>
      <c r="J11" s="81"/>
      <c r="K11" s="38"/>
      <c r="L11" s="105"/>
    </row>
    <row r="12" spans="1:13" ht="33.4" customHeight="1">
      <c r="A12" s="183"/>
      <c r="B12" s="323" t="s">
        <v>40</v>
      </c>
      <c r="C12" s="268" t="s">
        <v>81</v>
      </c>
      <c r="D12" s="47">
        <v>8</v>
      </c>
      <c r="E12" s="17" t="s">
        <v>101</v>
      </c>
      <c r="F12" s="50" t="s">
        <v>29</v>
      </c>
      <c r="G12" s="132" t="s">
        <v>17</v>
      </c>
      <c r="H12" s="142"/>
      <c r="I12" s="28"/>
      <c r="J12" s="60" t="s">
        <v>102</v>
      </c>
      <c r="K12" s="62"/>
      <c r="L12" s="105"/>
    </row>
    <row r="13" spans="1:13" ht="33.4" customHeight="1">
      <c r="A13" s="183"/>
      <c r="B13" s="324"/>
      <c r="C13" s="269" t="s">
        <v>90</v>
      </c>
      <c r="D13" s="45">
        <v>9</v>
      </c>
      <c r="E13" s="123" t="s">
        <v>103</v>
      </c>
      <c r="F13" s="71" t="s">
        <v>86</v>
      </c>
      <c r="G13" s="132" t="s">
        <v>17</v>
      </c>
      <c r="H13" s="140"/>
      <c r="I13" s="12"/>
      <c r="J13" s="56" t="s">
        <v>104</v>
      </c>
      <c r="K13" s="65"/>
      <c r="L13" s="105"/>
    </row>
    <row r="14" spans="1:13" ht="33.4" customHeight="1">
      <c r="A14" s="183"/>
      <c r="B14" s="324"/>
      <c r="C14" s="269" t="s">
        <v>84</v>
      </c>
      <c r="D14" s="45">
        <v>10</v>
      </c>
      <c r="E14" s="251" t="s">
        <v>105</v>
      </c>
      <c r="F14" s="71" t="s">
        <v>106</v>
      </c>
      <c r="G14" s="132"/>
      <c r="H14" s="140" t="s">
        <v>17</v>
      </c>
      <c r="I14" s="12"/>
      <c r="J14" s="56" t="s">
        <v>107</v>
      </c>
      <c r="K14" s="64"/>
      <c r="L14" s="105"/>
    </row>
    <row r="15" spans="1:13" ht="14.65" customHeight="1" thickBot="1">
      <c r="A15" s="184"/>
      <c r="B15" s="325"/>
      <c r="C15" s="270"/>
      <c r="D15" s="33"/>
      <c r="E15" s="124"/>
      <c r="F15" s="30"/>
      <c r="G15" s="136"/>
      <c r="H15" s="141"/>
      <c r="I15" s="21"/>
      <c r="J15" s="81"/>
      <c r="K15" s="38"/>
      <c r="L15" s="105"/>
    </row>
    <row r="16" spans="1:13" ht="33.4" customHeight="1">
      <c r="A16" s="183"/>
      <c r="B16" s="326" t="s">
        <v>52</v>
      </c>
      <c r="C16" s="276" t="s">
        <v>108</v>
      </c>
      <c r="D16" s="266">
        <v>11</v>
      </c>
      <c r="E16" s="122" t="s">
        <v>109</v>
      </c>
      <c r="F16" s="71" t="s">
        <v>29</v>
      </c>
      <c r="G16" s="132" t="s">
        <v>17</v>
      </c>
      <c r="H16" s="140"/>
      <c r="I16" s="12"/>
      <c r="J16" s="57" t="s">
        <v>110</v>
      </c>
      <c r="K16" s="62"/>
      <c r="L16" s="105"/>
    </row>
    <row r="17" spans="1:12" ht="33.4" customHeight="1">
      <c r="A17" s="183"/>
      <c r="B17" s="326"/>
      <c r="C17" s="277" t="s">
        <v>111</v>
      </c>
      <c r="D17" s="266">
        <v>12</v>
      </c>
      <c r="E17" s="122" t="s">
        <v>112</v>
      </c>
      <c r="F17" s="71" t="s">
        <v>29</v>
      </c>
      <c r="G17" s="132" t="s">
        <v>17</v>
      </c>
      <c r="H17" s="140"/>
      <c r="I17" s="12"/>
      <c r="J17" s="57" t="s">
        <v>113</v>
      </c>
      <c r="K17" s="63"/>
      <c r="L17" s="105"/>
    </row>
    <row r="18" spans="1:12" ht="33.4" customHeight="1">
      <c r="A18" s="183"/>
      <c r="B18" s="327"/>
      <c r="C18" s="272" t="s">
        <v>84</v>
      </c>
      <c r="D18" s="45">
        <v>13</v>
      </c>
      <c r="E18" s="251" t="s">
        <v>114</v>
      </c>
      <c r="F18" s="71" t="s">
        <v>56</v>
      </c>
      <c r="G18" s="132"/>
      <c r="H18" s="140"/>
      <c r="I18" s="12" t="s">
        <v>17</v>
      </c>
      <c r="J18" s="58" t="s">
        <v>115</v>
      </c>
      <c r="K18" s="65"/>
      <c r="L18" s="105"/>
    </row>
    <row r="19" spans="1:12" ht="14.65" customHeight="1" thickBot="1">
      <c r="A19" s="184"/>
      <c r="B19" s="328"/>
      <c r="C19" s="270"/>
      <c r="D19" s="33"/>
      <c r="E19" s="124"/>
      <c r="F19" s="73"/>
      <c r="G19" s="157"/>
      <c r="H19" s="159"/>
      <c r="I19" s="155"/>
      <c r="J19" s="83"/>
      <c r="K19" s="34"/>
      <c r="L19" s="105"/>
    </row>
    <row r="20" spans="1:12" ht="33.4" customHeight="1">
      <c r="A20" s="183"/>
      <c r="B20" s="314" t="s">
        <v>116</v>
      </c>
      <c r="C20" s="268" t="s">
        <v>90</v>
      </c>
      <c r="D20" s="47">
        <v>14</v>
      </c>
      <c r="E20" s="310" t="s">
        <v>117</v>
      </c>
      <c r="F20" s="44" t="s">
        <v>29</v>
      </c>
      <c r="G20" s="158"/>
      <c r="H20" s="160"/>
      <c r="I20" s="12" t="s">
        <v>17</v>
      </c>
      <c r="J20" s="57" t="s">
        <v>118</v>
      </c>
      <c r="K20" s="62"/>
      <c r="L20" s="105"/>
    </row>
    <row r="21" spans="1:12" ht="34.15">
      <c r="A21" s="183"/>
      <c r="B21" s="315"/>
      <c r="C21" s="269" t="s">
        <v>81</v>
      </c>
      <c r="D21" s="45">
        <v>15</v>
      </c>
      <c r="E21" s="123" t="s">
        <v>119</v>
      </c>
      <c r="F21" s="44" t="s">
        <v>56</v>
      </c>
      <c r="G21" s="132" t="s">
        <v>17</v>
      </c>
      <c r="H21" s="140"/>
      <c r="I21" s="12"/>
      <c r="J21" s="119" t="s">
        <v>120</v>
      </c>
      <c r="K21" s="65"/>
      <c r="L21" s="105"/>
    </row>
    <row r="22" spans="1:12" ht="34.15">
      <c r="A22" s="183"/>
      <c r="B22" s="315"/>
      <c r="C22" s="269" t="s">
        <v>84</v>
      </c>
      <c r="D22" s="45">
        <v>16</v>
      </c>
      <c r="E22" s="49" t="s">
        <v>121</v>
      </c>
      <c r="F22" s="44" t="s">
        <v>29</v>
      </c>
      <c r="G22" s="132" t="s">
        <v>17</v>
      </c>
      <c r="H22" s="161"/>
      <c r="I22" s="156"/>
      <c r="J22" s="82" t="s">
        <v>122</v>
      </c>
      <c r="K22" s="65"/>
      <c r="L22" s="105"/>
    </row>
    <row r="23" spans="1:12" ht="14.65" customHeight="1" thickBot="1">
      <c r="B23" s="316"/>
      <c r="C23" s="274"/>
      <c r="D23" s="33"/>
      <c r="E23" s="78"/>
      <c r="F23" s="30"/>
      <c r="G23" s="136"/>
      <c r="H23" s="141"/>
      <c r="I23" s="21"/>
      <c r="J23" s="68"/>
      <c r="K23" s="34"/>
      <c r="L23" s="105"/>
    </row>
    <row r="24" spans="1:12">
      <c r="K24" s="24"/>
    </row>
    <row r="25" spans="1:12">
      <c r="C25" s="39" t="s">
        <v>75</v>
      </c>
      <c r="K25" s="24"/>
    </row>
    <row r="26" spans="1:12">
      <c r="C26" s="39" t="s">
        <v>76</v>
      </c>
      <c r="K26" s="24"/>
    </row>
    <row r="27" spans="1:12">
      <c r="K27" s="24"/>
    </row>
    <row r="28" spans="1:12">
      <c r="K28" s="24"/>
    </row>
    <row r="29" spans="1:12">
      <c r="K29" s="24"/>
    </row>
    <row r="30" spans="1:12">
      <c r="K30" s="24"/>
    </row>
    <row r="31" spans="1:12">
      <c r="K31" s="24"/>
    </row>
    <row r="32" spans="1:12">
      <c r="K32" s="24"/>
    </row>
    <row r="33" spans="11:11">
      <c r="K33" s="24"/>
    </row>
    <row r="34" spans="11:11">
      <c r="K34" s="24"/>
    </row>
    <row r="35" spans="11:11">
      <c r="K35" s="24"/>
    </row>
    <row r="36" spans="11:11">
      <c r="K36" s="24"/>
    </row>
    <row r="37" spans="11:11">
      <c r="K37" s="24"/>
    </row>
    <row r="38" spans="11:11">
      <c r="K38" s="24"/>
    </row>
    <row r="39" spans="11:11">
      <c r="K39" s="24"/>
    </row>
    <row r="40" spans="11:11">
      <c r="K40" s="24"/>
    </row>
    <row r="41" spans="11:11">
      <c r="K41" s="24"/>
    </row>
    <row r="42" spans="11:11">
      <c r="K42" s="24"/>
    </row>
    <row r="43" spans="11:11">
      <c r="K43" s="24"/>
    </row>
    <row r="44" spans="11:11">
      <c r="K44" s="24"/>
    </row>
    <row r="45" spans="11:11">
      <c r="K45" s="24"/>
    </row>
    <row r="46" spans="11:11">
      <c r="K46" s="24"/>
    </row>
    <row r="47" spans="11:11">
      <c r="K47" s="24"/>
    </row>
    <row r="48" spans="11:11">
      <c r="K48" s="24"/>
    </row>
    <row r="49" spans="11:11">
      <c r="K49" s="24"/>
    </row>
    <row r="50" spans="11:11">
      <c r="K50" s="24"/>
    </row>
    <row r="51" spans="11:11">
      <c r="K51" s="24"/>
    </row>
    <row r="52" spans="11:11">
      <c r="K52" s="24"/>
    </row>
    <row r="53" spans="11:11">
      <c r="K53" s="24"/>
    </row>
    <row r="54" spans="11:11">
      <c r="K54" s="24"/>
    </row>
    <row r="55" spans="11:11">
      <c r="K55" s="24"/>
    </row>
    <row r="56" spans="11:11">
      <c r="K56" s="24"/>
    </row>
    <row r="57" spans="11:11">
      <c r="K57" s="24"/>
    </row>
    <row r="58" spans="11:11">
      <c r="K58" s="24"/>
    </row>
  </sheetData>
  <autoFilter ref="A1:K23" xr:uid="{00000000-0009-0000-0000-000001000000}"/>
  <mergeCells count="6">
    <mergeCell ref="G1:I1"/>
    <mergeCell ref="B20:B23"/>
    <mergeCell ref="B3:B7"/>
    <mergeCell ref="B8:B11"/>
    <mergeCell ref="B12:B15"/>
    <mergeCell ref="B16:B19"/>
  </mergeCells>
  <phoneticPr fontId="4"/>
  <dataValidations count="1">
    <dataValidation type="list" allowBlank="1" showInputMessage="1" showErrorMessage="1" sqref="K3:K6 K12:K14 K8:K10 K16:K18 K20:K22" xr:uid="{00000000-0002-0000-0100-000000000000}">
      <formula1>"Yes,No, N/A, Not rolled out yet"</formula1>
    </dataValidation>
  </dataValidations>
  <pageMargins left="0.39370078740157483" right="0.27559055118110237" top="0.74803149606299213" bottom="0.74803149606299213" header="0.31496062992125984" footer="0.31496062992125984"/>
  <pageSetup paperSize="8" scale="55" fitToWidth="0" fitToHeight="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7" tint="0.79998168889431442"/>
  </sheetPr>
  <dimension ref="A1:M64"/>
  <sheetViews>
    <sheetView showGridLines="0" view="pageBreakPreview" zoomScaleNormal="85" zoomScaleSheetLayoutView="100" workbookViewId="0">
      <pane xSplit="1" ySplit="2" topLeftCell="B3" activePane="bottomRight" state="frozen"/>
      <selection pane="bottomRight" activeCell="E21" sqref="E21"/>
      <selection pane="bottomLeft" activeCell="K13" sqref="K13"/>
      <selection pane="topRight" activeCell="K13" sqref="K13"/>
    </sheetView>
  </sheetViews>
  <sheetFormatPr defaultColWidth="9.125" defaultRowHeight="15"/>
  <cols>
    <col min="1" max="1" width="2.125" style="5" customWidth="1"/>
    <col min="2" max="2" width="6.75" style="39" customWidth="1"/>
    <col min="3" max="3" width="13.75" style="40" customWidth="1"/>
    <col min="4" max="4" width="4.75" style="5" customWidth="1"/>
    <col min="5" max="5" width="79.125" style="40" customWidth="1"/>
    <col min="6" max="6" width="19.625" style="5" customWidth="1"/>
    <col min="7" max="9" width="7.5" style="5" customWidth="1"/>
    <col min="10" max="10" width="114.125" style="5" customWidth="1"/>
    <col min="11" max="11" width="17" style="66" customWidth="1"/>
    <col min="12" max="12" width="56.25" style="5" customWidth="1"/>
    <col min="13" max="13" width="50.25" style="5" customWidth="1"/>
    <col min="14" max="16384" width="9.125" style="6"/>
  </cols>
  <sheetData>
    <row r="1" spans="1:13" ht="30" customHeight="1" thickBot="1">
      <c r="A1" s="39"/>
      <c r="B1" s="278" t="s">
        <v>0</v>
      </c>
      <c r="C1" s="2" t="s">
        <v>1</v>
      </c>
      <c r="D1" s="278" t="s">
        <v>2</v>
      </c>
      <c r="E1" s="2" t="s">
        <v>3</v>
      </c>
      <c r="F1" s="8" t="s">
        <v>4</v>
      </c>
      <c r="G1" s="311" t="s">
        <v>5</v>
      </c>
      <c r="H1" s="312"/>
      <c r="I1" s="313"/>
      <c r="J1" s="9" t="s">
        <v>6</v>
      </c>
      <c r="K1" s="9" t="s">
        <v>7</v>
      </c>
      <c r="L1" s="9" t="s">
        <v>78</v>
      </c>
    </row>
    <row r="2" spans="1:13" s="26" customFormat="1" ht="25.9" thickBot="1">
      <c r="A2" s="3"/>
      <c r="B2" s="3"/>
      <c r="C2" s="3"/>
      <c r="D2" s="190"/>
      <c r="E2" s="191"/>
      <c r="F2" s="127"/>
      <c r="G2" s="198" t="s">
        <v>9</v>
      </c>
      <c r="H2" s="199" t="s">
        <v>10</v>
      </c>
      <c r="I2" s="151" t="s">
        <v>11</v>
      </c>
      <c r="J2" s="279" t="s">
        <v>79</v>
      </c>
      <c r="K2" s="295"/>
      <c r="L2" s="3"/>
      <c r="M2" s="3"/>
    </row>
    <row r="3" spans="1:13" ht="34.15">
      <c r="A3" s="180"/>
      <c r="B3" s="317" t="s">
        <v>80</v>
      </c>
      <c r="C3" s="268" t="s">
        <v>123</v>
      </c>
      <c r="D3" s="11">
        <v>1</v>
      </c>
      <c r="E3" s="120" t="s">
        <v>124</v>
      </c>
      <c r="F3" s="50" t="s">
        <v>56</v>
      </c>
      <c r="G3" s="135"/>
      <c r="H3" s="139"/>
      <c r="I3" s="27" t="s">
        <v>17</v>
      </c>
      <c r="J3" s="186" t="s">
        <v>125</v>
      </c>
      <c r="K3" s="241"/>
      <c r="L3" s="246"/>
    </row>
    <row r="4" spans="1:13" ht="33.4" customHeight="1">
      <c r="A4" s="180"/>
      <c r="B4" s="318"/>
      <c r="C4" s="269" t="s">
        <v>126</v>
      </c>
      <c r="D4" s="72">
        <v>2</v>
      </c>
      <c r="E4" s="192" t="s">
        <v>127</v>
      </c>
      <c r="F4" s="44" t="s">
        <v>92</v>
      </c>
      <c r="G4" s="252" t="s">
        <v>17</v>
      </c>
      <c r="H4" s="253"/>
      <c r="I4" s="254"/>
      <c r="J4" s="56" t="s">
        <v>128</v>
      </c>
      <c r="K4" s="242"/>
      <c r="L4" s="247"/>
      <c r="M4" s="173"/>
    </row>
    <row r="5" spans="1:13" ht="34.15">
      <c r="A5" s="180"/>
      <c r="B5" s="318"/>
      <c r="C5" s="269" t="s">
        <v>126</v>
      </c>
      <c r="D5" s="72">
        <v>3</v>
      </c>
      <c r="E5" s="192" t="s">
        <v>129</v>
      </c>
      <c r="F5" s="44" t="s">
        <v>56</v>
      </c>
      <c r="G5" s="296"/>
      <c r="H5" s="297"/>
      <c r="I5" s="156" t="s">
        <v>17</v>
      </c>
      <c r="J5" s="56" t="s">
        <v>130</v>
      </c>
      <c r="K5" s="242"/>
      <c r="L5" s="247"/>
    </row>
    <row r="6" spans="1:13" ht="33.4" customHeight="1">
      <c r="A6" s="180"/>
      <c r="B6" s="318"/>
      <c r="C6" s="269" t="s">
        <v>131</v>
      </c>
      <c r="D6" s="72">
        <v>4</v>
      </c>
      <c r="E6" s="108" t="s">
        <v>132</v>
      </c>
      <c r="F6" s="48" t="s">
        <v>16</v>
      </c>
      <c r="G6" s="133" t="s">
        <v>17</v>
      </c>
      <c r="H6" s="142"/>
      <c r="I6" s="28"/>
      <c r="J6" s="29" t="s">
        <v>133</v>
      </c>
      <c r="K6" s="243"/>
      <c r="L6" s="247"/>
    </row>
    <row r="7" spans="1:13" ht="14.65" customHeight="1" thickBot="1">
      <c r="A7" s="6"/>
      <c r="B7" s="319"/>
      <c r="C7" s="270"/>
      <c r="D7" s="32"/>
      <c r="E7" s="121"/>
      <c r="F7" s="30"/>
      <c r="G7" s="136"/>
      <c r="H7" s="141"/>
      <c r="I7" s="21"/>
      <c r="J7" s="33"/>
      <c r="K7" s="244"/>
      <c r="L7" s="249"/>
    </row>
    <row r="8" spans="1:13" ht="34.15">
      <c r="A8" s="183"/>
      <c r="B8" s="331" t="s">
        <v>94</v>
      </c>
      <c r="C8" s="271" t="s">
        <v>123</v>
      </c>
      <c r="D8" s="11">
        <v>5</v>
      </c>
      <c r="E8" s="120" t="s">
        <v>134</v>
      </c>
      <c r="F8" s="71" t="s">
        <v>56</v>
      </c>
      <c r="G8" s="131"/>
      <c r="H8" s="142"/>
      <c r="I8" s="28" t="s">
        <v>17</v>
      </c>
      <c r="J8" s="118" t="s">
        <v>135</v>
      </c>
      <c r="K8" s="241"/>
      <c r="L8" s="248"/>
      <c r="M8" s="174"/>
    </row>
    <row r="9" spans="1:13" ht="33.4" customHeight="1">
      <c r="A9" s="183"/>
      <c r="B9" s="321"/>
      <c r="C9" s="272" t="s">
        <v>126</v>
      </c>
      <c r="D9" s="72">
        <v>6</v>
      </c>
      <c r="E9" s="192" t="s">
        <v>136</v>
      </c>
      <c r="F9" s="44" t="s">
        <v>32</v>
      </c>
      <c r="G9" s="255" t="s">
        <v>17</v>
      </c>
      <c r="H9" s="161"/>
      <c r="I9" s="156"/>
      <c r="J9" s="56" t="s">
        <v>137</v>
      </c>
      <c r="K9" s="242"/>
      <c r="L9" s="247"/>
    </row>
    <row r="10" spans="1:13" ht="33.4" customHeight="1">
      <c r="A10" s="183"/>
      <c r="B10" s="321"/>
      <c r="C10" s="272" t="s">
        <v>131</v>
      </c>
      <c r="D10" s="72">
        <v>7</v>
      </c>
      <c r="E10" s="108" t="s">
        <v>138</v>
      </c>
      <c r="F10" s="71" t="s">
        <v>16</v>
      </c>
      <c r="G10" s="132"/>
      <c r="H10" s="140"/>
      <c r="I10" s="12" t="s">
        <v>17</v>
      </c>
      <c r="J10" s="29" t="s">
        <v>139</v>
      </c>
      <c r="K10" s="242"/>
      <c r="L10" s="247"/>
      <c r="M10" s="173"/>
    </row>
    <row r="11" spans="1:13" ht="34.15">
      <c r="A11" s="183"/>
      <c r="B11" s="321"/>
      <c r="C11" s="272" t="s">
        <v>131</v>
      </c>
      <c r="D11" s="72">
        <v>8</v>
      </c>
      <c r="E11" s="108" t="s">
        <v>140</v>
      </c>
      <c r="F11" s="71" t="s">
        <v>56</v>
      </c>
      <c r="G11" s="132"/>
      <c r="H11" s="140"/>
      <c r="I11" s="12" t="s">
        <v>17</v>
      </c>
      <c r="J11" s="29" t="s">
        <v>141</v>
      </c>
      <c r="K11" s="243"/>
      <c r="L11" s="247"/>
    </row>
    <row r="12" spans="1:13" ht="14.65" customHeight="1" thickBot="1">
      <c r="A12" s="6"/>
      <c r="B12" s="322"/>
      <c r="C12" s="270"/>
      <c r="D12" s="32"/>
      <c r="E12" s="121"/>
      <c r="F12" s="30"/>
      <c r="G12" s="136"/>
      <c r="H12" s="141"/>
      <c r="I12" s="21"/>
      <c r="J12" s="33"/>
      <c r="K12" s="244"/>
      <c r="L12" s="250"/>
    </row>
    <row r="13" spans="1:13" ht="33.4" customHeight="1">
      <c r="A13" s="180"/>
      <c r="B13" s="323" t="s">
        <v>40</v>
      </c>
      <c r="C13" s="268" t="s">
        <v>123</v>
      </c>
      <c r="D13" s="51">
        <v>9</v>
      </c>
      <c r="E13" s="113" t="s">
        <v>142</v>
      </c>
      <c r="F13" s="71" t="s">
        <v>56</v>
      </c>
      <c r="G13" s="131" t="s">
        <v>17</v>
      </c>
      <c r="H13" s="142"/>
      <c r="I13" s="28"/>
      <c r="J13" s="35" t="s">
        <v>143</v>
      </c>
      <c r="K13" s="241"/>
      <c r="L13" s="246"/>
    </row>
    <row r="14" spans="1:13" ht="33.4" customHeight="1">
      <c r="A14" s="180"/>
      <c r="B14" s="324"/>
      <c r="C14" s="269" t="s">
        <v>126</v>
      </c>
      <c r="D14" s="72">
        <v>10</v>
      </c>
      <c r="E14" s="14" t="s">
        <v>144</v>
      </c>
      <c r="F14" s="71" t="s">
        <v>29</v>
      </c>
      <c r="G14" s="132" t="s">
        <v>17</v>
      </c>
      <c r="H14" s="140"/>
      <c r="I14" s="12"/>
      <c r="J14" s="56" t="s">
        <v>145</v>
      </c>
      <c r="K14" s="242"/>
      <c r="L14" s="247"/>
    </row>
    <row r="15" spans="1:13" ht="33.4" customHeight="1">
      <c r="A15" s="180"/>
      <c r="B15" s="332"/>
      <c r="C15" s="273" t="s">
        <v>146</v>
      </c>
      <c r="D15" s="51">
        <v>11</v>
      </c>
      <c r="E15" s="41" t="s">
        <v>147</v>
      </c>
      <c r="F15" s="48" t="s">
        <v>148</v>
      </c>
      <c r="G15" s="132" t="s">
        <v>17</v>
      </c>
      <c r="H15" s="142"/>
      <c r="I15" s="28"/>
      <c r="J15" s="35" t="s">
        <v>149</v>
      </c>
      <c r="K15" s="242"/>
      <c r="L15" s="247"/>
    </row>
    <row r="16" spans="1:13" ht="33.4" customHeight="1">
      <c r="A16" s="180"/>
      <c r="B16" s="332"/>
      <c r="C16" s="269" t="s">
        <v>131</v>
      </c>
      <c r="D16" s="72">
        <v>12</v>
      </c>
      <c r="E16" s="192" t="s">
        <v>150</v>
      </c>
      <c r="F16" s="44" t="s">
        <v>35</v>
      </c>
      <c r="G16" s="132"/>
      <c r="H16" s="140"/>
      <c r="I16" s="12" t="s">
        <v>17</v>
      </c>
      <c r="J16" s="56" t="s">
        <v>151</v>
      </c>
      <c r="K16" s="243"/>
      <c r="L16" s="267"/>
    </row>
    <row r="17" spans="1:12" ht="14.65" customHeight="1" thickBot="1">
      <c r="A17" s="6"/>
      <c r="B17" s="325"/>
      <c r="C17" s="270"/>
      <c r="D17" s="32"/>
      <c r="E17" s="121"/>
      <c r="F17" s="30"/>
      <c r="G17" s="136"/>
      <c r="H17" s="141"/>
      <c r="I17" s="21"/>
      <c r="J17" s="33"/>
      <c r="K17" s="244"/>
      <c r="L17" s="249"/>
    </row>
    <row r="18" spans="1:12" ht="33.4" customHeight="1">
      <c r="A18" s="180"/>
      <c r="B18" s="326" t="s">
        <v>52</v>
      </c>
      <c r="C18" s="268" t="s">
        <v>126</v>
      </c>
      <c r="D18" s="51">
        <v>13</v>
      </c>
      <c r="E18" s="113" t="s">
        <v>152</v>
      </c>
      <c r="F18" s="48" t="s">
        <v>16</v>
      </c>
      <c r="G18" s="131" t="s">
        <v>17</v>
      </c>
      <c r="H18" s="142"/>
      <c r="I18" s="28"/>
      <c r="J18" s="35" t="s">
        <v>153</v>
      </c>
      <c r="K18" s="241"/>
      <c r="L18" s="248"/>
    </row>
    <row r="19" spans="1:12" ht="33.4" customHeight="1">
      <c r="A19" s="180"/>
      <c r="B19" s="327"/>
      <c r="C19" s="269" t="s">
        <v>123</v>
      </c>
      <c r="D19" s="72">
        <v>14</v>
      </c>
      <c r="E19" s="192" t="s">
        <v>154</v>
      </c>
      <c r="F19" s="44" t="s">
        <v>92</v>
      </c>
      <c r="G19" s="132"/>
      <c r="H19" s="140"/>
      <c r="I19" s="12" t="s">
        <v>17</v>
      </c>
      <c r="J19" s="29" t="s">
        <v>155</v>
      </c>
      <c r="K19" s="242"/>
      <c r="L19" s="247"/>
    </row>
    <row r="20" spans="1:12" ht="33.4" customHeight="1">
      <c r="A20" s="180"/>
      <c r="B20" s="327"/>
      <c r="C20" s="272" t="s">
        <v>131</v>
      </c>
      <c r="D20" s="181">
        <v>15</v>
      </c>
      <c r="E20" s="192" t="s">
        <v>156</v>
      </c>
      <c r="F20" s="44" t="s">
        <v>56</v>
      </c>
      <c r="G20" s="255"/>
      <c r="H20" s="161"/>
      <c r="I20" s="156" t="s">
        <v>17</v>
      </c>
      <c r="J20" s="56" t="s">
        <v>157</v>
      </c>
      <c r="K20" s="243"/>
      <c r="L20" s="247"/>
    </row>
    <row r="21" spans="1:12" ht="33.4" customHeight="1">
      <c r="A21" s="180"/>
      <c r="B21" s="327"/>
      <c r="C21" s="269" t="s">
        <v>126</v>
      </c>
      <c r="D21" s="72">
        <v>16</v>
      </c>
      <c r="E21" s="14" t="s">
        <v>158</v>
      </c>
      <c r="F21" s="71" t="s">
        <v>29</v>
      </c>
      <c r="G21" s="132" t="s">
        <v>17</v>
      </c>
      <c r="H21" s="140"/>
      <c r="I21" s="12"/>
      <c r="J21" s="56" t="s">
        <v>159</v>
      </c>
      <c r="K21" s="242"/>
      <c r="L21" s="247"/>
    </row>
    <row r="22" spans="1:12" ht="14.65" customHeight="1" thickBot="1">
      <c r="A22" s="6"/>
      <c r="B22" s="328"/>
      <c r="C22" s="270"/>
      <c r="D22" s="32"/>
      <c r="E22" s="121"/>
      <c r="F22" s="30"/>
      <c r="G22" s="136"/>
      <c r="H22" s="141"/>
      <c r="I22" s="21"/>
      <c r="J22" s="81"/>
      <c r="K22" s="245"/>
      <c r="L22" s="250"/>
    </row>
    <row r="23" spans="1:12" ht="34.15">
      <c r="A23" s="180"/>
      <c r="B23" s="314" t="s">
        <v>160</v>
      </c>
      <c r="C23" s="268" t="s">
        <v>131</v>
      </c>
      <c r="D23" s="48">
        <v>17</v>
      </c>
      <c r="E23" s="113" t="s">
        <v>161</v>
      </c>
      <c r="F23" s="71" t="s">
        <v>29</v>
      </c>
      <c r="G23" s="132" t="s">
        <v>17</v>
      </c>
      <c r="H23" s="142" t="s">
        <v>17</v>
      </c>
      <c r="I23" s="28"/>
      <c r="J23" s="35" t="s">
        <v>162</v>
      </c>
      <c r="K23" s="241"/>
      <c r="L23" s="246"/>
    </row>
    <row r="24" spans="1:12" ht="34.15">
      <c r="A24" s="180"/>
      <c r="B24" s="315"/>
      <c r="C24" s="269" t="s">
        <v>131</v>
      </c>
      <c r="D24" s="72">
        <v>18</v>
      </c>
      <c r="E24" s="108" t="s">
        <v>163</v>
      </c>
      <c r="F24" s="71" t="s">
        <v>16</v>
      </c>
      <c r="G24" s="132" t="s">
        <v>17</v>
      </c>
      <c r="H24" s="140"/>
      <c r="I24" s="12"/>
      <c r="J24" s="29" t="s">
        <v>164</v>
      </c>
      <c r="K24" s="242"/>
      <c r="L24" s="247"/>
    </row>
    <row r="25" spans="1:12" ht="33.4" customHeight="1">
      <c r="A25" s="180"/>
      <c r="B25" s="315"/>
      <c r="C25" s="269" t="s">
        <v>123</v>
      </c>
      <c r="D25" s="72">
        <v>19</v>
      </c>
      <c r="E25" s="108" t="s">
        <v>165</v>
      </c>
      <c r="F25" s="71" t="s">
        <v>16</v>
      </c>
      <c r="G25" s="132" t="s">
        <v>17</v>
      </c>
      <c r="H25" s="140"/>
      <c r="I25" s="12" t="s">
        <v>17</v>
      </c>
      <c r="J25" s="29" t="s">
        <v>166</v>
      </c>
      <c r="K25" s="242"/>
      <c r="L25" s="247"/>
    </row>
    <row r="26" spans="1:12" ht="33.4" customHeight="1">
      <c r="A26" s="180"/>
      <c r="B26" s="315"/>
      <c r="C26" s="269" t="s">
        <v>126</v>
      </c>
      <c r="D26" s="72">
        <v>20</v>
      </c>
      <c r="E26" s="192" t="s">
        <v>167</v>
      </c>
      <c r="F26" s="44" t="s">
        <v>35</v>
      </c>
      <c r="G26" s="132" t="s">
        <v>17</v>
      </c>
      <c r="H26" s="140"/>
      <c r="I26" s="12"/>
      <c r="J26" s="56" t="s">
        <v>168</v>
      </c>
      <c r="K26" s="243"/>
      <c r="L26" s="247"/>
    </row>
    <row r="27" spans="1:12" ht="14.65" customHeight="1" thickBot="1">
      <c r="A27" s="6"/>
      <c r="B27" s="316"/>
      <c r="C27" s="274"/>
      <c r="D27" s="32"/>
      <c r="E27" s="46"/>
      <c r="F27" s="74"/>
      <c r="G27" s="163"/>
      <c r="H27" s="164"/>
      <c r="I27" s="162"/>
      <c r="J27" s="33"/>
      <c r="K27" s="244" t="str">
        <f>IF(COUNTIF(K23:K26, "No"),"No","Yes")</f>
        <v>Yes</v>
      </c>
      <c r="L27" s="249"/>
    </row>
    <row r="28" spans="1:12">
      <c r="K28" s="24"/>
    </row>
    <row r="29" spans="1:12">
      <c r="C29" s="126" t="s">
        <v>77</v>
      </c>
      <c r="K29" s="24"/>
    </row>
    <row r="30" spans="1:12">
      <c r="K30" s="24"/>
    </row>
    <row r="31" spans="1:12">
      <c r="C31" s="25"/>
      <c r="E31" s="25"/>
      <c r="K31" s="24"/>
    </row>
    <row r="32" spans="1:12">
      <c r="K32" s="24"/>
    </row>
    <row r="33" spans="11:11">
      <c r="K33" s="24"/>
    </row>
    <row r="34" spans="11:11">
      <c r="K34" s="24"/>
    </row>
    <row r="35" spans="11:11">
      <c r="K35" s="24"/>
    </row>
    <row r="36" spans="11:11">
      <c r="K36" s="24"/>
    </row>
    <row r="37" spans="11:11">
      <c r="K37" s="24"/>
    </row>
    <row r="38" spans="11:11">
      <c r="K38" s="24"/>
    </row>
    <row r="39" spans="11:11">
      <c r="K39" s="24"/>
    </row>
    <row r="40" spans="11:11">
      <c r="K40" s="24"/>
    </row>
    <row r="41" spans="11:11">
      <c r="K41" s="24"/>
    </row>
    <row r="42" spans="11:11">
      <c r="K42" s="24"/>
    </row>
    <row r="43" spans="11:11">
      <c r="K43" s="24"/>
    </row>
    <row r="44" spans="11:11">
      <c r="K44" s="24"/>
    </row>
    <row r="45" spans="11:11">
      <c r="K45" s="24"/>
    </row>
    <row r="46" spans="11:11">
      <c r="K46" s="24"/>
    </row>
    <row r="47" spans="11:11">
      <c r="K47" s="24"/>
    </row>
    <row r="48" spans="11:11">
      <c r="K48" s="24"/>
    </row>
    <row r="49" spans="11:11">
      <c r="K49" s="24"/>
    </row>
    <row r="50" spans="11:11">
      <c r="K50" s="24"/>
    </row>
    <row r="51" spans="11:11">
      <c r="K51" s="24"/>
    </row>
    <row r="52" spans="11:11">
      <c r="K52" s="24"/>
    </row>
    <row r="53" spans="11:11">
      <c r="K53" s="24"/>
    </row>
    <row r="54" spans="11:11">
      <c r="K54" s="24"/>
    </row>
    <row r="55" spans="11:11">
      <c r="K55" s="24"/>
    </row>
    <row r="56" spans="11:11">
      <c r="K56" s="24"/>
    </row>
    <row r="57" spans="11:11">
      <c r="K57" s="24"/>
    </row>
    <row r="58" spans="11:11">
      <c r="K58" s="24"/>
    </row>
    <row r="59" spans="11:11">
      <c r="K59" s="24"/>
    </row>
    <row r="60" spans="11:11">
      <c r="K60" s="24"/>
    </row>
    <row r="61" spans="11:11">
      <c r="K61" s="24"/>
    </row>
    <row r="62" spans="11:11">
      <c r="K62" s="24"/>
    </row>
    <row r="63" spans="11:11">
      <c r="K63" s="24"/>
    </row>
    <row r="64" spans="11:11">
      <c r="K64" s="24"/>
    </row>
  </sheetData>
  <autoFilter ref="A1:K27" xr:uid="{00000000-0009-0000-0000-000002000000}"/>
  <mergeCells count="6">
    <mergeCell ref="G1:I1"/>
    <mergeCell ref="B23:B27"/>
    <mergeCell ref="B3:B7"/>
    <mergeCell ref="B8:B12"/>
    <mergeCell ref="B13:B17"/>
    <mergeCell ref="B18:B22"/>
  </mergeCells>
  <phoneticPr fontId="4"/>
  <dataValidations count="1">
    <dataValidation type="list" allowBlank="1" showInputMessage="1" showErrorMessage="1" sqref="K3:K6 K8:K11 K23:K26 K13:K16 K18:K21" xr:uid="{00000000-0002-0000-0200-000000000000}">
      <formula1>"Yes, No, N/A, Not rolled out yet"</formula1>
    </dataValidation>
  </dataValidations>
  <pageMargins left="0.39370078740157483" right="0.31496062992125984" top="0.74803149606299213" bottom="0.74803149606299213" header="0.31496062992125984" footer="0.31496062992125984"/>
  <pageSetup paperSize="8" scale="5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7" tint="0.79998168889431442"/>
  </sheetPr>
  <dimension ref="A1:N141"/>
  <sheetViews>
    <sheetView showGridLines="0" view="pageBreakPreview" zoomScale="70" zoomScaleNormal="90" zoomScaleSheetLayoutView="70" workbookViewId="0">
      <pane xSplit="1" ySplit="2" topLeftCell="B69" activePane="bottomRight" state="frozen"/>
      <selection pane="bottomRight" activeCell="F49" sqref="F49"/>
      <selection pane="bottomLeft" activeCell="E22" sqref="E22"/>
      <selection pane="topRight" activeCell="E22" sqref="E22"/>
    </sheetView>
  </sheetViews>
  <sheetFormatPr defaultColWidth="9.125" defaultRowHeight="15"/>
  <cols>
    <col min="1" max="1" width="3.25" style="39" customWidth="1"/>
    <col min="2" max="2" width="6.75" style="6" customWidth="1"/>
    <col min="3" max="3" width="24.625" style="66" customWidth="1"/>
    <col min="4" max="4" width="15.375" style="6" customWidth="1"/>
    <col min="5" max="5" width="4.75" style="6" customWidth="1"/>
    <col min="6" max="6" width="76.625" style="6" customWidth="1"/>
    <col min="7" max="7" width="21" style="24" customWidth="1"/>
    <col min="8" max="10" width="7.5" style="24" customWidth="1"/>
    <col min="11" max="11" width="98.375" style="5" customWidth="1"/>
    <col min="12" max="12" width="15.625" style="66" customWidth="1"/>
    <col min="13" max="13" width="56" style="6" customWidth="1"/>
    <col min="14" max="14" width="39.5" style="183" bestFit="1" customWidth="1"/>
    <col min="15" max="16384" width="9.125" style="6"/>
  </cols>
  <sheetData>
    <row r="1" spans="1:14" ht="29.65" customHeight="1" thickBot="1">
      <c r="B1" s="278" t="s">
        <v>0</v>
      </c>
      <c r="C1" s="7" t="s">
        <v>169</v>
      </c>
      <c r="D1" s="2" t="s">
        <v>1</v>
      </c>
      <c r="E1" s="278" t="s">
        <v>2</v>
      </c>
      <c r="F1" s="2" t="s">
        <v>3</v>
      </c>
      <c r="G1" s="8" t="s">
        <v>4</v>
      </c>
      <c r="H1" s="311" t="s">
        <v>5</v>
      </c>
      <c r="I1" s="312"/>
      <c r="J1" s="313"/>
      <c r="K1" s="9" t="s">
        <v>6</v>
      </c>
      <c r="L1" s="9" t="s">
        <v>7</v>
      </c>
      <c r="M1" s="9" t="s">
        <v>78</v>
      </c>
    </row>
    <row r="2" spans="1:14" s="3" customFormat="1" ht="38.450000000000003" thickBot="1">
      <c r="A2" s="109"/>
      <c r="B2" s="287"/>
      <c r="C2" s="288"/>
      <c r="D2" s="287"/>
      <c r="E2" s="289"/>
      <c r="F2" s="290"/>
      <c r="G2" s="129"/>
      <c r="H2" s="153" t="s">
        <v>9</v>
      </c>
      <c r="I2" s="154" t="s">
        <v>10</v>
      </c>
      <c r="J2" s="291" t="s">
        <v>11</v>
      </c>
      <c r="K2" s="294" t="s">
        <v>79</v>
      </c>
      <c r="L2" s="288"/>
      <c r="M2" s="287"/>
    </row>
    <row r="3" spans="1:14" ht="62.45" customHeight="1">
      <c r="A3" s="180"/>
      <c r="B3" s="345" t="s">
        <v>170</v>
      </c>
      <c r="C3" s="99" t="s">
        <v>171</v>
      </c>
      <c r="D3" s="280" t="s">
        <v>172</v>
      </c>
      <c r="E3" s="51">
        <v>1</v>
      </c>
      <c r="F3" s="286" t="s">
        <v>173</v>
      </c>
      <c r="G3" s="48" t="s">
        <v>56</v>
      </c>
      <c r="H3" s="218"/>
      <c r="I3" s="142"/>
      <c r="J3" s="28" t="s">
        <v>17</v>
      </c>
      <c r="K3" s="79" t="s">
        <v>174</v>
      </c>
      <c r="L3" s="63"/>
      <c r="M3" s="284"/>
      <c r="N3" s="6"/>
    </row>
    <row r="4" spans="1:14" ht="22.9">
      <c r="A4" s="180"/>
      <c r="B4" s="345"/>
      <c r="C4" s="71" t="s">
        <v>171</v>
      </c>
      <c r="D4" s="44" t="s">
        <v>175</v>
      </c>
      <c r="E4" s="69">
        <v>2</v>
      </c>
      <c r="F4" s="53" t="s">
        <v>176</v>
      </c>
      <c r="G4" s="71" t="s">
        <v>16</v>
      </c>
      <c r="H4" s="67" t="s">
        <v>17</v>
      </c>
      <c r="I4" s="140"/>
      <c r="J4" s="12"/>
      <c r="K4" s="79" t="s">
        <v>177</v>
      </c>
      <c r="L4" s="63"/>
      <c r="M4" s="104"/>
      <c r="N4" s="6"/>
    </row>
    <row r="5" spans="1:14" ht="45.6">
      <c r="A5" s="180"/>
      <c r="B5" s="345"/>
      <c r="C5" s="96" t="s">
        <v>178</v>
      </c>
      <c r="D5" s="44" t="s">
        <v>179</v>
      </c>
      <c r="E5" s="72">
        <v>3</v>
      </c>
      <c r="F5" s="53" t="s">
        <v>180</v>
      </c>
      <c r="G5" s="71" t="s">
        <v>56</v>
      </c>
      <c r="H5" s="67"/>
      <c r="I5" s="140"/>
      <c r="J5" s="12" t="s">
        <v>21</v>
      </c>
      <c r="K5" s="55" t="s">
        <v>181</v>
      </c>
      <c r="L5" s="63"/>
      <c r="M5" s="104"/>
      <c r="N5" s="6"/>
    </row>
    <row r="6" spans="1:14" ht="34.15">
      <c r="A6" s="180"/>
      <c r="B6" s="345"/>
      <c r="C6" s="96" t="s">
        <v>126</v>
      </c>
      <c r="D6" s="44" t="s">
        <v>172</v>
      </c>
      <c r="E6" s="69">
        <v>4</v>
      </c>
      <c r="F6" s="53" t="s">
        <v>182</v>
      </c>
      <c r="G6" s="71" t="s">
        <v>56</v>
      </c>
      <c r="H6" s="67"/>
      <c r="I6" s="140"/>
      <c r="J6" s="12" t="s">
        <v>21</v>
      </c>
      <c r="K6" s="55" t="s">
        <v>183</v>
      </c>
      <c r="L6" s="63"/>
      <c r="M6" s="104"/>
      <c r="N6" s="6"/>
    </row>
    <row r="7" spans="1:14" ht="34.15">
      <c r="A7" s="180"/>
      <c r="B7" s="345"/>
      <c r="C7" s="96" t="s">
        <v>184</v>
      </c>
      <c r="D7" s="44" t="s">
        <v>185</v>
      </c>
      <c r="E7" s="72">
        <v>5</v>
      </c>
      <c r="F7" s="49" t="s">
        <v>186</v>
      </c>
      <c r="G7" s="71" t="s">
        <v>56</v>
      </c>
      <c r="H7" s="67"/>
      <c r="I7" s="140" t="s">
        <v>17</v>
      </c>
      <c r="J7" s="12" t="s">
        <v>17</v>
      </c>
      <c r="K7" s="55" t="s">
        <v>187</v>
      </c>
      <c r="L7" s="63"/>
      <c r="M7" s="104"/>
      <c r="N7" s="6"/>
    </row>
    <row r="8" spans="1:14" ht="36" customHeight="1">
      <c r="A8" s="180"/>
      <c r="B8" s="345"/>
      <c r="C8" s="96" t="s">
        <v>188</v>
      </c>
      <c r="D8" s="44" t="s">
        <v>185</v>
      </c>
      <c r="E8" s="69">
        <v>6</v>
      </c>
      <c r="F8" s="55" t="s">
        <v>189</v>
      </c>
      <c r="G8" s="67" t="s">
        <v>29</v>
      </c>
      <c r="H8" s="165" t="s">
        <v>17</v>
      </c>
      <c r="I8" s="144"/>
      <c r="J8" s="152"/>
      <c r="K8" s="55" t="s">
        <v>190</v>
      </c>
      <c r="L8" s="63"/>
      <c r="M8" s="104"/>
      <c r="N8" s="6"/>
    </row>
    <row r="9" spans="1:14" ht="22.9">
      <c r="A9" s="180"/>
      <c r="B9" s="345"/>
      <c r="C9" s="96" t="s">
        <v>191</v>
      </c>
      <c r="D9" s="44" t="s">
        <v>185</v>
      </c>
      <c r="E9" s="72">
        <v>7</v>
      </c>
      <c r="F9" s="53" t="s">
        <v>192</v>
      </c>
      <c r="G9" s="44" t="s">
        <v>193</v>
      </c>
      <c r="H9" s="165"/>
      <c r="I9" s="144"/>
      <c r="J9" s="152" t="s">
        <v>17</v>
      </c>
      <c r="K9" s="55" t="s">
        <v>194</v>
      </c>
      <c r="L9" s="63"/>
      <c r="M9" s="104"/>
      <c r="N9" s="6"/>
    </row>
    <row r="10" spans="1:14" ht="22.9">
      <c r="A10" s="180"/>
      <c r="B10" s="345"/>
      <c r="C10" s="96" t="s">
        <v>195</v>
      </c>
      <c r="D10" s="44" t="s">
        <v>185</v>
      </c>
      <c r="E10" s="69">
        <v>8</v>
      </c>
      <c r="F10" s="53" t="s">
        <v>196</v>
      </c>
      <c r="G10" s="44" t="s">
        <v>193</v>
      </c>
      <c r="H10" s="67"/>
      <c r="I10" s="140"/>
      <c r="J10" s="12" t="s">
        <v>17</v>
      </c>
      <c r="K10" s="55" t="s">
        <v>197</v>
      </c>
      <c r="L10" s="63"/>
      <c r="M10" s="104"/>
    </row>
    <row r="11" spans="1:14" ht="22.9">
      <c r="A11" s="180"/>
      <c r="B11" s="345"/>
      <c r="C11" s="97" t="s">
        <v>198</v>
      </c>
      <c r="D11" s="44" t="s">
        <v>185</v>
      </c>
      <c r="E11" s="72">
        <v>9</v>
      </c>
      <c r="F11" s="55" t="s">
        <v>199</v>
      </c>
      <c r="G11" s="67" t="s">
        <v>92</v>
      </c>
      <c r="H11" s="67"/>
      <c r="I11" s="140"/>
      <c r="J11" s="12" t="s">
        <v>17</v>
      </c>
      <c r="K11" s="55" t="s">
        <v>200</v>
      </c>
      <c r="L11" s="63"/>
      <c r="M11" s="104"/>
      <c r="N11" s="6"/>
    </row>
    <row r="12" spans="1:14" ht="22.9">
      <c r="A12" s="180"/>
      <c r="B12" s="345"/>
      <c r="C12" s="97" t="s">
        <v>198</v>
      </c>
      <c r="D12" s="44" t="s">
        <v>185</v>
      </c>
      <c r="E12" s="69">
        <v>10</v>
      </c>
      <c r="F12" s="55" t="s">
        <v>201</v>
      </c>
      <c r="G12" s="193" t="s">
        <v>106</v>
      </c>
      <c r="H12" s="67"/>
      <c r="I12" s="140" t="s">
        <v>17</v>
      </c>
      <c r="J12" s="12"/>
      <c r="K12" s="55" t="s">
        <v>202</v>
      </c>
      <c r="L12" s="63"/>
      <c r="M12" s="104"/>
      <c r="N12" s="6"/>
    </row>
    <row r="13" spans="1:14" ht="33.4" customHeight="1">
      <c r="A13" s="180"/>
      <c r="B13" s="345"/>
      <c r="C13" s="96" t="s">
        <v>203</v>
      </c>
      <c r="D13" s="44" t="s">
        <v>185</v>
      </c>
      <c r="E13" s="72">
        <v>11</v>
      </c>
      <c r="F13" s="49" t="s">
        <v>204</v>
      </c>
      <c r="G13" s="44" t="s">
        <v>56</v>
      </c>
      <c r="H13" s="67" t="s">
        <v>17</v>
      </c>
      <c r="I13" s="140"/>
      <c r="J13" s="12"/>
      <c r="K13" s="55" t="s">
        <v>205</v>
      </c>
      <c r="L13" s="63"/>
      <c r="M13" s="104"/>
    </row>
    <row r="14" spans="1:14" ht="33.4" customHeight="1">
      <c r="A14" s="180"/>
      <c r="B14" s="345"/>
      <c r="C14" s="96" t="s">
        <v>203</v>
      </c>
      <c r="D14" s="44" t="s">
        <v>185</v>
      </c>
      <c r="E14" s="69">
        <v>12</v>
      </c>
      <c r="F14" s="61" t="s">
        <v>206</v>
      </c>
      <c r="G14" s="44" t="s">
        <v>56</v>
      </c>
      <c r="H14" s="67"/>
      <c r="I14" s="140"/>
      <c r="J14" s="12" t="s">
        <v>17</v>
      </c>
      <c r="K14" s="55" t="s">
        <v>207</v>
      </c>
      <c r="L14" s="63"/>
      <c r="M14" s="104"/>
    </row>
    <row r="15" spans="1:14" ht="22.9">
      <c r="A15" s="180"/>
      <c r="B15" s="345"/>
      <c r="C15" s="97" t="s">
        <v>208</v>
      </c>
      <c r="D15" s="44" t="s">
        <v>185</v>
      </c>
      <c r="E15" s="72">
        <v>13</v>
      </c>
      <c r="F15" s="14" t="s">
        <v>209</v>
      </c>
      <c r="G15" s="44" t="s">
        <v>193</v>
      </c>
      <c r="H15" s="67"/>
      <c r="I15" s="140"/>
      <c r="J15" s="12" t="s">
        <v>17</v>
      </c>
      <c r="K15" s="55" t="s">
        <v>210</v>
      </c>
      <c r="L15" s="63"/>
      <c r="M15" s="104"/>
      <c r="N15" s="6"/>
    </row>
    <row r="16" spans="1:14" ht="22.9">
      <c r="A16" s="180"/>
      <c r="B16" s="345"/>
      <c r="C16" s="96" t="s">
        <v>211</v>
      </c>
      <c r="D16" s="44" t="s">
        <v>185</v>
      </c>
      <c r="E16" s="69">
        <v>14</v>
      </c>
      <c r="F16" s="55" t="s">
        <v>212</v>
      </c>
      <c r="G16" s="67" t="s">
        <v>29</v>
      </c>
      <c r="H16" s="67" t="s">
        <v>17</v>
      </c>
      <c r="I16" s="140"/>
      <c r="J16" s="12"/>
      <c r="K16" s="55" t="s">
        <v>213</v>
      </c>
      <c r="L16" s="63"/>
      <c r="M16" s="104"/>
    </row>
    <row r="17" spans="1:14" ht="33.4" customHeight="1">
      <c r="A17" s="180"/>
      <c r="B17" s="345"/>
      <c r="C17" s="84" t="s">
        <v>214</v>
      </c>
      <c r="D17" s="76" t="s">
        <v>185</v>
      </c>
      <c r="E17" s="72">
        <v>15</v>
      </c>
      <c r="F17" s="80" t="s">
        <v>215</v>
      </c>
      <c r="G17" s="71" t="s">
        <v>56</v>
      </c>
      <c r="H17" s="67"/>
      <c r="I17" s="140"/>
      <c r="J17" s="12" t="s">
        <v>17</v>
      </c>
      <c r="K17" s="90" t="s">
        <v>216</v>
      </c>
      <c r="L17" s="63"/>
      <c r="M17" s="104"/>
      <c r="N17" s="6"/>
    </row>
    <row r="18" spans="1:14" ht="34.15">
      <c r="A18" s="180"/>
      <c r="B18" s="345"/>
      <c r="C18" s="96" t="s">
        <v>217</v>
      </c>
      <c r="D18" s="76" t="s">
        <v>185</v>
      </c>
      <c r="E18" s="69">
        <v>16</v>
      </c>
      <c r="F18" s="108" t="s">
        <v>218</v>
      </c>
      <c r="G18" s="71" t="s">
        <v>56</v>
      </c>
      <c r="H18" s="67"/>
      <c r="I18" s="140"/>
      <c r="J18" s="12" t="s">
        <v>17</v>
      </c>
      <c r="K18" s="108" t="s">
        <v>219</v>
      </c>
      <c r="L18" s="63"/>
      <c r="M18" s="104"/>
    </row>
    <row r="19" spans="1:14" ht="22.9">
      <c r="A19" s="180"/>
      <c r="B19" s="345"/>
      <c r="C19" s="96" t="s">
        <v>220</v>
      </c>
      <c r="D19" s="76" t="s">
        <v>185</v>
      </c>
      <c r="E19" s="72">
        <v>17</v>
      </c>
      <c r="F19" s="108" t="s">
        <v>221</v>
      </c>
      <c r="G19" s="44" t="s">
        <v>193</v>
      </c>
      <c r="H19" s="67"/>
      <c r="I19" s="140"/>
      <c r="J19" s="12" t="s">
        <v>17</v>
      </c>
      <c r="K19" s="108" t="s">
        <v>222</v>
      </c>
      <c r="L19" s="63"/>
      <c r="M19" s="104"/>
    </row>
    <row r="20" spans="1:14" ht="34.15">
      <c r="A20" s="180"/>
      <c r="B20" s="345"/>
      <c r="C20" s="44" t="s">
        <v>223</v>
      </c>
      <c r="D20" s="194" t="s">
        <v>185</v>
      </c>
      <c r="E20" s="69">
        <v>18</v>
      </c>
      <c r="F20" s="53" t="s">
        <v>224</v>
      </c>
      <c r="G20" s="255" t="s">
        <v>56</v>
      </c>
      <c r="H20" s="193"/>
      <c r="I20" s="161"/>
      <c r="J20" s="156" t="s">
        <v>21</v>
      </c>
      <c r="K20" s="275" t="s">
        <v>225</v>
      </c>
      <c r="L20" s="63"/>
      <c r="M20" s="104"/>
    </row>
    <row r="21" spans="1:14" ht="22.9">
      <c r="A21" s="180"/>
      <c r="B21" s="345"/>
      <c r="C21" s="44" t="s">
        <v>226</v>
      </c>
      <c r="D21" s="194" t="s">
        <v>185</v>
      </c>
      <c r="E21" s="72">
        <v>19</v>
      </c>
      <c r="F21" s="53" t="s">
        <v>227</v>
      </c>
      <c r="G21" s="255" t="s">
        <v>29</v>
      </c>
      <c r="H21" s="193" t="s">
        <v>21</v>
      </c>
      <c r="I21" s="161"/>
      <c r="J21" s="156"/>
      <c r="K21" s="53" t="s">
        <v>228</v>
      </c>
      <c r="L21" s="63"/>
      <c r="M21" s="104"/>
    </row>
    <row r="22" spans="1:14" ht="22.9">
      <c r="A22" s="180"/>
      <c r="B22" s="345"/>
      <c r="C22" s="44" t="s">
        <v>226</v>
      </c>
      <c r="D22" s="194" t="s">
        <v>185</v>
      </c>
      <c r="E22" s="69">
        <v>20</v>
      </c>
      <c r="F22" s="53" t="s">
        <v>229</v>
      </c>
      <c r="G22" s="255" t="s">
        <v>29</v>
      </c>
      <c r="H22" s="193" t="s">
        <v>21</v>
      </c>
      <c r="I22" s="161"/>
      <c r="J22" s="156"/>
      <c r="K22" s="53" t="s">
        <v>230</v>
      </c>
      <c r="L22" s="63"/>
      <c r="M22" s="104"/>
    </row>
    <row r="23" spans="1:14" s="5" customFormat="1" ht="15.75" customHeight="1" thickBot="1">
      <c r="A23" s="39"/>
      <c r="B23" s="346"/>
      <c r="C23" s="100"/>
      <c r="D23" s="85"/>
      <c r="E23" s="15"/>
      <c r="F23" s="88"/>
      <c r="G23" s="170"/>
      <c r="H23" s="170"/>
      <c r="I23" s="282"/>
      <c r="J23" s="283"/>
      <c r="K23" s="92"/>
      <c r="L23" s="16"/>
      <c r="M23" s="292"/>
    </row>
    <row r="24" spans="1:14" ht="34.15">
      <c r="A24" s="180"/>
      <c r="B24" s="335" t="s">
        <v>231</v>
      </c>
      <c r="C24" s="50" t="s">
        <v>232</v>
      </c>
      <c r="D24" s="42" t="s">
        <v>185</v>
      </c>
      <c r="E24" s="70">
        <v>21</v>
      </c>
      <c r="F24" s="52" t="s">
        <v>233</v>
      </c>
      <c r="G24" s="44" t="s">
        <v>234</v>
      </c>
      <c r="H24" s="218"/>
      <c r="I24" s="142"/>
      <c r="J24" s="28" t="s">
        <v>17</v>
      </c>
      <c r="K24" s="54" t="s">
        <v>235</v>
      </c>
      <c r="L24" s="62"/>
      <c r="M24" s="284"/>
      <c r="N24" s="6"/>
    </row>
    <row r="25" spans="1:14" ht="22.9">
      <c r="A25" s="180"/>
      <c r="B25" s="336"/>
      <c r="C25" s="99" t="s">
        <v>232</v>
      </c>
      <c r="D25" s="44" t="s">
        <v>236</v>
      </c>
      <c r="E25" s="72">
        <v>22</v>
      </c>
      <c r="F25" s="53" t="s">
        <v>237</v>
      </c>
      <c r="G25" s="44" t="s">
        <v>234</v>
      </c>
      <c r="H25" s="67"/>
      <c r="I25" s="140"/>
      <c r="J25" s="12" t="s">
        <v>17</v>
      </c>
      <c r="K25" s="79" t="s">
        <v>238</v>
      </c>
      <c r="L25" s="63"/>
      <c r="M25" s="104"/>
      <c r="N25" s="6"/>
    </row>
    <row r="26" spans="1:14" ht="45.6">
      <c r="A26" s="180"/>
      <c r="B26" s="336"/>
      <c r="C26" s="96" t="s">
        <v>178</v>
      </c>
      <c r="D26" s="182" t="s">
        <v>239</v>
      </c>
      <c r="E26" s="51">
        <v>23</v>
      </c>
      <c r="F26" s="53" t="s">
        <v>240</v>
      </c>
      <c r="G26" s="44" t="s">
        <v>56</v>
      </c>
      <c r="H26" s="67"/>
      <c r="I26" s="140"/>
      <c r="J26" s="12" t="s">
        <v>21</v>
      </c>
      <c r="K26" s="55" t="s">
        <v>241</v>
      </c>
      <c r="L26" s="63"/>
      <c r="M26" s="104"/>
      <c r="N26" s="6"/>
    </row>
    <row r="27" spans="1:14" ht="45.6">
      <c r="A27" s="180"/>
      <c r="B27" s="336"/>
      <c r="C27" s="96" t="s">
        <v>178</v>
      </c>
      <c r="D27" s="182" t="s">
        <v>239</v>
      </c>
      <c r="E27" s="72">
        <v>24</v>
      </c>
      <c r="F27" s="53" t="s">
        <v>242</v>
      </c>
      <c r="G27" s="71" t="s">
        <v>56</v>
      </c>
      <c r="H27" s="67" t="s">
        <v>21</v>
      </c>
      <c r="I27" s="140"/>
      <c r="J27" s="156" t="s">
        <v>21</v>
      </c>
      <c r="K27" s="55" t="s">
        <v>243</v>
      </c>
      <c r="L27" s="63"/>
      <c r="M27" s="104"/>
      <c r="N27" s="6"/>
    </row>
    <row r="28" spans="1:14" ht="22.9">
      <c r="A28" s="180"/>
      <c r="B28" s="336"/>
      <c r="C28" s="96" t="s">
        <v>126</v>
      </c>
      <c r="D28" s="44" t="s">
        <v>185</v>
      </c>
      <c r="E28" s="51">
        <v>25</v>
      </c>
      <c r="F28" s="55" t="s">
        <v>244</v>
      </c>
      <c r="G28" s="67" t="s">
        <v>29</v>
      </c>
      <c r="H28" s="67" t="s">
        <v>21</v>
      </c>
      <c r="I28" s="140"/>
      <c r="J28" s="12"/>
      <c r="K28" s="55" t="s">
        <v>245</v>
      </c>
      <c r="L28" s="63"/>
      <c r="M28" s="104"/>
      <c r="N28" s="6"/>
    </row>
    <row r="29" spans="1:14" ht="45.6">
      <c r="A29" s="180"/>
      <c r="B29" s="336"/>
      <c r="C29" s="96" t="s">
        <v>184</v>
      </c>
      <c r="D29" s="44" t="s">
        <v>246</v>
      </c>
      <c r="E29" s="72">
        <v>26</v>
      </c>
      <c r="F29" s="55" t="s">
        <v>247</v>
      </c>
      <c r="G29" s="71" t="s">
        <v>56</v>
      </c>
      <c r="H29" s="67" t="s">
        <v>17</v>
      </c>
      <c r="I29" s="140"/>
      <c r="J29" s="12" t="s">
        <v>17</v>
      </c>
      <c r="K29" s="75" t="s">
        <v>248</v>
      </c>
      <c r="L29" s="63"/>
      <c r="M29" s="104"/>
      <c r="N29" s="6"/>
    </row>
    <row r="30" spans="1:14" ht="34.15">
      <c r="A30" s="180"/>
      <c r="B30" s="336"/>
      <c r="C30" s="96" t="s">
        <v>188</v>
      </c>
      <c r="D30" s="44" t="s">
        <v>246</v>
      </c>
      <c r="E30" s="51">
        <v>27</v>
      </c>
      <c r="F30" s="55" t="s">
        <v>249</v>
      </c>
      <c r="G30" s="71" t="s">
        <v>56</v>
      </c>
      <c r="H30" s="67" t="s">
        <v>17</v>
      </c>
      <c r="I30" s="140"/>
      <c r="J30" s="12"/>
      <c r="K30" s="55" t="s">
        <v>250</v>
      </c>
      <c r="L30" s="63"/>
      <c r="M30" s="104"/>
      <c r="N30" s="6"/>
    </row>
    <row r="31" spans="1:14" ht="36.6" customHeight="1">
      <c r="A31" s="180"/>
      <c r="B31" s="336"/>
      <c r="C31" s="96" t="s">
        <v>191</v>
      </c>
      <c r="D31" s="44" t="s">
        <v>236</v>
      </c>
      <c r="E31" s="72">
        <v>28</v>
      </c>
      <c r="F31" s="55" t="s">
        <v>251</v>
      </c>
      <c r="G31" s="67" t="s">
        <v>86</v>
      </c>
      <c r="H31" s="67" t="s">
        <v>21</v>
      </c>
      <c r="I31" s="140"/>
      <c r="J31" s="12"/>
      <c r="K31" s="55" t="s">
        <v>252</v>
      </c>
      <c r="L31" s="63"/>
      <c r="M31" s="104"/>
      <c r="N31" s="6"/>
    </row>
    <row r="32" spans="1:14" ht="36.6" customHeight="1">
      <c r="A32" s="180"/>
      <c r="B32" s="336"/>
      <c r="C32" s="96" t="s">
        <v>195</v>
      </c>
      <c r="D32" s="44" t="s">
        <v>246</v>
      </c>
      <c r="E32" s="51">
        <v>29</v>
      </c>
      <c r="F32" s="55" t="s">
        <v>253</v>
      </c>
      <c r="G32" s="44" t="s">
        <v>86</v>
      </c>
      <c r="H32" s="67" t="s">
        <v>17</v>
      </c>
      <c r="I32" s="140"/>
      <c r="J32" s="12"/>
      <c r="K32" s="55" t="s">
        <v>254</v>
      </c>
      <c r="L32" s="63"/>
      <c r="M32" s="104"/>
    </row>
    <row r="33" spans="1:14" ht="34.15">
      <c r="A33" s="180"/>
      <c r="B33" s="336"/>
      <c r="C33" s="97" t="s">
        <v>198</v>
      </c>
      <c r="D33" s="44" t="s">
        <v>185</v>
      </c>
      <c r="E33" s="72">
        <v>30</v>
      </c>
      <c r="F33" s="53" t="s">
        <v>255</v>
      </c>
      <c r="G33" s="71" t="s">
        <v>16</v>
      </c>
      <c r="H33" s="67" t="s">
        <v>21</v>
      </c>
      <c r="I33" s="140"/>
      <c r="J33" s="12"/>
      <c r="K33" s="55" t="s">
        <v>256</v>
      </c>
      <c r="L33" s="63"/>
      <c r="M33" s="104"/>
      <c r="N33" s="6"/>
    </row>
    <row r="34" spans="1:14" ht="33.4" customHeight="1">
      <c r="A34" s="180"/>
      <c r="B34" s="336"/>
      <c r="C34" s="96" t="s">
        <v>203</v>
      </c>
      <c r="D34" s="44" t="s">
        <v>185</v>
      </c>
      <c r="E34" s="51">
        <v>31</v>
      </c>
      <c r="F34" s="53" t="s">
        <v>257</v>
      </c>
      <c r="G34" s="44" t="s">
        <v>258</v>
      </c>
      <c r="H34" s="67"/>
      <c r="I34" s="140"/>
      <c r="J34" s="12" t="s">
        <v>17</v>
      </c>
      <c r="K34" s="55" t="s">
        <v>259</v>
      </c>
      <c r="L34" s="63"/>
      <c r="M34" s="104"/>
    </row>
    <row r="35" spans="1:14" ht="33.4" customHeight="1">
      <c r="A35" s="180"/>
      <c r="B35" s="336"/>
      <c r="C35" s="96" t="s">
        <v>203</v>
      </c>
      <c r="D35" s="44" t="s">
        <v>185</v>
      </c>
      <c r="E35" s="72">
        <v>32</v>
      </c>
      <c r="F35" s="53" t="s">
        <v>260</v>
      </c>
      <c r="G35" s="67" t="s">
        <v>29</v>
      </c>
      <c r="H35" s="67" t="s">
        <v>17</v>
      </c>
      <c r="I35" s="140"/>
      <c r="J35" s="12"/>
      <c r="K35" s="55" t="s">
        <v>261</v>
      </c>
      <c r="L35" s="63"/>
      <c r="M35" s="104"/>
    </row>
    <row r="36" spans="1:14" ht="22.9">
      <c r="A36" s="180"/>
      <c r="B36" s="336"/>
      <c r="C36" s="97" t="s">
        <v>208</v>
      </c>
      <c r="D36" s="44" t="s">
        <v>185</v>
      </c>
      <c r="E36" s="51">
        <v>33</v>
      </c>
      <c r="F36" s="55" t="s">
        <v>262</v>
      </c>
      <c r="G36" s="71" t="s">
        <v>16</v>
      </c>
      <c r="H36" s="67" t="s">
        <v>17</v>
      </c>
      <c r="I36" s="140"/>
      <c r="J36" s="12"/>
      <c r="K36" s="55" t="s">
        <v>263</v>
      </c>
      <c r="L36" s="63"/>
      <c r="M36" s="104"/>
      <c r="N36" s="6"/>
    </row>
    <row r="37" spans="1:14" ht="22.9">
      <c r="A37" s="180"/>
      <c r="B37" s="336"/>
      <c r="C37" s="96" t="s">
        <v>264</v>
      </c>
      <c r="D37" s="44" t="s">
        <v>185</v>
      </c>
      <c r="E37" s="72">
        <v>34</v>
      </c>
      <c r="F37" s="110" t="s">
        <v>265</v>
      </c>
      <c r="G37" s="193" t="s">
        <v>106</v>
      </c>
      <c r="H37" s="67"/>
      <c r="I37" s="140" t="s">
        <v>21</v>
      </c>
      <c r="J37" s="12"/>
      <c r="K37" s="55" t="s">
        <v>266</v>
      </c>
      <c r="L37" s="63"/>
      <c r="M37" s="104"/>
    </row>
    <row r="38" spans="1:14" ht="22.9">
      <c r="A38" s="180"/>
      <c r="B38" s="336"/>
      <c r="C38" s="96" t="s">
        <v>264</v>
      </c>
      <c r="D38" s="44" t="s">
        <v>185</v>
      </c>
      <c r="E38" s="51">
        <v>35</v>
      </c>
      <c r="F38" s="110" t="s">
        <v>267</v>
      </c>
      <c r="G38" s="193" t="s">
        <v>106</v>
      </c>
      <c r="H38" s="67"/>
      <c r="I38" s="140" t="s">
        <v>21</v>
      </c>
      <c r="J38" s="12"/>
      <c r="K38" s="75" t="s">
        <v>268</v>
      </c>
      <c r="L38" s="63"/>
      <c r="M38" s="104"/>
    </row>
    <row r="39" spans="1:14" ht="33.4" customHeight="1">
      <c r="A39" s="180"/>
      <c r="B39" s="336"/>
      <c r="C39" s="84" t="s">
        <v>269</v>
      </c>
      <c r="D39" s="76" t="s">
        <v>185</v>
      </c>
      <c r="E39" s="72">
        <v>36</v>
      </c>
      <c r="F39" s="87" t="s">
        <v>270</v>
      </c>
      <c r="G39" s="71" t="s">
        <v>16</v>
      </c>
      <c r="H39" s="67"/>
      <c r="I39" s="140"/>
      <c r="J39" s="12" t="s">
        <v>17</v>
      </c>
      <c r="K39" s="90" t="s">
        <v>271</v>
      </c>
      <c r="L39" s="65"/>
      <c r="M39" s="104"/>
      <c r="N39" s="6"/>
    </row>
    <row r="40" spans="1:14" ht="34.15">
      <c r="A40" s="180"/>
      <c r="B40" s="336"/>
      <c r="C40" s="96" t="s">
        <v>217</v>
      </c>
      <c r="D40" s="107" t="s">
        <v>185</v>
      </c>
      <c r="E40" s="51">
        <v>37</v>
      </c>
      <c r="F40" s="108" t="s">
        <v>272</v>
      </c>
      <c r="G40" s="71" t="s">
        <v>56</v>
      </c>
      <c r="H40" s="67"/>
      <c r="I40" s="140"/>
      <c r="J40" s="12" t="s">
        <v>17</v>
      </c>
      <c r="K40" s="108" t="s">
        <v>273</v>
      </c>
      <c r="L40" s="65"/>
      <c r="M40" s="104"/>
    </row>
    <row r="41" spans="1:14" ht="34.15">
      <c r="A41" s="180"/>
      <c r="B41" s="336"/>
      <c r="C41" s="44" t="s">
        <v>223</v>
      </c>
      <c r="D41" s="194" t="s">
        <v>185</v>
      </c>
      <c r="E41" s="72">
        <v>38</v>
      </c>
      <c r="F41" s="53" t="s">
        <v>274</v>
      </c>
      <c r="G41" s="255" t="s">
        <v>56</v>
      </c>
      <c r="H41" s="193"/>
      <c r="I41" s="161"/>
      <c r="J41" s="156" t="s">
        <v>21</v>
      </c>
      <c r="K41" s="275" t="s">
        <v>275</v>
      </c>
      <c r="L41" s="65"/>
      <c r="M41" s="104"/>
    </row>
    <row r="42" spans="1:14" ht="34.15">
      <c r="A42" s="180"/>
      <c r="B42" s="336"/>
      <c r="C42" s="44" t="s">
        <v>223</v>
      </c>
      <c r="D42" s="194" t="s">
        <v>185</v>
      </c>
      <c r="E42" s="51">
        <v>39</v>
      </c>
      <c r="F42" s="53" t="s">
        <v>276</v>
      </c>
      <c r="G42" s="255" t="s">
        <v>56</v>
      </c>
      <c r="H42" s="193"/>
      <c r="I42" s="161"/>
      <c r="J42" s="156" t="s">
        <v>21</v>
      </c>
      <c r="K42" s="275" t="s">
        <v>277</v>
      </c>
      <c r="L42" s="65"/>
      <c r="M42" s="104"/>
    </row>
    <row r="43" spans="1:14" ht="34.15">
      <c r="A43" s="180"/>
      <c r="B43" s="336"/>
      <c r="C43" s="44" t="s">
        <v>226</v>
      </c>
      <c r="D43" s="194" t="s">
        <v>185</v>
      </c>
      <c r="E43" s="72">
        <v>40</v>
      </c>
      <c r="F43" s="53" t="s">
        <v>278</v>
      </c>
      <c r="G43" s="193" t="s">
        <v>56</v>
      </c>
      <c r="H43" s="193"/>
      <c r="I43" s="161"/>
      <c r="J43" s="156" t="s">
        <v>21</v>
      </c>
      <c r="K43" s="53" t="s">
        <v>279</v>
      </c>
      <c r="L43" s="65"/>
      <c r="M43" s="104"/>
    </row>
    <row r="44" spans="1:14" ht="34.15">
      <c r="A44" s="180"/>
      <c r="B44" s="336"/>
      <c r="C44" s="44" t="s">
        <v>226</v>
      </c>
      <c r="D44" s="194" t="s">
        <v>185</v>
      </c>
      <c r="E44" s="51">
        <v>41</v>
      </c>
      <c r="F44" s="87" t="s">
        <v>280</v>
      </c>
      <c r="G44" s="193" t="s">
        <v>56</v>
      </c>
      <c r="H44" s="193"/>
      <c r="I44" s="161"/>
      <c r="J44" s="156" t="s">
        <v>21</v>
      </c>
      <c r="K44" s="53" t="s">
        <v>281</v>
      </c>
      <c r="L44" s="65"/>
      <c r="M44" s="104"/>
    </row>
    <row r="45" spans="1:14" s="5" customFormat="1" ht="15.75" customHeight="1" thickBot="1">
      <c r="A45" s="39"/>
      <c r="B45" s="337"/>
      <c r="C45" s="101"/>
      <c r="D45" s="281"/>
      <c r="E45" s="18"/>
      <c r="F45" s="89"/>
      <c r="G45" s="170"/>
      <c r="H45" s="170"/>
      <c r="I45" s="282"/>
      <c r="J45" s="283"/>
      <c r="K45" s="285"/>
      <c r="L45" s="19"/>
      <c r="M45" s="292"/>
    </row>
    <row r="46" spans="1:14" ht="45.6">
      <c r="A46" s="180"/>
      <c r="B46" s="338" t="s">
        <v>282</v>
      </c>
      <c r="C46" s="99" t="s">
        <v>171</v>
      </c>
      <c r="D46" s="280" t="s">
        <v>239</v>
      </c>
      <c r="E46" s="51">
        <v>42</v>
      </c>
      <c r="F46" s="79" t="s">
        <v>283</v>
      </c>
      <c r="G46" s="48" t="s">
        <v>56</v>
      </c>
      <c r="H46" s="218"/>
      <c r="I46" s="142"/>
      <c r="J46" s="28" t="s">
        <v>17</v>
      </c>
      <c r="K46" s="79" t="s">
        <v>284</v>
      </c>
      <c r="L46" s="63"/>
      <c r="M46" s="284"/>
      <c r="N46" s="6"/>
    </row>
    <row r="47" spans="1:14" ht="34.15">
      <c r="A47" s="180"/>
      <c r="B47" s="338"/>
      <c r="C47" s="96" t="s">
        <v>178</v>
      </c>
      <c r="D47" s="44" t="s">
        <v>185</v>
      </c>
      <c r="E47" s="72">
        <v>43</v>
      </c>
      <c r="F47" s="53" t="s">
        <v>285</v>
      </c>
      <c r="G47" s="71" t="s">
        <v>56</v>
      </c>
      <c r="H47" s="67"/>
      <c r="I47" s="140"/>
      <c r="J47" s="12" t="s">
        <v>21</v>
      </c>
      <c r="K47" s="55" t="s">
        <v>286</v>
      </c>
      <c r="L47" s="65"/>
      <c r="M47" s="104"/>
      <c r="N47" s="6"/>
    </row>
    <row r="48" spans="1:14" ht="22.9">
      <c r="A48" s="180"/>
      <c r="B48" s="338"/>
      <c r="C48" s="96" t="s">
        <v>126</v>
      </c>
      <c r="D48" s="44" t="s">
        <v>185</v>
      </c>
      <c r="E48" s="72">
        <v>44</v>
      </c>
      <c r="F48" s="55" t="s">
        <v>287</v>
      </c>
      <c r="G48" s="67" t="s">
        <v>29</v>
      </c>
      <c r="H48" s="67" t="s">
        <v>17</v>
      </c>
      <c r="I48" s="140"/>
      <c r="J48" s="12"/>
      <c r="K48" s="55" t="s">
        <v>288</v>
      </c>
      <c r="L48" s="65"/>
      <c r="M48" s="104"/>
      <c r="N48" s="6"/>
    </row>
    <row r="49" spans="1:14" ht="34.15">
      <c r="A49" s="180"/>
      <c r="B49" s="338"/>
      <c r="C49" s="96" t="s">
        <v>184</v>
      </c>
      <c r="D49" s="107" t="s">
        <v>185</v>
      </c>
      <c r="E49" s="72">
        <v>45</v>
      </c>
      <c r="F49" s="55" t="s">
        <v>289</v>
      </c>
      <c r="G49" s="193" t="s">
        <v>106</v>
      </c>
      <c r="H49" s="169"/>
      <c r="I49" s="140" t="s">
        <v>17</v>
      </c>
      <c r="J49" s="134"/>
      <c r="K49" s="55" t="s">
        <v>290</v>
      </c>
      <c r="L49" s="65"/>
      <c r="M49" s="104"/>
      <c r="N49" s="6"/>
    </row>
    <row r="50" spans="1:14" ht="22.9">
      <c r="A50" s="180"/>
      <c r="B50" s="338"/>
      <c r="C50" s="182" t="s">
        <v>184</v>
      </c>
      <c r="D50" s="76" t="s">
        <v>185</v>
      </c>
      <c r="E50" s="72">
        <v>46</v>
      </c>
      <c r="F50" s="55" t="s">
        <v>291</v>
      </c>
      <c r="G50" s="44" t="s">
        <v>234</v>
      </c>
      <c r="H50" s="193"/>
      <c r="I50" s="161"/>
      <c r="J50" s="156" t="s">
        <v>21</v>
      </c>
      <c r="K50" s="55" t="s">
        <v>292</v>
      </c>
      <c r="L50" s="65"/>
      <c r="M50" s="104"/>
      <c r="N50" s="6"/>
    </row>
    <row r="51" spans="1:14" ht="22.9">
      <c r="A51" s="180"/>
      <c r="B51" s="338"/>
      <c r="C51" s="96" t="s">
        <v>188</v>
      </c>
      <c r="D51" s="44" t="s">
        <v>185</v>
      </c>
      <c r="E51" s="72">
        <v>47</v>
      </c>
      <c r="F51" s="55" t="s">
        <v>293</v>
      </c>
      <c r="G51" s="67" t="s">
        <v>29</v>
      </c>
      <c r="H51" s="67" t="s">
        <v>17</v>
      </c>
      <c r="I51" s="140"/>
      <c r="J51" s="12"/>
      <c r="K51" s="55" t="s">
        <v>294</v>
      </c>
      <c r="L51" s="65"/>
      <c r="M51" s="104"/>
      <c r="N51" s="6"/>
    </row>
    <row r="52" spans="1:14" ht="34.15">
      <c r="A52" s="180"/>
      <c r="B52" s="338"/>
      <c r="C52" s="96" t="s">
        <v>295</v>
      </c>
      <c r="D52" s="107" t="s">
        <v>185</v>
      </c>
      <c r="E52" s="72">
        <v>48</v>
      </c>
      <c r="F52" s="14" t="s">
        <v>296</v>
      </c>
      <c r="G52" s="193" t="s">
        <v>106</v>
      </c>
      <c r="H52" s="169"/>
      <c r="I52" s="140" t="s">
        <v>17</v>
      </c>
      <c r="J52" s="134"/>
      <c r="K52" s="90" t="s">
        <v>297</v>
      </c>
      <c r="L52" s="65"/>
      <c r="M52" s="104"/>
      <c r="N52" s="6"/>
    </row>
    <row r="53" spans="1:14" ht="34.15">
      <c r="A53" s="180"/>
      <c r="B53" s="338"/>
      <c r="C53" s="96" t="s">
        <v>195</v>
      </c>
      <c r="D53" s="107" t="s">
        <v>185</v>
      </c>
      <c r="E53" s="72">
        <v>49</v>
      </c>
      <c r="F53" s="90" t="s">
        <v>298</v>
      </c>
      <c r="G53" s="193" t="s">
        <v>106</v>
      </c>
      <c r="H53" s="67"/>
      <c r="I53" s="140" t="s">
        <v>17</v>
      </c>
      <c r="J53" s="12"/>
      <c r="K53" s="55" t="s">
        <v>299</v>
      </c>
      <c r="L53" s="65"/>
      <c r="M53" s="104"/>
    </row>
    <row r="54" spans="1:14" ht="34.15">
      <c r="A54" s="180"/>
      <c r="B54" s="338"/>
      <c r="C54" s="97" t="s">
        <v>198</v>
      </c>
      <c r="D54" s="107" t="s">
        <v>185</v>
      </c>
      <c r="E54" s="72">
        <v>50</v>
      </c>
      <c r="F54" s="53" t="s">
        <v>300</v>
      </c>
      <c r="G54" s="193" t="s">
        <v>106</v>
      </c>
      <c r="H54" s="67"/>
      <c r="I54" s="140" t="s">
        <v>17</v>
      </c>
      <c r="J54" s="12"/>
      <c r="K54" s="14" t="s">
        <v>301</v>
      </c>
      <c r="L54" s="65"/>
      <c r="M54" s="104"/>
      <c r="N54" s="6"/>
    </row>
    <row r="55" spans="1:14" ht="22.9">
      <c r="A55" s="180"/>
      <c r="B55" s="338"/>
      <c r="C55" s="97" t="s">
        <v>198</v>
      </c>
      <c r="D55" s="44" t="s">
        <v>185</v>
      </c>
      <c r="E55" s="72">
        <v>51</v>
      </c>
      <c r="F55" s="53" t="s">
        <v>302</v>
      </c>
      <c r="G55" s="193" t="s">
        <v>106</v>
      </c>
      <c r="H55" s="67"/>
      <c r="I55" s="140" t="s">
        <v>17</v>
      </c>
      <c r="J55" s="12"/>
      <c r="K55" s="14" t="s">
        <v>303</v>
      </c>
      <c r="L55" s="65"/>
      <c r="M55" s="104"/>
      <c r="N55" s="6"/>
    </row>
    <row r="56" spans="1:14" ht="58.9" customHeight="1">
      <c r="A56" s="180"/>
      <c r="B56" s="338"/>
      <c r="C56" s="96" t="s">
        <v>203</v>
      </c>
      <c r="D56" s="107" t="s">
        <v>185</v>
      </c>
      <c r="E56" s="72">
        <v>52</v>
      </c>
      <c r="F56" s="90" t="s">
        <v>304</v>
      </c>
      <c r="G56" s="193" t="s">
        <v>106</v>
      </c>
      <c r="H56" s="67"/>
      <c r="I56" s="140" t="s">
        <v>17</v>
      </c>
      <c r="J56" s="12"/>
      <c r="K56" s="90" t="s">
        <v>305</v>
      </c>
      <c r="L56" s="65"/>
      <c r="M56" s="104"/>
    </row>
    <row r="57" spans="1:14" ht="34.15">
      <c r="A57" s="180"/>
      <c r="B57" s="338"/>
      <c r="C57" s="97" t="s">
        <v>208</v>
      </c>
      <c r="D57" s="71" t="s">
        <v>185</v>
      </c>
      <c r="E57" s="72">
        <v>53</v>
      </c>
      <c r="F57" s="53" t="s">
        <v>306</v>
      </c>
      <c r="G57" s="71" t="s">
        <v>56</v>
      </c>
      <c r="H57" s="67"/>
      <c r="I57" s="140"/>
      <c r="J57" s="12" t="s">
        <v>17</v>
      </c>
      <c r="K57" s="90" t="s">
        <v>307</v>
      </c>
      <c r="L57" s="65"/>
      <c r="M57" s="104"/>
      <c r="N57" s="6"/>
    </row>
    <row r="58" spans="1:14" ht="34.15">
      <c r="A58" s="180"/>
      <c r="B58" s="338"/>
      <c r="C58" s="97" t="s">
        <v>208</v>
      </c>
      <c r="D58" s="44" t="s">
        <v>236</v>
      </c>
      <c r="E58" s="72">
        <v>54</v>
      </c>
      <c r="F58" s="53" t="s">
        <v>308</v>
      </c>
      <c r="G58" s="71" t="s">
        <v>56</v>
      </c>
      <c r="H58" s="67" t="s">
        <v>17</v>
      </c>
      <c r="I58" s="140"/>
      <c r="J58" s="12"/>
      <c r="K58" s="90" t="s">
        <v>309</v>
      </c>
      <c r="L58" s="65"/>
      <c r="M58" s="104"/>
      <c r="N58" s="180"/>
    </row>
    <row r="59" spans="1:14" ht="34.15">
      <c r="A59" s="180"/>
      <c r="B59" s="338"/>
      <c r="C59" s="96" t="s">
        <v>211</v>
      </c>
      <c r="D59" s="107" t="s">
        <v>185</v>
      </c>
      <c r="E59" s="72">
        <v>55</v>
      </c>
      <c r="F59" s="111" t="s">
        <v>310</v>
      </c>
      <c r="G59" s="193" t="s">
        <v>106</v>
      </c>
      <c r="H59" s="67"/>
      <c r="I59" s="140" t="s">
        <v>17</v>
      </c>
      <c r="J59" s="12"/>
      <c r="K59" s="90" t="s">
        <v>311</v>
      </c>
      <c r="L59" s="65"/>
      <c r="M59" s="104"/>
    </row>
    <row r="60" spans="1:14" ht="33.4" customHeight="1">
      <c r="A60" s="180"/>
      <c r="B60" s="338"/>
      <c r="C60" s="84" t="s">
        <v>269</v>
      </c>
      <c r="D60" s="76" t="s">
        <v>185</v>
      </c>
      <c r="E60" s="72">
        <v>56</v>
      </c>
      <c r="F60" s="87" t="s">
        <v>312</v>
      </c>
      <c r="G60" s="71" t="s">
        <v>56</v>
      </c>
      <c r="H60" s="67"/>
      <c r="I60" s="140"/>
      <c r="J60" s="12" t="s">
        <v>17</v>
      </c>
      <c r="K60" s="90" t="s">
        <v>313</v>
      </c>
      <c r="L60" s="65"/>
      <c r="M60" s="104"/>
      <c r="N60" s="6"/>
    </row>
    <row r="61" spans="1:14" ht="33.4" customHeight="1">
      <c r="A61" s="180"/>
      <c r="B61" s="338"/>
      <c r="C61" s="84" t="s">
        <v>269</v>
      </c>
      <c r="D61" s="44" t="s">
        <v>239</v>
      </c>
      <c r="E61" s="72">
        <v>57</v>
      </c>
      <c r="F61" s="87" t="s">
        <v>314</v>
      </c>
      <c r="G61" s="71" t="s">
        <v>56</v>
      </c>
      <c r="H61" s="67"/>
      <c r="I61" s="140"/>
      <c r="J61" s="12" t="s">
        <v>17</v>
      </c>
      <c r="K61" s="90" t="s">
        <v>315</v>
      </c>
      <c r="L61" s="65"/>
      <c r="M61" s="104"/>
      <c r="N61" s="6"/>
    </row>
    <row r="62" spans="1:14" ht="34.15">
      <c r="A62" s="180"/>
      <c r="B62" s="338"/>
      <c r="C62" s="96" t="s">
        <v>220</v>
      </c>
      <c r="D62" s="76" t="s">
        <v>185</v>
      </c>
      <c r="E62" s="72">
        <v>58</v>
      </c>
      <c r="F62" s="108" t="s">
        <v>316</v>
      </c>
      <c r="G62" s="193" t="s">
        <v>106</v>
      </c>
      <c r="H62" s="67"/>
      <c r="I62" s="140" t="s">
        <v>17</v>
      </c>
      <c r="J62" s="12"/>
      <c r="K62" s="192" t="s">
        <v>317</v>
      </c>
      <c r="L62" s="65"/>
      <c r="M62" s="104"/>
    </row>
    <row r="63" spans="1:14" ht="34.15">
      <c r="A63" s="180"/>
      <c r="B63" s="338"/>
      <c r="C63" s="44" t="s">
        <v>223</v>
      </c>
      <c r="D63" s="194" t="s">
        <v>185</v>
      </c>
      <c r="E63" s="72">
        <v>59</v>
      </c>
      <c r="F63" s="53" t="s">
        <v>318</v>
      </c>
      <c r="G63" s="255" t="s">
        <v>56</v>
      </c>
      <c r="H63" s="193"/>
      <c r="I63" s="161"/>
      <c r="J63" s="156" t="s">
        <v>21</v>
      </c>
      <c r="K63" s="275" t="s">
        <v>319</v>
      </c>
      <c r="L63" s="65"/>
      <c r="M63" s="104"/>
    </row>
    <row r="64" spans="1:14" ht="34.15">
      <c r="A64" s="180"/>
      <c r="B64" s="338"/>
      <c r="C64" s="44" t="s">
        <v>223</v>
      </c>
      <c r="D64" s="194" t="s">
        <v>185</v>
      </c>
      <c r="E64" s="72">
        <v>60</v>
      </c>
      <c r="F64" s="53" t="s">
        <v>320</v>
      </c>
      <c r="G64" s="193" t="s">
        <v>56</v>
      </c>
      <c r="H64" s="194"/>
      <c r="I64" s="195" t="s">
        <v>21</v>
      </c>
      <c r="J64" s="156" t="s">
        <v>21</v>
      </c>
      <c r="K64" s="275" t="s">
        <v>321</v>
      </c>
      <c r="L64" s="65"/>
      <c r="M64" s="104"/>
    </row>
    <row r="65" spans="1:14" ht="22.9">
      <c r="A65" s="180"/>
      <c r="B65" s="338"/>
      <c r="C65" s="44" t="s">
        <v>226</v>
      </c>
      <c r="D65" s="194" t="s">
        <v>185</v>
      </c>
      <c r="E65" s="72">
        <v>61</v>
      </c>
      <c r="F65" s="53" t="s">
        <v>322</v>
      </c>
      <c r="G65" s="44" t="s">
        <v>16</v>
      </c>
      <c r="H65" s="193"/>
      <c r="I65" s="161"/>
      <c r="J65" s="156" t="s">
        <v>17</v>
      </c>
      <c r="K65" s="53" t="s">
        <v>323</v>
      </c>
      <c r="L65" s="65"/>
      <c r="M65" s="104"/>
    </row>
    <row r="66" spans="1:14" ht="34.15">
      <c r="A66" s="180"/>
      <c r="B66" s="338"/>
      <c r="C66" s="44" t="s">
        <v>226</v>
      </c>
      <c r="D66" s="194" t="s">
        <v>185</v>
      </c>
      <c r="E66" s="72">
        <v>62</v>
      </c>
      <c r="F66" s="53" t="s">
        <v>324</v>
      </c>
      <c r="G66" s="44" t="s">
        <v>56</v>
      </c>
      <c r="H66" s="193"/>
      <c r="I66" s="161" t="s">
        <v>21</v>
      </c>
      <c r="J66" s="156" t="s">
        <v>17</v>
      </c>
      <c r="K66" s="53" t="s">
        <v>325</v>
      </c>
      <c r="L66" s="64"/>
      <c r="M66" s="104"/>
    </row>
    <row r="67" spans="1:14" ht="34.15">
      <c r="A67" s="180"/>
      <c r="B67" s="338"/>
      <c r="C67" s="44" t="s">
        <v>226</v>
      </c>
      <c r="D67" s="194" t="s">
        <v>185</v>
      </c>
      <c r="E67" s="72">
        <v>63</v>
      </c>
      <c r="F67" s="53" t="s">
        <v>326</v>
      </c>
      <c r="G67" s="44" t="s">
        <v>56</v>
      </c>
      <c r="H67" s="193"/>
      <c r="I67" s="195"/>
      <c r="J67" s="156" t="s">
        <v>17</v>
      </c>
      <c r="K67" s="53" t="s">
        <v>327</v>
      </c>
      <c r="L67" s="64"/>
      <c r="M67" s="104"/>
    </row>
    <row r="68" spans="1:14" s="5" customFormat="1" ht="15.75" customHeight="1" thickBot="1">
      <c r="A68" s="39"/>
      <c r="B68" s="339"/>
      <c r="C68" s="102"/>
      <c r="D68" s="86"/>
      <c r="E68" s="20"/>
      <c r="F68" s="91"/>
      <c r="G68" s="171"/>
      <c r="H68" s="175"/>
      <c r="I68" s="176"/>
      <c r="J68" s="177"/>
      <c r="K68" s="93"/>
      <c r="L68" s="30"/>
      <c r="M68" s="292"/>
    </row>
    <row r="69" spans="1:14" ht="34.15">
      <c r="A69" s="180"/>
      <c r="B69" s="340" t="s">
        <v>52</v>
      </c>
      <c r="C69" s="98" t="s">
        <v>171</v>
      </c>
      <c r="D69" s="42" t="s">
        <v>185</v>
      </c>
      <c r="E69" s="11">
        <v>64</v>
      </c>
      <c r="F69" s="54" t="s">
        <v>328</v>
      </c>
      <c r="G69" s="44" t="s">
        <v>56</v>
      </c>
      <c r="H69" s="67"/>
      <c r="I69" s="140"/>
      <c r="J69" s="12" t="s">
        <v>17</v>
      </c>
      <c r="K69" s="54" t="s">
        <v>329</v>
      </c>
      <c r="L69" s="62"/>
      <c r="M69" s="104"/>
      <c r="N69" s="6"/>
    </row>
    <row r="70" spans="1:14" ht="45.6">
      <c r="A70" s="180"/>
      <c r="B70" s="341"/>
      <c r="C70" s="96" t="s">
        <v>178</v>
      </c>
      <c r="D70" s="44" t="s">
        <v>179</v>
      </c>
      <c r="E70" s="72">
        <v>65</v>
      </c>
      <c r="F70" s="55" t="s">
        <v>330</v>
      </c>
      <c r="G70" s="71" t="s">
        <v>56</v>
      </c>
      <c r="H70" s="67" t="s">
        <v>21</v>
      </c>
      <c r="I70" s="140"/>
      <c r="J70" s="12"/>
      <c r="K70" s="55" t="s">
        <v>331</v>
      </c>
      <c r="L70" s="65"/>
      <c r="M70" s="104"/>
      <c r="N70" s="6"/>
    </row>
    <row r="71" spans="1:14" ht="22.9">
      <c r="A71" s="180"/>
      <c r="B71" s="341"/>
      <c r="C71" s="96" t="s">
        <v>126</v>
      </c>
      <c r="D71" s="76" t="s">
        <v>185</v>
      </c>
      <c r="E71" s="72">
        <v>66</v>
      </c>
      <c r="F71" s="53" t="s">
        <v>332</v>
      </c>
      <c r="G71" s="71" t="s">
        <v>16</v>
      </c>
      <c r="H71" s="67" t="s">
        <v>21</v>
      </c>
      <c r="I71" s="140"/>
      <c r="J71" s="12"/>
      <c r="K71" s="55" t="s">
        <v>333</v>
      </c>
      <c r="L71" s="65"/>
      <c r="M71" s="104"/>
      <c r="N71" s="6"/>
    </row>
    <row r="72" spans="1:14" ht="22.9">
      <c r="A72" s="180"/>
      <c r="B72" s="341"/>
      <c r="C72" s="182" t="s">
        <v>126</v>
      </c>
      <c r="D72" s="76" t="s">
        <v>185</v>
      </c>
      <c r="E72" s="72">
        <v>67</v>
      </c>
      <c r="F72" s="53" t="s">
        <v>334</v>
      </c>
      <c r="G72" s="67" t="s">
        <v>29</v>
      </c>
      <c r="H72" s="67" t="s">
        <v>21</v>
      </c>
      <c r="I72" s="140"/>
      <c r="J72" s="12"/>
      <c r="K72" s="55" t="s">
        <v>335</v>
      </c>
      <c r="L72" s="65"/>
      <c r="M72" s="104"/>
      <c r="N72" s="6"/>
    </row>
    <row r="73" spans="1:14" ht="45.6">
      <c r="A73" s="180"/>
      <c r="B73" s="341"/>
      <c r="C73" s="96" t="s">
        <v>184</v>
      </c>
      <c r="D73" s="44" t="s">
        <v>185</v>
      </c>
      <c r="E73" s="72">
        <v>68</v>
      </c>
      <c r="F73" s="53" t="s">
        <v>336</v>
      </c>
      <c r="G73" s="44" t="s">
        <v>56</v>
      </c>
      <c r="H73" s="193"/>
      <c r="I73" s="161"/>
      <c r="J73" s="156" t="s">
        <v>17</v>
      </c>
      <c r="K73" s="55" t="s">
        <v>337</v>
      </c>
      <c r="L73" s="65"/>
      <c r="M73" s="104"/>
      <c r="N73" s="6"/>
    </row>
    <row r="74" spans="1:14" ht="22.9">
      <c r="A74" s="180"/>
      <c r="B74" s="341"/>
      <c r="C74" s="96" t="s">
        <v>188</v>
      </c>
      <c r="D74" s="44" t="s">
        <v>185</v>
      </c>
      <c r="E74" s="72">
        <v>69</v>
      </c>
      <c r="F74" s="53" t="s">
        <v>338</v>
      </c>
      <c r="G74" s="193" t="s">
        <v>29</v>
      </c>
      <c r="H74" s="193" t="s">
        <v>17</v>
      </c>
      <c r="I74" s="161"/>
      <c r="J74" s="156"/>
      <c r="K74" s="55" t="s">
        <v>339</v>
      </c>
      <c r="L74" s="65"/>
      <c r="M74" s="104"/>
      <c r="N74" s="6"/>
    </row>
    <row r="75" spans="1:14" ht="34.15">
      <c r="A75" s="180"/>
      <c r="B75" s="341"/>
      <c r="C75" s="96" t="s">
        <v>188</v>
      </c>
      <c r="D75" s="44" t="s">
        <v>236</v>
      </c>
      <c r="E75" s="72">
        <v>70</v>
      </c>
      <c r="F75" s="53" t="s">
        <v>340</v>
      </c>
      <c r="G75" s="44" t="s">
        <v>56</v>
      </c>
      <c r="H75" s="193" t="s">
        <v>17</v>
      </c>
      <c r="I75" s="161"/>
      <c r="J75" s="156"/>
      <c r="K75" s="55" t="s">
        <v>341</v>
      </c>
      <c r="L75" s="65"/>
      <c r="M75" s="104"/>
      <c r="N75" s="6"/>
    </row>
    <row r="76" spans="1:14" ht="34.15">
      <c r="A76" s="180"/>
      <c r="B76" s="341"/>
      <c r="C76" s="96" t="s">
        <v>188</v>
      </c>
      <c r="D76" s="44" t="s">
        <v>236</v>
      </c>
      <c r="E76" s="72">
        <v>71</v>
      </c>
      <c r="F76" s="53" t="s">
        <v>342</v>
      </c>
      <c r="G76" s="193" t="s">
        <v>148</v>
      </c>
      <c r="H76" s="193" t="s">
        <v>17</v>
      </c>
      <c r="I76" s="161"/>
      <c r="J76" s="156"/>
      <c r="K76" s="55" t="s">
        <v>343</v>
      </c>
      <c r="L76" s="65"/>
      <c r="M76" s="104"/>
      <c r="N76" s="6"/>
    </row>
    <row r="77" spans="1:14" ht="34.15">
      <c r="A77" s="180"/>
      <c r="B77" s="341"/>
      <c r="C77" s="96" t="s">
        <v>191</v>
      </c>
      <c r="D77" s="44" t="s">
        <v>236</v>
      </c>
      <c r="E77" s="72">
        <v>72</v>
      </c>
      <c r="F77" s="55" t="s">
        <v>344</v>
      </c>
      <c r="G77" s="44" t="s">
        <v>56</v>
      </c>
      <c r="H77" s="193" t="s">
        <v>17</v>
      </c>
      <c r="I77" s="161"/>
      <c r="J77" s="156"/>
      <c r="K77" s="55" t="s">
        <v>345</v>
      </c>
      <c r="L77" s="65"/>
      <c r="M77" s="104"/>
      <c r="N77" s="6"/>
    </row>
    <row r="78" spans="1:14" ht="34.15">
      <c r="A78" s="180"/>
      <c r="B78" s="341"/>
      <c r="C78" s="96" t="s">
        <v>195</v>
      </c>
      <c r="D78" s="44" t="s">
        <v>246</v>
      </c>
      <c r="E78" s="72">
        <v>73</v>
      </c>
      <c r="F78" s="55" t="s">
        <v>346</v>
      </c>
      <c r="G78" s="44" t="s">
        <v>56</v>
      </c>
      <c r="H78" s="193" t="s">
        <v>17</v>
      </c>
      <c r="I78" s="161"/>
      <c r="J78" s="156"/>
      <c r="K78" s="55" t="s">
        <v>345</v>
      </c>
      <c r="L78" s="65"/>
      <c r="M78" s="104"/>
    </row>
    <row r="79" spans="1:14" ht="45.6">
      <c r="A79" s="180"/>
      <c r="B79" s="341"/>
      <c r="C79" s="96" t="s">
        <v>347</v>
      </c>
      <c r="D79" s="44" t="s">
        <v>236</v>
      </c>
      <c r="E79" s="72">
        <v>74</v>
      </c>
      <c r="F79" s="53" t="s">
        <v>348</v>
      </c>
      <c r="G79" s="193" t="s">
        <v>148</v>
      </c>
      <c r="H79" s="193" t="s">
        <v>17</v>
      </c>
      <c r="I79" s="161"/>
      <c r="J79" s="156"/>
      <c r="K79" s="55" t="s">
        <v>349</v>
      </c>
      <c r="L79" s="65"/>
      <c r="M79" s="104"/>
    </row>
    <row r="80" spans="1:14" ht="36.4" customHeight="1">
      <c r="A80" s="180"/>
      <c r="B80" s="341"/>
      <c r="C80" s="97" t="s">
        <v>198</v>
      </c>
      <c r="D80" s="44" t="s">
        <v>185</v>
      </c>
      <c r="E80" s="72">
        <v>75</v>
      </c>
      <c r="F80" s="14" t="s">
        <v>350</v>
      </c>
      <c r="G80" s="67" t="s">
        <v>29</v>
      </c>
      <c r="H80" s="67"/>
      <c r="I80" s="140" t="s">
        <v>17</v>
      </c>
      <c r="J80" s="12" t="s">
        <v>17</v>
      </c>
      <c r="K80" s="55" t="s">
        <v>351</v>
      </c>
      <c r="L80" s="65"/>
      <c r="M80" s="104"/>
      <c r="N80" s="6"/>
    </row>
    <row r="81" spans="1:14" ht="33.4" customHeight="1">
      <c r="A81" s="180"/>
      <c r="B81" s="341"/>
      <c r="C81" s="96" t="s">
        <v>203</v>
      </c>
      <c r="D81" s="44" t="s">
        <v>185</v>
      </c>
      <c r="E81" s="72">
        <v>76</v>
      </c>
      <c r="F81" s="14" t="s">
        <v>352</v>
      </c>
      <c r="G81" s="67" t="s">
        <v>29</v>
      </c>
      <c r="H81" s="67" t="s">
        <v>17</v>
      </c>
      <c r="I81" s="140"/>
      <c r="J81" s="12"/>
      <c r="K81" s="55" t="s">
        <v>353</v>
      </c>
      <c r="L81" s="65"/>
      <c r="M81" s="104"/>
    </row>
    <row r="82" spans="1:14" ht="34.15">
      <c r="A82" s="180"/>
      <c r="B82" s="341"/>
      <c r="C82" s="97" t="s">
        <v>208</v>
      </c>
      <c r="D82" s="76" t="s">
        <v>185</v>
      </c>
      <c r="E82" s="72">
        <v>77</v>
      </c>
      <c r="F82" s="53" t="s">
        <v>354</v>
      </c>
      <c r="G82" s="71" t="s">
        <v>56</v>
      </c>
      <c r="H82" s="67"/>
      <c r="I82" s="140"/>
      <c r="J82" s="12" t="s">
        <v>17</v>
      </c>
      <c r="K82" s="55" t="s">
        <v>355</v>
      </c>
      <c r="L82" s="65"/>
      <c r="M82" s="104"/>
      <c r="N82" s="6"/>
    </row>
    <row r="83" spans="1:14" ht="34.15">
      <c r="A83" s="180"/>
      <c r="B83" s="341"/>
      <c r="C83" s="97" t="s">
        <v>208</v>
      </c>
      <c r="D83" s="76" t="s">
        <v>185</v>
      </c>
      <c r="E83" s="72">
        <v>78</v>
      </c>
      <c r="F83" s="110" t="s">
        <v>356</v>
      </c>
      <c r="G83" s="71" t="s">
        <v>56</v>
      </c>
      <c r="H83" s="67" t="s">
        <v>17</v>
      </c>
      <c r="I83" s="140"/>
      <c r="J83" s="12"/>
      <c r="K83" s="14" t="s">
        <v>357</v>
      </c>
      <c r="L83" s="65"/>
      <c r="M83" s="104"/>
      <c r="N83" s="6"/>
    </row>
    <row r="84" spans="1:14" ht="22.9">
      <c r="A84" s="180"/>
      <c r="B84" s="341"/>
      <c r="C84" s="96" t="s">
        <v>264</v>
      </c>
      <c r="D84" s="44" t="s">
        <v>185</v>
      </c>
      <c r="E84" s="72">
        <v>79</v>
      </c>
      <c r="F84" s="110" t="s">
        <v>358</v>
      </c>
      <c r="G84" s="67" t="s">
        <v>29</v>
      </c>
      <c r="H84" s="67"/>
      <c r="I84" s="140"/>
      <c r="J84" s="12" t="s">
        <v>17</v>
      </c>
      <c r="K84" s="75" t="s">
        <v>359</v>
      </c>
      <c r="L84" s="65"/>
      <c r="M84" s="104"/>
    </row>
    <row r="85" spans="1:14" ht="33.4" customHeight="1">
      <c r="A85" s="180"/>
      <c r="B85" s="341"/>
      <c r="C85" s="84" t="s">
        <v>269</v>
      </c>
      <c r="D85" s="76" t="s">
        <v>185</v>
      </c>
      <c r="E85" s="72">
        <v>80</v>
      </c>
      <c r="F85" s="87" t="s">
        <v>360</v>
      </c>
      <c r="G85" s="71" t="s">
        <v>56</v>
      </c>
      <c r="H85" s="67"/>
      <c r="I85" s="140"/>
      <c r="J85" s="12" t="s">
        <v>17</v>
      </c>
      <c r="K85" s="80" t="s">
        <v>361</v>
      </c>
      <c r="L85" s="65"/>
      <c r="M85" s="104"/>
      <c r="N85" s="6"/>
    </row>
    <row r="86" spans="1:14" ht="34.15">
      <c r="A86" s="180"/>
      <c r="B86" s="341"/>
      <c r="C86" s="96" t="s">
        <v>220</v>
      </c>
      <c r="D86" s="76" t="s">
        <v>185</v>
      </c>
      <c r="E86" s="72">
        <v>81</v>
      </c>
      <c r="F86" s="108" t="s">
        <v>362</v>
      </c>
      <c r="G86" s="44" t="s">
        <v>363</v>
      </c>
      <c r="H86" s="67"/>
      <c r="I86" s="140"/>
      <c r="J86" s="12" t="s">
        <v>17</v>
      </c>
      <c r="K86" s="108" t="s">
        <v>364</v>
      </c>
      <c r="L86" s="65"/>
      <c r="M86" s="104"/>
    </row>
    <row r="87" spans="1:14" ht="34.15">
      <c r="A87" s="180"/>
      <c r="B87" s="341"/>
      <c r="C87" s="96" t="s">
        <v>220</v>
      </c>
      <c r="D87" s="76" t="s">
        <v>185</v>
      </c>
      <c r="E87" s="72">
        <v>82</v>
      </c>
      <c r="F87" s="108" t="s">
        <v>365</v>
      </c>
      <c r="G87" s="44" t="s">
        <v>363</v>
      </c>
      <c r="H87" s="67"/>
      <c r="I87" s="140"/>
      <c r="J87" s="12" t="s">
        <v>17</v>
      </c>
      <c r="K87" s="108" t="s">
        <v>366</v>
      </c>
      <c r="L87" s="65"/>
      <c r="M87" s="104"/>
    </row>
    <row r="88" spans="1:14" ht="34.15">
      <c r="A88" s="180"/>
      <c r="B88" s="341"/>
      <c r="C88" s="44" t="s">
        <v>223</v>
      </c>
      <c r="D88" s="194" t="s">
        <v>185</v>
      </c>
      <c r="E88" s="72">
        <v>83</v>
      </c>
      <c r="F88" s="53" t="s">
        <v>367</v>
      </c>
      <c r="G88" s="193" t="s">
        <v>56</v>
      </c>
      <c r="H88" s="194"/>
      <c r="I88" s="195"/>
      <c r="J88" s="156" t="s">
        <v>21</v>
      </c>
      <c r="K88" s="275" t="s">
        <v>368</v>
      </c>
      <c r="L88" s="65"/>
      <c r="M88" s="104"/>
    </row>
    <row r="89" spans="1:14" ht="34.15">
      <c r="A89" s="180"/>
      <c r="B89" s="341"/>
      <c r="C89" s="44" t="s">
        <v>226</v>
      </c>
      <c r="D89" s="194" t="s">
        <v>185</v>
      </c>
      <c r="E89" s="72">
        <v>84</v>
      </c>
      <c r="F89" s="53" t="s">
        <v>369</v>
      </c>
      <c r="G89" s="44" t="s">
        <v>56</v>
      </c>
      <c r="H89" s="193" t="s">
        <v>21</v>
      </c>
      <c r="I89" s="161"/>
      <c r="J89" s="156" t="s">
        <v>21</v>
      </c>
      <c r="K89" s="53" t="s">
        <v>370</v>
      </c>
      <c r="L89" s="64"/>
      <c r="M89" s="104"/>
    </row>
    <row r="90" spans="1:14" ht="34.15">
      <c r="A90" s="180"/>
      <c r="B90" s="341"/>
      <c r="C90" s="44" t="s">
        <v>226</v>
      </c>
      <c r="D90" s="194" t="s">
        <v>185</v>
      </c>
      <c r="E90" s="72">
        <v>85</v>
      </c>
      <c r="F90" s="53" t="s">
        <v>371</v>
      </c>
      <c r="G90" s="193" t="s">
        <v>56</v>
      </c>
      <c r="H90" s="193"/>
      <c r="I90" s="161" t="s">
        <v>21</v>
      </c>
      <c r="J90" s="156" t="s">
        <v>21</v>
      </c>
      <c r="K90" s="53" t="s">
        <v>372</v>
      </c>
      <c r="L90" s="64"/>
      <c r="M90" s="104"/>
    </row>
    <row r="91" spans="1:14" s="5" customFormat="1" ht="15.75" customHeight="1" thickBot="1">
      <c r="A91" s="39"/>
      <c r="B91" s="342"/>
      <c r="C91" s="101"/>
      <c r="D91" s="293"/>
      <c r="E91" s="18"/>
      <c r="F91" s="89"/>
      <c r="G91" s="170"/>
      <c r="H91" s="170"/>
      <c r="I91" s="282"/>
      <c r="J91" s="283"/>
      <c r="K91" s="285"/>
      <c r="L91" s="16"/>
      <c r="M91" s="292"/>
    </row>
    <row r="92" spans="1:14" ht="34.15">
      <c r="A92" s="180"/>
      <c r="B92" s="343" t="s">
        <v>160</v>
      </c>
      <c r="C92" s="99" t="s">
        <v>232</v>
      </c>
      <c r="D92" s="280" t="s">
        <v>236</v>
      </c>
      <c r="E92" s="51">
        <v>86</v>
      </c>
      <c r="F92" s="286" t="s">
        <v>373</v>
      </c>
      <c r="G92" s="48" t="s">
        <v>56</v>
      </c>
      <c r="H92" s="218" t="s">
        <v>17</v>
      </c>
      <c r="I92" s="142"/>
      <c r="J92" s="28"/>
      <c r="K92" s="79" t="s">
        <v>374</v>
      </c>
      <c r="L92" s="63"/>
      <c r="M92" s="284"/>
      <c r="N92" s="6"/>
    </row>
    <row r="93" spans="1:14" ht="34.15">
      <c r="A93" s="180"/>
      <c r="B93" s="343"/>
      <c r="C93" s="71" t="s">
        <v>232</v>
      </c>
      <c r="D93" s="44" t="s">
        <v>185</v>
      </c>
      <c r="E93" s="72">
        <v>87</v>
      </c>
      <c r="F93" s="53" t="s">
        <v>375</v>
      </c>
      <c r="G93" s="71" t="s">
        <v>56</v>
      </c>
      <c r="H93" s="67" t="s">
        <v>17</v>
      </c>
      <c r="I93" s="140"/>
      <c r="J93" s="12" t="s">
        <v>17</v>
      </c>
      <c r="K93" s="79" t="s">
        <v>376</v>
      </c>
      <c r="L93" s="65"/>
      <c r="M93" s="104"/>
      <c r="N93" s="6"/>
    </row>
    <row r="94" spans="1:14" ht="45.6">
      <c r="A94" s="180"/>
      <c r="B94" s="343"/>
      <c r="C94" s="96" t="s">
        <v>178</v>
      </c>
      <c r="D94" s="44" t="s">
        <v>239</v>
      </c>
      <c r="E94" s="72">
        <v>88</v>
      </c>
      <c r="F94" s="14" t="s">
        <v>377</v>
      </c>
      <c r="G94" s="71" t="s">
        <v>56</v>
      </c>
      <c r="H94" s="67" t="s">
        <v>17</v>
      </c>
      <c r="I94" s="140"/>
      <c r="J94" s="12"/>
      <c r="K94" s="55" t="s">
        <v>378</v>
      </c>
      <c r="L94" s="65"/>
      <c r="M94" s="104"/>
      <c r="N94" s="6"/>
    </row>
    <row r="95" spans="1:14" ht="34.15">
      <c r="A95" s="180"/>
      <c r="B95" s="343"/>
      <c r="C95" s="96" t="s">
        <v>126</v>
      </c>
      <c r="D95" s="44" t="s">
        <v>185</v>
      </c>
      <c r="E95" s="72">
        <v>89</v>
      </c>
      <c r="F95" s="55" t="s">
        <v>379</v>
      </c>
      <c r="G95" s="71" t="s">
        <v>56</v>
      </c>
      <c r="H95" s="67"/>
      <c r="I95" s="140"/>
      <c r="J95" s="12" t="s">
        <v>17</v>
      </c>
      <c r="K95" s="79" t="s">
        <v>380</v>
      </c>
      <c r="L95" s="65"/>
      <c r="M95" s="104"/>
      <c r="N95" s="6"/>
    </row>
    <row r="96" spans="1:14" ht="45.6">
      <c r="A96" s="180"/>
      <c r="B96" s="343"/>
      <c r="C96" s="96" t="s">
        <v>184</v>
      </c>
      <c r="D96" s="44" t="s">
        <v>236</v>
      </c>
      <c r="E96" s="72">
        <v>90</v>
      </c>
      <c r="F96" s="110" t="s">
        <v>381</v>
      </c>
      <c r="G96" s="71" t="s">
        <v>382</v>
      </c>
      <c r="H96" s="67" t="s">
        <v>17</v>
      </c>
      <c r="I96" s="140"/>
      <c r="J96" s="12"/>
      <c r="K96" s="14" t="s">
        <v>383</v>
      </c>
      <c r="L96" s="65"/>
      <c r="M96" s="104"/>
      <c r="N96" s="6"/>
    </row>
    <row r="97" spans="1:14" ht="45.6">
      <c r="A97" s="180"/>
      <c r="B97" s="343"/>
      <c r="C97" s="96" t="s">
        <v>188</v>
      </c>
      <c r="D97" s="44" t="s">
        <v>236</v>
      </c>
      <c r="E97" s="72">
        <v>91</v>
      </c>
      <c r="F97" s="110" t="s">
        <v>384</v>
      </c>
      <c r="G97" s="71" t="s">
        <v>382</v>
      </c>
      <c r="H97" s="67" t="s">
        <v>17</v>
      </c>
      <c r="I97" s="140"/>
      <c r="J97" s="12"/>
      <c r="K97" s="14" t="s">
        <v>385</v>
      </c>
      <c r="L97" s="65"/>
      <c r="M97" s="104"/>
      <c r="N97" s="6"/>
    </row>
    <row r="98" spans="1:14" ht="45.6">
      <c r="A98" s="180"/>
      <c r="B98" s="343"/>
      <c r="C98" s="96" t="s">
        <v>295</v>
      </c>
      <c r="D98" s="44" t="s">
        <v>236</v>
      </c>
      <c r="E98" s="72">
        <v>92</v>
      </c>
      <c r="F98" s="110" t="s">
        <v>386</v>
      </c>
      <c r="G98" s="71" t="s">
        <v>382</v>
      </c>
      <c r="H98" s="67" t="s">
        <v>17</v>
      </c>
      <c r="I98" s="140"/>
      <c r="J98" s="12"/>
      <c r="K98" s="14" t="s">
        <v>387</v>
      </c>
      <c r="L98" s="65"/>
      <c r="M98" s="104"/>
      <c r="N98" s="6"/>
    </row>
    <row r="99" spans="1:14" ht="45.6">
      <c r="A99" s="180"/>
      <c r="B99" s="343"/>
      <c r="C99" s="96" t="s">
        <v>347</v>
      </c>
      <c r="D99" s="44" t="s">
        <v>236</v>
      </c>
      <c r="E99" s="72">
        <v>93</v>
      </c>
      <c r="F99" s="110" t="s">
        <v>388</v>
      </c>
      <c r="G99" s="71" t="s">
        <v>382</v>
      </c>
      <c r="H99" s="67" t="s">
        <v>17</v>
      </c>
      <c r="I99" s="140"/>
      <c r="J99" s="12"/>
      <c r="K99" s="14" t="s">
        <v>389</v>
      </c>
      <c r="L99" s="65"/>
      <c r="M99" s="104"/>
    </row>
    <row r="100" spans="1:14" ht="45.6">
      <c r="A100" s="180"/>
      <c r="B100" s="343"/>
      <c r="C100" s="97" t="s">
        <v>198</v>
      </c>
      <c r="D100" s="44" t="s">
        <v>236</v>
      </c>
      <c r="E100" s="72">
        <v>94</v>
      </c>
      <c r="F100" s="110" t="s">
        <v>390</v>
      </c>
      <c r="G100" s="71" t="s">
        <v>382</v>
      </c>
      <c r="H100" s="67" t="s">
        <v>17</v>
      </c>
      <c r="I100" s="140"/>
      <c r="J100" s="172"/>
      <c r="K100" s="14" t="s">
        <v>391</v>
      </c>
      <c r="L100" s="65"/>
      <c r="M100" s="104"/>
      <c r="N100" s="6"/>
    </row>
    <row r="101" spans="1:14" ht="33.4" customHeight="1">
      <c r="A101" s="180"/>
      <c r="B101" s="343"/>
      <c r="C101" s="96" t="s">
        <v>203</v>
      </c>
      <c r="D101" s="44" t="s">
        <v>236</v>
      </c>
      <c r="E101" s="72">
        <v>95</v>
      </c>
      <c r="F101" s="14" t="s">
        <v>392</v>
      </c>
      <c r="G101" s="71" t="s">
        <v>382</v>
      </c>
      <c r="H101" s="166" t="s">
        <v>17</v>
      </c>
      <c r="I101" s="168"/>
      <c r="J101" s="172"/>
      <c r="K101" s="14" t="s">
        <v>393</v>
      </c>
      <c r="L101" s="65"/>
      <c r="M101" s="104"/>
    </row>
    <row r="102" spans="1:14" ht="34.15">
      <c r="A102" s="180"/>
      <c r="B102" s="343"/>
      <c r="C102" s="97" t="s">
        <v>208</v>
      </c>
      <c r="D102" s="44" t="s">
        <v>236</v>
      </c>
      <c r="E102" s="72">
        <v>96</v>
      </c>
      <c r="F102" s="14" t="s">
        <v>394</v>
      </c>
      <c r="G102" s="71" t="s">
        <v>56</v>
      </c>
      <c r="H102" s="67" t="s">
        <v>17</v>
      </c>
      <c r="I102" s="140"/>
      <c r="J102" s="12"/>
      <c r="K102" s="14" t="s">
        <v>395</v>
      </c>
      <c r="L102" s="65"/>
      <c r="M102" s="104"/>
      <c r="N102" s="6"/>
    </row>
    <row r="103" spans="1:14" ht="45.6">
      <c r="A103" s="180"/>
      <c r="B103" s="343"/>
      <c r="C103" s="96" t="s">
        <v>211</v>
      </c>
      <c r="D103" s="44" t="s">
        <v>236</v>
      </c>
      <c r="E103" s="72">
        <v>97</v>
      </c>
      <c r="F103" s="14" t="s">
        <v>396</v>
      </c>
      <c r="G103" s="71" t="s">
        <v>382</v>
      </c>
      <c r="H103" s="166" t="s">
        <v>17</v>
      </c>
      <c r="I103" s="168"/>
      <c r="J103" s="172"/>
      <c r="K103" s="14" t="s">
        <v>397</v>
      </c>
      <c r="L103" s="65"/>
      <c r="M103" s="104"/>
    </row>
    <row r="104" spans="1:14" ht="33.4" customHeight="1">
      <c r="A104" s="180"/>
      <c r="B104" s="343"/>
      <c r="C104" s="76" t="s">
        <v>269</v>
      </c>
      <c r="D104" s="76" t="s">
        <v>236</v>
      </c>
      <c r="E104" s="72">
        <v>98</v>
      </c>
      <c r="F104" s="125" t="s">
        <v>398</v>
      </c>
      <c r="G104" s="71" t="s">
        <v>382</v>
      </c>
      <c r="H104" s="67" t="s">
        <v>17</v>
      </c>
      <c r="I104" s="168"/>
      <c r="J104" s="12"/>
      <c r="K104" s="106" t="s">
        <v>399</v>
      </c>
      <c r="L104" s="65"/>
      <c r="M104" s="104"/>
      <c r="N104" s="6"/>
    </row>
    <row r="105" spans="1:14" ht="45.6">
      <c r="A105" s="180"/>
      <c r="B105" s="343"/>
      <c r="C105" s="96" t="s">
        <v>220</v>
      </c>
      <c r="D105" s="44" t="s">
        <v>236</v>
      </c>
      <c r="E105" s="72">
        <v>99</v>
      </c>
      <c r="F105" s="108" t="s">
        <v>400</v>
      </c>
      <c r="G105" s="71" t="s">
        <v>382</v>
      </c>
      <c r="H105" s="166" t="s">
        <v>17</v>
      </c>
      <c r="I105" s="168"/>
      <c r="J105" s="172"/>
      <c r="K105" s="108" t="s">
        <v>401</v>
      </c>
      <c r="L105" s="65"/>
      <c r="M105" s="104"/>
    </row>
    <row r="106" spans="1:14" ht="45.6">
      <c r="A106" s="180"/>
      <c r="B106" s="343"/>
      <c r="C106" s="44" t="s">
        <v>223</v>
      </c>
      <c r="D106" s="194" t="s">
        <v>185</v>
      </c>
      <c r="E106" s="72">
        <v>100</v>
      </c>
      <c r="F106" s="53" t="s">
        <v>402</v>
      </c>
      <c r="G106" s="44" t="s">
        <v>382</v>
      </c>
      <c r="H106" s="193" t="s">
        <v>17</v>
      </c>
      <c r="I106" s="195"/>
      <c r="J106" s="256"/>
      <c r="K106" s="192" t="s">
        <v>403</v>
      </c>
      <c r="L106" s="65"/>
      <c r="M106" s="104"/>
    </row>
    <row r="107" spans="1:14" ht="34.15">
      <c r="A107" s="180"/>
      <c r="B107" s="343"/>
      <c r="C107" s="44" t="s">
        <v>226</v>
      </c>
      <c r="D107" s="194" t="s">
        <v>185</v>
      </c>
      <c r="E107" s="72">
        <v>101</v>
      </c>
      <c r="F107" s="275" t="s">
        <v>404</v>
      </c>
      <c r="G107" s="44" t="s">
        <v>56</v>
      </c>
      <c r="H107" s="193" t="s">
        <v>21</v>
      </c>
      <c r="I107" s="196"/>
      <c r="J107" s="197"/>
      <c r="K107" s="192" t="s">
        <v>405</v>
      </c>
      <c r="L107" s="65"/>
      <c r="M107" s="104"/>
    </row>
    <row r="108" spans="1:14" s="5" customFormat="1" ht="15" customHeight="1" thickBot="1">
      <c r="A108" s="39"/>
      <c r="B108" s="344"/>
      <c r="C108" s="103"/>
      <c r="D108" s="23"/>
      <c r="E108" s="22"/>
      <c r="F108" s="4"/>
      <c r="G108" s="167"/>
      <c r="H108" s="178"/>
      <c r="I108" s="179"/>
      <c r="J108" s="103"/>
      <c r="K108" s="4"/>
      <c r="L108" s="19"/>
      <c r="M108" s="292"/>
    </row>
    <row r="109" spans="1:14" s="5" customFormat="1">
      <c r="A109" s="39"/>
      <c r="C109" s="24"/>
      <c r="G109" s="24"/>
      <c r="H109" s="24"/>
      <c r="I109" s="24"/>
      <c r="J109" s="24"/>
      <c r="L109" s="24"/>
      <c r="N109" s="126"/>
    </row>
    <row r="110" spans="1:14" s="5" customFormat="1">
      <c r="A110" s="39"/>
      <c r="C110" s="39" t="s">
        <v>75</v>
      </c>
      <c r="G110" s="24"/>
      <c r="H110" s="24"/>
      <c r="I110" s="24"/>
      <c r="J110" s="24"/>
      <c r="L110" s="24"/>
      <c r="N110" s="126"/>
    </row>
    <row r="111" spans="1:14" s="5" customFormat="1">
      <c r="A111" s="39"/>
      <c r="C111" s="39" t="s">
        <v>406</v>
      </c>
      <c r="G111" s="24"/>
      <c r="H111" s="24"/>
      <c r="I111" s="24"/>
      <c r="J111" s="24"/>
      <c r="L111" s="24"/>
      <c r="N111" s="126"/>
    </row>
    <row r="112" spans="1:14" s="5" customFormat="1">
      <c r="A112" s="39"/>
      <c r="C112" s="39" t="s">
        <v>407</v>
      </c>
      <c r="G112" s="24"/>
      <c r="H112" s="24"/>
      <c r="I112" s="24"/>
      <c r="J112" s="24"/>
      <c r="L112" s="24"/>
      <c r="N112" s="126"/>
    </row>
    <row r="113" spans="1:14" s="5" customFormat="1">
      <c r="A113" s="39"/>
      <c r="C113" s="126" t="s">
        <v>408</v>
      </c>
      <c r="G113" s="24"/>
      <c r="H113" s="24"/>
      <c r="I113" s="24"/>
      <c r="J113" s="24"/>
      <c r="L113" s="24"/>
      <c r="N113" s="126"/>
    </row>
    <row r="114" spans="1:14" s="5" customFormat="1">
      <c r="A114" s="39"/>
      <c r="C114" s="126" t="s">
        <v>409</v>
      </c>
      <c r="G114" s="24"/>
      <c r="H114" s="24"/>
      <c r="I114" s="24"/>
      <c r="J114" s="24"/>
      <c r="L114" s="24"/>
      <c r="N114" s="126"/>
    </row>
    <row r="115" spans="1:14" s="5" customFormat="1">
      <c r="A115" s="39"/>
      <c r="C115" s="24"/>
      <c r="G115" s="24"/>
      <c r="H115" s="24"/>
      <c r="I115" s="24"/>
      <c r="J115" s="24"/>
      <c r="L115" s="24"/>
      <c r="N115" s="126"/>
    </row>
    <row r="116" spans="1:14" s="5" customFormat="1">
      <c r="A116" s="39"/>
      <c r="C116" s="24"/>
      <c r="G116" s="24"/>
      <c r="H116" s="24"/>
      <c r="I116" s="24"/>
      <c r="J116" s="24"/>
      <c r="L116" s="24"/>
      <c r="N116" s="126"/>
    </row>
    <row r="117" spans="1:14" s="5" customFormat="1">
      <c r="A117" s="39"/>
      <c r="C117" s="24"/>
      <c r="G117" s="24"/>
      <c r="H117" s="24"/>
      <c r="I117" s="24"/>
      <c r="J117" s="24"/>
      <c r="L117" s="24"/>
      <c r="N117" s="126"/>
    </row>
    <row r="118" spans="1:14" s="5" customFormat="1">
      <c r="A118" s="39"/>
      <c r="C118" s="24"/>
      <c r="G118" s="24"/>
      <c r="H118" s="24"/>
      <c r="I118" s="24"/>
      <c r="J118" s="24"/>
      <c r="L118" s="24"/>
      <c r="N118" s="126"/>
    </row>
    <row r="119" spans="1:14" s="5" customFormat="1">
      <c r="A119" s="39"/>
      <c r="C119" s="24"/>
      <c r="G119" s="24"/>
      <c r="H119" s="24"/>
      <c r="I119" s="24"/>
      <c r="J119" s="24"/>
      <c r="L119" s="24"/>
      <c r="N119" s="126"/>
    </row>
    <row r="120" spans="1:14" s="5" customFormat="1">
      <c r="A120" s="39"/>
      <c r="C120" s="24"/>
      <c r="G120" s="24"/>
      <c r="H120" s="24"/>
      <c r="I120" s="24"/>
      <c r="J120" s="24"/>
      <c r="L120" s="24"/>
      <c r="N120" s="126"/>
    </row>
    <row r="121" spans="1:14" s="5" customFormat="1">
      <c r="A121" s="39"/>
      <c r="C121" s="24"/>
      <c r="G121" s="24"/>
      <c r="H121" s="24"/>
      <c r="I121" s="24"/>
      <c r="J121" s="24"/>
      <c r="L121" s="24"/>
      <c r="N121" s="126"/>
    </row>
    <row r="122" spans="1:14" s="5" customFormat="1">
      <c r="A122" s="39"/>
      <c r="C122" s="24"/>
      <c r="G122" s="24"/>
      <c r="H122" s="24"/>
      <c r="I122" s="24"/>
      <c r="J122" s="24"/>
      <c r="L122" s="24"/>
      <c r="N122" s="126"/>
    </row>
    <row r="123" spans="1:14" s="5" customFormat="1">
      <c r="A123" s="39"/>
      <c r="C123" s="24"/>
      <c r="G123" s="24"/>
      <c r="H123" s="24"/>
      <c r="I123" s="24"/>
      <c r="J123" s="24"/>
      <c r="L123" s="24"/>
      <c r="N123" s="126"/>
    </row>
    <row r="124" spans="1:14" s="5" customFormat="1">
      <c r="A124" s="39"/>
      <c r="C124" s="24"/>
      <c r="G124" s="24"/>
      <c r="H124" s="24"/>
      <c r="I124" s="24"/>
      <c r="J124" s="24"/>
      <c r="L124" s="24"/>
      <c r="N124" s="126"/>
    </row>
    <row r="125" spans="1:14" s="5" customFormat="1">
      <c r="A125" s="39"/>
      <c r="C125" s="24"/>
      <c r="G125" s="24"/>
      <c r="H125" s="24"/>
      <c r="I125" s="24"/>
      <c r="J125" s="24"/>
      <c r="L125" s="24"/>
      <c r="N125" s="126"/>
    </row>
    <row r="126" spans="1:14" s="5" customFormat="1">
      <c r="A126" s="39"/>
      <c r="C126" s="24"/>
      <c r="G126" s="24"/>
      <c r="H126" s="24"/>
      <c r="I126" s="24"/>
      <c r="J126" s="24"/>
      <c r="L126" s="24"/>
      <c r="N126" s="126"/>
    </row>
    <row r="127" spans="1:14" s="5" customFormat="1">
      <c r="A127" s="39"/>
      <c r="C127" s="24"/>
      <c r="G127" s="24"/>
      <c r="H127" s="24"/>
      <c r="I127" s="24"/>
      <c r="J127" s="24"/>
      <c r="L127" s="24"/>
      <c r="N127" s="126"/>
    </row>
    <row r="128" spans="1:14" s="5" customFormat="1">
      <c r="A128" s="39"/>
      <c r="C128" s="24"/>
      <c r="G128" s="24"/>
      <c r="H128" s="24"/>
      <c r="I128" s="24"/>
      <c r="J128" s="24"/>
      <c r="L128" s="24"/>
      <c r="N128" s="126"/>
    </row>
    <row r="129" spans="1:14" s="5" customFormat="1">
      <c r="A129" s="39"/>
      <c r="C129" s="24"/>
      <c r="G129" s="24"/>
      <c r="H129" s="24"/>
      <c r="I129" s="24"/>
      <c r="J129" s="24"/>
      <c r="L129" s="24"/>
      <c r="N129" s="126"/>
    </row>
    <row r="130" spans="1:14" s="5" customFormat="1">
      <c r="A130" s="39"/>
      <c r="C130" s="24"/>
      <c r="G130" s="24"/>
      <c r="H130" s="24"/>
      <c r="I130" s="24"/>
      <c r="J130" s="24"/>
      <c r="L130" s="24"/>
      <c r="N130" s="126"/>
    </row>
    <row r="131" spans="1:14" s="5" customFormat="1">
      <c r="A131" s="39"/>
      <c r="C131" s="24"/>
      <c r="G131" s="24"/>
      <c r="H131" s="24"/>
      <c r="I131" s="24"/>
      <c r="J131" s="24"/>
      <c r="L131" s="24"/>
      <c r="N131" s="126"/>
    </row>
    <row r="132" spans="1:14" s="5" customFormat="1">
      <c r="A132" s="39"/>
      <c r="C132" s="24"/>
      <c r="G132" s="24"/>
      <c r="H132" s="24"/>
      <c r="I132" s="24"/>
      <c r="J132" s="24"/>
      <c r="L132" s="24"/>
      <c r="N132" s="126"/>
    </row>
    <row r="133" spans="1:14" s="5" customFormat="1">
      <c r="A133" s="39"/>
      <c r="C133" s="24"/>
      <c r="G133" s="24"/>
      <c r="H133" s="24"/>
      <c r="I133" s="24"/>
      <c r="J133" s="24"/>
      <c r="L133" s="24"/>
      <c r="N133" s="126"/>
    </row>
    <row r="134" spans="1:14" s="5" customFormat="1">
      <c r="A134" s="39"/>
      <c r="C134" s="24"/>
      <c r="G134" s="24"/>
      <c r="H134" s="24"/>
      <c r="I134" s="24"/>
      <c r="J134" s="24"/>
      <c r="L134" s="24"/>
      <c r="N134" s="126"/>
    </row>
    <row r="135" spans="1:14" s="5" customFormat="1">
      <c r="A135" s="39"/>
      <c r="C135" s="24"/>
      <c r="G135" s="24"/>
      <c r="H135" s="24"/>
      <c r="I135" s="24"/>
      <c r="J135" s="24"/>
      <c r="L135" s="24"/>
      <c r="N135" s="126"/>
    </row>
    <row r="136" spans="1:14" s="5" customFormat="1">
      <c r="A136" s="39"/>
      <c r="C136" s="24"/>
      <c r="G136" s="24"/>
      <c r="H136" s="24"/>
      <c r="I136" s="24"/>
      <c r="J136" s="24"/>
      <c r="L136" s="24"/>
      <c r="N136" s="126"/>
    </row>
    <row r="137" spans="1:14" s="5" customFormat="1">
      <c r="A137" s="39"/>
      <c r="C137" s="24"/>
      <c r="G137" s="24"/>
      <c r="H137" s="24"/>
      <c r="I137" s="24"/>
      <c r="J137" s="24"/>
      <c r="L137" s="24"/>
      <c r="N137" s="126"/>
    </row>
    <row r="138" spans="1:14" s="5" customFormat="1">
      <c r="A138" s="39"/>
      <c r="C138" s="24"/>
      <c r="G138" s="24"/>
      <c r="H138" s="24"/>
      <c r="I138" s="24"/>
      <c r="J138" s="24"/>
      <c r="L138" s="24"/>
      <c r="N138" s="126"/>
    </row>
    <row r="139" spans="1:14" s="5" customFormat="1">
      <c r="A139" s="39"/>
      <c r="C139" s="24"/>
      <c r="G139" s="24"/>
      <c r="H139" s="24"/>
      <c r="I139" s="24"/>
      <c r="J139" s="24"/>
      <c r="L139" s="66"/>
      <c r="N139" s="126"/>
    </row>
    <row r="140" spans="1:14" s="5" customFormat="1">
      <c r="A140" s="39"/>
      <c r="C140" s="24"/>
      <c r="G140" s="24"/>
      <c r="H140" s="24"/>
      <c r="I140" s="24"/>
      <c r="J140" s="24"/>
      <c r="L140" s="66"/>
      <c r="N140" s="126"/>
    </row>
    <row r="141" spans="1:14" s="5" customFormat="1">
      <c r="A141" s="39"/>
      <c r="C141" s="24"/>
      <c r="G141" s="24"/>
      <c r="H141" s="24"/>
      <c r="I141" s="24"/>
      <c r="J141" s="24"/>
      <c r="L141" s="66"/>
      <c r="N141" s="126"/>
    </row>
  </sheetData>
  <autoFilter ref="A1:L108" xr:uid="{00000000-0009-0000-0000-000003000000}"/>
  <mergeCells count="6">
    <mergeCell ref="H1:J1"/>
    <mergeCell ref="B24:B45"/>
    <mergeCell ref="B46:B68"/>
    <mergeCell ref="B69:B91"/>
    <mergeCell ref="B92:B108"/>
    <mergeCell ref="B3:B23"/>
  </mergeCells>
  <phoneticPr fontId="4"/>
  <dataValidations count="1">
    <dataValidation type="list" allowBlank="1" showInputMessage="1" showErrorMessage="1" sqref="L3:L44 L46:L90 L92:L107" xr:uid="{00000000-0002-0000-0300-000000000000}">
      <formula1>"Yes, No, N/A, Not rolled out yet"</formula1>
    </dataValidation>
  </dataValidations>
  <pageMargins left="0.31496062992125984" right="0.31496062992125984" top="0.21" bottom="0.19" header="0.15748031496062992" footer="0.15748031496062992"/>
  <pageSetup paperSize="8" scale="51" orientation="landscape" r:id="rId1"/>
  <rowBreaks count="2" manualBreakCount="2">
    <brk id="45" min="1" max="12" man="1"/>
    <brk id="91" min="1"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9" tint="0.79998168889431442"/>
  </sheetPr>
  <dimension ref="B1:Q52"/>
  <sheetViews>
    <sheetView showGridLines="0" view="pageBreakPreview" topLeftCell="A7" zoomScale="70" zoomScaleNormal="70" zoomScaleSheetLayoutView="70" workbookViewId="0">
      <selection activeCell="D42" sqref="D42"/>
    </sheetView>
  </sheetViews>
  <sheetFormatPr defaultRowHeight="13.9"/>
  <cols>
    <col min="1" max="2" width="2" style="220" customWidth="1"/>
    <col min="3" max="3" width="2.625" style="220" customWidth="1"/>
    <col min="4" max="4" width="21.75" style="220" customWidth="1"/>
    <col min="5" max="5" width="2.625" style="220" customWidth="1"/>
    <col min="6" max="6" width="10.75" style="220" customWidth="1"/>
    <col min="7" max="7" width="27.125" style="220" customWidth="1"/>
    <col min="8" max="8" width="2.625" style="220" customWidth="1"/>
    <col min="9" max="9" width="10.75" style="220" customWidth="1"/>
    <col min="10" max="10" width="27.125" style="220" customWidth="1"/>
    <col min="11" max="11" width="2.625" style="220" customWidth="1"/>
    <col min="12" max="12" width="10.75" style="220" customWidth="1"/>
    <col min="13" max="13" width="27.125" style="220" customWidth="1"/>
    <col min="14" max="14" width="2.625" style="220" customWidth="1"/>
    <col min="15" max="15" width="10.75" style="220" customWidth="1"/>
    <col min="16" max="16" width="27.125" style="220" customWidth="1"/>
    <col min="17" max="18" width="2" style="220" customWidth="1"/>
    <col min="19" max="81" width="9.125" style="220" customWidth="1"/>
    <col min="82" max="82" width="9.125" style="220"/>
    <col min="83" max="16380" width="8.75" style="220" customWidth="1"/>
    <col min="16381" max="16381" width="0.25" style="220" customWidth="1"/>
    <col min="16382" max="16384" width="9.125" style="220"/>
  </cols>
  <sheetData>
    <row r="1" spans="2:17" ht="14.45" thickBot="1"/>
    <row r="2" spans="2:17" ht="14.45" thickBot="1">
      <c r="B2" s="221"/>
      <c r="C2" s="222"/>
      <c r="D2" s="222"/>
      <c r="E2" s="222"/>
      <c r="F2" s="222"/>
      <c r="G2" s="222"/>
      <c r="H2" s="222"/>
      <c r="I2" s="222"/>
      <c r="J2" s="222"/>
      <c r="K2" s="222"/>
      <c r="L2" s="222"/>
      <c r="M2" s="222"/>
      <c r="N2" s="222"/>
      <c r="O2" s="222"/>
      <c r="P2" s="222"/>
      <c r="Q2" s="223"/>
    </row>
    <row r="3" spans="2:17" ht="29.45" thickBot="1">
      <c r="B3" s="224"/>
      <c r="C3" s="378" t="s">
        <v>410</v>
      </c>
      <c r="D3" s="379"/>
      <c r="E3" s="379"/>
      <c r="F3" s="379"/>
      <c r="G3" s="379"/>
      <c r="H3" s="379"/>
      <c r="I3" s="379"/>
      <c r="J3" s="379"/>
      <c r="K3" s="379"/>
      <c r="L3" s="379"/>
      <c r="M3" s="379"/>
      <c r="N3" s="379"/>
      <c r="O3" s="379"/>
      <c r="P3" s="380"/>
      <c r="Q3" s="225"/>
    </row>
    <row r="4" spans="2:17" ht="21.6" customHeight="1">
      <c r="B4" s="224"/>
      <c r="C4" s="384" t="s">
        <v>411</v>
      </c>
      <c r="D4" s="385"/>
      <c r="E4" s="385"/>
      <c r="F4" s="382"/>
      <c r="G4" s="383"/>
      <c r="H4" s="396" t="s">
        <v>410</v>
      </c>
      <c r="I4" s="397"/>
      <c r="J4" s="397"/>
      <c r="K4" s="397"/>
      <c r="L4" s="397"/>
      <c r="M4" s="397"/>
      <c r="N4" s="397"/>
      <c r="O4" s="397"/>
      <c r="P4" s="398"/>
      <c r="Q4" s="225"/>
    </row>
    <row r="5" spans="2:17" ht="21.6" customHeight="1">
      <c r="B5" s="224"/>
      <c r="C5" s="386" t="s">
        <v>412</v>
      </c>
      <c r="D5" s="387"/>
      <c r="E5" s="387"/>
      <c r="F5" s="350"/>
      <c r="G5" s="351"/>
      <c r="H5" s="399"/>
      <c r="I5" s="400"/>
      <c r="J5" s="400"/>
      <c r="K5" s="400"/>
      <c r="L5" s="400"/>
      <c r="M5" s="400"/>
      <c r="N5" s="400"/>
      <c r="O5" s="400"/>
      <c r="P5" s="401"/>
      <c r="Q5" s="225"/>
    </row>
    <row r="6" spans="2:17" ht="21.6" customHeight="1">
      <c r="B6" s="224"/>
      <c r="C6" s="347" t="s">
        <v>413</v>
      </c>
      <c r="D6" s="348"/>
      <c r="E6" s="349"/>
      <c r="F6" s="350"/>
      <c r="G6" s="351"/>
      <c r="H6" s="399"/>
      <c r="I6" s="400"/>
      <c r="J6" s="400"/>
      <c r="K6" s="400"/>
      <c r="L6" s="400"/>
      <c r="M6" s="400"/>
      <c r="N6" s="400"/>
      <c r="O6" s="400"/>
      <c r="P6" s="401"/>
      <c r="Q6" s="225"/>
    </row>
    <row r="7" spans="2:17" ht="21.6" customHeight="1" thickBot="1">
      <c r="B7" s="224"/>
      <c r="C7" s="388" t="s">
        <v>414</v>
      </c>
      <c r="D7" s="389"/>
      <c r="E7" s="389"/>
      <c r="F7" s="381" t="s">
        <v>415</v>
      </c>
      <c r="G7" s="381"/>
      <c r="H7" s="402"/>
      <c r="I7" s="403"/>
      <c r="J7" s="403"/>
      <c r="K7" s="403"/>
      <c r="L7" s="403"/>
      <c r="M7" s="403"/>
      <c r="N7" s="403"/>
      <c r="O7" s="403"/>
      <c r="P7" s="404"/>
      <c r="Q7" s="225"/>
    </row>
    <row r="8" spans="2:17" ht="14.45" thickBot="1">
      <c r="B8" s="224"/>
      <c r="C8" s="226"/>
      <c r="D8" s="226"/>
      <c r="E8" s="226"/>
      <c r="F8" s="226"/>
      <c r="G8" s="226"/>
      <c r="H8" s="226"/>
      <c r="I8" s="226"/>
      <c r="J8" s="226"/>
      <c r="K8" s="226"/>
      <c r="L8" s="226"/>
      <c r="M8" s="226"/>
      <c r="N8" s="226"/>
      <c r="O8" s="226"/>
      <c r="P8" s="226"/>
      <c r="Q8" s="225"/>
    </row>
    <row r="9" spans="2:17" ht="22.9" thickBot="1">
      <c r="B9" s="224"/>
      <c r="C9" s="362" t="s">
        <v>416</v>
      </c>
      <c r="D9" s="363"/>
      <c r="E9" s="363"/>
      <c r="F9" s="363"/>
      <c r="G9" s="363"/>
      <c r="H9" s="363"/>
      <c r="I9" s="363"/>
      <c r="J9" s="363"/>
      <c r="K9" s="363"/>
      <c r="L9" s="363"/>
      <c r="M9" s="363"/>
      <c r="N9" s="363"/>
      <c r="O9" s="363"/>
      <c r="P9" s="364"/>
      <c r="Q9" s="225"/>
    </row>
    <row r="10" spans="2:17" ht="14.45" thickBot="1">
      <c r="B10" s="224"/>
      <c r="C10" s="226"/>
      <c r="D10" s="226"/>
      <c r="E10" s="226"/>
      <c r="F10" s="226"/>
      <c r="G10" s="226"/>
      <c r="H10" s="226"/>
      <c r="I10" s="226"/>
      <c r="J10" s="226"/>
      <c r="K10" s="226"/>
      <c r="L10" s="226"/>
      <c r="M10" s="226"/>
      <c r="N10" s="226"/>
      <c r="O10" s="226"/>
      <c r="P10" s="226"/>
      <c r="Q10" s="225"/>
    </row>
    <row r="11" spans="2:17" ht="19.5" customHeight="1" thickBot="1">
      <c r="B11" s="224"/>
      <c r="C11" s="362" t="s">
        <v>417</v>
      </c>
      <c r="D11" s="364"/>
      <c r="E11" s="226"/>
      <c r="F11" s="405" t="s">
        <v>418</v>
      </c>
      <c r="G11" s="406"/>
      <c r="H11" s="406"/>
      <c r="I11" s="406"/>
      <c r="J11" s="406"/>
      <c r="K11" s="406"/>
      <c r="L11" s="406"/>
      <c r="M11" s="406"/>
      <c r="N11" s="406"/>
      <c r="O11" s="406"/>
      <c r="P11" s="407"/>
      <c r="Q11" s="225"/>
    </row>
    <row r="12" spans="2:17" ht="15" customHeight="1" thickBot="1">
      <c r="B12" s="224"/>
      <c r="C12" s="226"/>
      <c r="D12" s="226"/>
      <c r="E12" s="226"/>
      <c r="F12" s="354">
        <f>(F16+L16)/2</f>
        <v>0</v>
      </c>
      <c r="G12" s="356" t="str">
        <f>IF(F12=0,"N/A",IF(F12&lt;2,"Ad-Hoc",IF(F12&lt;3,"Reactive",IF(F12&lt;4,"Standardized",IF(F12&lt;5,"Proactive",IF(F12=5,"Excellence","N/A"))))))</f>
        <v>N/A</v>
      </c>
      <c r="H12" s="357"/>
      <c r="I12" s="357"/>
      <c r="J12" s="357"/>
      <c r="K12" s="357"/>
      <c r="L12" s="357"/>
      <c r="M12" s="357"/>
      <c r="N12" s="357"/>
      <c r="O12" s="357"/>
      <c r="P12" s="358"/>
      <c r="Q12" s="225"/>
    </row>
    <row r="13" spans="2:17" ht="15.75" customHeight="1" thickBot="1">
      <c r="B13" s="224"/>
      <c r="C13" s="227">
        <v>1</v>
      </c>
      <c r="D13" s="233" t="s">
        <v>170</v>
      </c>
      <c r="E13" s="226"/>
      <c r="F13" s="355"/>
      <c r="G13" s="359"/>
      <c r="H13" s="360"/>
      <c r="I13" s="360"/>
      <c r="J13" s="360"/>
      <c r="K13" s="360"/>
      <c r="L13" s="360"/>
      <c r="M13" s="360"/>
      <c r="N13" s="360"/>
      <c r="O13" s="360"/>
      <c r="P13" s="361"/>
      <c r="Q13" s="225"/>
    </row>
    <row r="14" spans="2:17" ht="14.45" thickBot="1">
      <c r="B14" s="224"/>
      <c r="C14" s="226"/>
      <c r="D14" s="226"/>
      <c r="E14" s="226"/>
      <c r="F14" s="226"/>
      <c r="G14" s="226"/>
      <c r="H14" s="226"/>
      <c r="I14" s="226"/>
      <c r="J14" s="226"/>
      <c r="K14" s="226"/>
      <c r="L14" s="226"/>
      <c r="M14" s="226"/>
      <c r="N14" s="226"/>
      <c r="O14" s="226"/>
      <c r="P14" s="226"/>
      <c r="Q14" s="225"/>
    </row>
    <row r="15" spans="2:17" ht="22.9" thickBot="1">
      <c r="B15" s="224"/>
      <c r="C15" s="227">
        <v>2</v>
      </c>
      <c r="D15" s="234" t="s">
        <v>231</v>
      </c>
      <c r="E15" s="226"/>
      <c r="F15" s="362" t="s">
        <v>419</v>
      </c>
      <c r="G15" s="363"/>
      <c r="H15" s="363"/>
      <c r="I15" s="363"/>
      <c r="J15" s="364"/>
      <c r="K15" s="226"/>
      <c r="L15" s="362" t="s">
        <v>420</v>
      </c>
      <c r="M15" s="363"/>
      <c r="N15" s="363"/>
      <c r="O15" s="363"/>
      <c r="P15" s="364"/>
      <c r="Q15" s="225"/>
    </row>
    <row r="16" spans="2:17" ht="15" customHeight="1" thickBot="1">
      <c r="B16" s="224"/>
      <c r="C16" s="226"/>
      <c r="D16" s="226"/>
      <c r="E16" s="226"/>
      <c r="F16" s="354">
        <f>(I20+F20)/2</f>
        <v>0</v>
      </c>
      <c r="G16" s="390" t="str">
        <f>IF(F16=0,"N/A",IF(F16&lt;2,"Ad-Hoc",IF(F16&lt;3,"Reactive",IF(F16&lt;4,"Standardized",IF(F16&lt;5,"Proactive",IF(F16=5,"Excellence","N/A"))))))</f>
        <v>N/A</v>
      </c>
      <c r="H16" s="391"/>
      <c r="I16" s="391"/>
      <c r="J16" s="392"/>
      <c r="K16" s="226"/>
      <c r="L16" s="354">
        <f>(L20+O20)/2</f>
        <v>0</v>
      </c>
      <c r="M16" s="390" t="str">
        <f>IF(L16=0,"N/A",IF(L16&lt;2,"Ad-Hoc",IF(L16&lt;3,"Reactive",IF(L16&lt;4,"Standardized",IF(L16&lt;5,"Proactive",IF(L16=5,"Excellence","N/A"))))))</f>
        <v>N/A</v>
      </c>
      <c r="N16" s="391"/>
      <c r="O16" s="391"/>
      <c r="P16" s="392"/>
      <c r="Q16" s="225"/>
    </row>
    <row r="17" spans="2:17" ht="15.75" customHeight="1" thickBot="1">
      <c r="B17" s="224"/>
      <c r="C17" s="227">
        <v>3</v>
      </c>
      <c r="D17" s="235" t="s">
        <v>40</v>
      </c>
      <c r="E17" s="226"/>
      <c r="F17" s="355"/>
      <c r="G17" s="393"/>
      <c r="H17" s="394"/>
      <c r="I17" s="394"/>
      <c r="J17" s="395"/>
      <c r="K17" s="226"/>
      <c r="L17" s="355"/>
      <c r="M17" s="393"/>
      <c r="N17" s="394"/>
      <c r="O17" s="394"/>
      <c r="P17" s="395"/>
      <c r="Q17" s="225"/>
    </row>
    <row r="18" spans="2:17" ht="14.45" thickBot="1">
      <c r="B18" s="224"/>
      <c r="C18" s="226"/>
      <c r="D18" s="226"/>
      <c r="E18" s="226"/>
      <c r="F18" s="226"/>
      <c r="G18" s="226"/>
      <c r="H18" s="226"/>
      <c r="I18" s="226"/>
      <c r="J18" s="226"/>
      <c r="K18" s="226"/>
      <c r="L18" s="226"/>
      <c r="M18" s="226"/>
      <c r="N18" s="226"/>
      <c r="O18" s="226"/>
      <c r="P18" s="226"/>
      <c r="Q18" s="225"/>
    </row>
    <row r="19" spans="2:17" ht="22.9" thickBot="1">
      <c r="B19" s="224"/>
      <c r="C19" s="227">
        <v>4</v>
      </c>
      <c r="D19" s="236" t="s">
        <v>52</v>
      </c>
      <c r="E19" s="226"/>
      <c r="F19" s="362" t="s">
        <v>421</v>
      </c>
      <c r="G19" s="364"/>
      <c r="H19" s="226"/>
      <c r="I19" s="365" t="s">
        <v>422</v>
      </c>
      <c r="J19" s="366"/>
      <c r="K19" s="226"/>
      <c r="L19" s="362" t="s">
        <v>423</v>
      </c>
      <c r="M19" s="364"/>
      <c r="N19" s="226"/>
      <c r="O19" s="362" t="s">
        <v>424</v>
      </c>
      <c r="P19" s="364"/>
      <c r="Q19" s="225"/>
    </row>
    <row r="20" spans="2:17" ht="15" customHeight="1" thickBot="1">
      <c r="B20" s="224"/>
      <c r="C20" s="226"/>
      <c r="D20" s="226"/>
      <c r="E20" s="226"/>
      <c r="F20" s="354">
        <f>MIN(F24:F26)</f>
        <v>0</v>
      </c>
      <c r="G20" s="352" t="str">
        <f>IF(F20=0,"N/A",IF(F20&lt;2,"Ad-Hoc",IF(F20&lt;3,"Reactive",IF(F20&lt;4,"Standardized",IF(F20&lt;5,"Proactive",IF(F20=5,"Excellence","N/A"))))))</f>
        <v>N/A</v>
      </c>
      <c r="H20" s="226"/>
      <c r="I20" s="354">
        <f>MIN(I24:I26)</f>
        <v>0</v>
      </c>
      <c r="J20" s="352" t="str">
        <f>IF(I20=0,"N/A",IF(I20&lt;2,"Ad-Hoc",IF(I20&lt;3,"Reactive",IF(I20&lt;4,"Standardized",IF(I20&lt;5,"Proactive",IF(I20=5,"Excellence","N/A"))))))</f>
        <v>N/A</v>
      </c>
      <c r="K20" s="226"/>
      <c r="L20" s="354">
        <f>MIN(L24:L26)</f>
        <v>0</v>
      </c>
      <c r="M20" s="352" t="str">
        <f>IF(L20=0,"N/A",IF(L20&lt;2,"Ad-Hoc",IF(L20&lt;3,"Reactive",IF(L20&lt;4,"Standardized",IF(L20&lt;5,"Proactive",IF(L20=5,"Excellence","N/A"))))))</f>
        <v>N/A</v>
      </c>
      <c r="N20" s="226"/>
      <c r="O20" s="354">
        <f>MIN(O24:O26)</f>
        <v>0</v>
      </c>
      <c r="P20" s="352" t="str">
        <f>IF(O20=0,"N/A",IF(O20&lt;2,"Ad-Hoc",IF(O20&lt;3,"Reactive",IF(O20&lt;4,"Standardized",IF(O20&lt;5,"Proactive",IF(O20=5,"Excellence","N/A"))))))</f>
        <v>N/A</v>
      </c>
      <c r="Q20" s="225"/>
    </row>
    <row r="21" spans="2:17" ht="15.75" customHeight="1" thickBot="1">
      <c r="B21" s="224"/>
      <c r="C21" s="227">
        <v>5</v>
      </c>
      <c r="D21" s="237" t="s">
        <v>160</v>
      </c>
      <c r="E21" s="226"/>
      <c r="F21" s="355"/>
      <c r="G21" s="353"/>
      <c r="H21" s="226"/>
      <c r="I21" s="355"/>
      <c r="J21" s="353"/>
      <c r="K21" s="226"/>
      <c r="L21" s="355"/>
      <c r="M21" s="353"/>
      <c r="N21" s="226"/>
      <c r="O21" s="355"/>
      <c r="P21" s="353"/>
      <c r="Q21" s="225"/>
    </row>
    <row r="22" spans="2:17" ht="14.45" thickBot="1">
      <c r="B22" s="224"/>
      <c r="C22" s="226"/>
      <c r="D22" s="226"/>
      <c r="E22" s="226"/>
      <c r="F22" s="226"/>
      <c r="G22" s="226"/>
      <c r="H22" s="226"/>
      <c r="I22" s="226"/>
      <c r="J22" s="226"/>
      <c r="K22" s="226"/>
      <c r="L22" s="226"/>
      <c r="M22" s="226"/>
      <c r="N22" s="226"/>
      <c r="O22" s="226"/>
      <c r="P22" s="226"/>
      <c r="Q22" s="225"/>
    </row>
    <row r="23" spans="2:17" ht="18" thickBot="1">
      <c r="B23" s="224"/>
      <c r="C23" s="226"/>
      <c r="D23" s="226"/>
      <c r="E23" s="226"/>
      <c r="F23" s="362" t="s">
        <v>425</v>
      </c>
      <c r="G23" s="364"/>
      <c r="H23" s="226"/>
      <c r="I23" s="362" t="s">
        <v>426</v>
      </c>
      <c r="J23" s="364"/>
      <c r="K23" s="226"/>
      <c r="L23" s="362" t="s">
        <v>427</v>
      </c>
      <c r="M23" s="364"/>
      <c r="N23" s="226"/>
      <c r="O23" s="362" t="s">
        <v>428</v>
      </c>
      <c r="P23" s="364"/>
      <c r="Q23" s="225"/>
    </row>
    <row r="24" spans="2:17" ht="40.15" thickBot="1">
      <c r="B24" s="224"/>
      <c r="C24" s="226"/>
      <c r="D24" s="226"/>
      <c r="E24" s="226"/>
      <c r="F24" s="239" t="str">
        <f>'Calculation sheet'!B29</f>
        <v>-</v>
      </c>
      <c r="G24" s="238" t="s">
        <v>429</v>
      </c>
      <c r="H24" s="226"/>
      <c r="I24" s="239" t="str">
        <f>'Calculation sheet'!B25</f>
        <v>-</v>
      </c>
      <c r="J24" s="238" t="s">
        <v>430</v>
      </c>
      <c r="K24" s="226"/>
      <c r="L24" s="239" t="str">
        <f>'Calculation sheet'!B21</f>
        <v>-</v>
      </c>
      <c r="M24" s="238" t="s">
        <v>431</v>
      </c>
      <c r="N24" s="226"/>
      <c r="O24" s="239" t="str">
        <f>'Calculation sheet'!B17</f>
        <v>-</v>
      </c>
      <c r="P24" s="238" t="s">
        <v>432</v>
      </c>
      <c r="Q24" s="225"/>
    </row>
    <row r="25" spans="2:17" ht="40.15" thickBot="1">
      <c r="B25" s="224"/>
      <c r="C25" s="226"/>
      <c r="D25" s="226"/>
      <c r="E25" s="226"/>
      <c r="F25" s="239" t="str">
        <f>'Calculation sheet'!B30</f>
        <v>-</v>
      </c>
      <c r="G25" s="238" t="s">
        <v>433</v>
      </c>
      <c r="H25" s="226"/>
      <c r="I25" s="239" t="str">
        <f>'Calculation sheet'!B26</f>
        <v>-</v>
      </c>
      <c r="J25" s="238" t="s">
        <v>434</v>
      </c>
      <c r="K25" s="226"/>
      <c r="L25" s="239" t="str">
        <f>'Calculation sheet'!B22</f>
        <v>-</v>
      </c>
      <c r="M25" s="238" t="s">
        <v>435</v>
      </c>
      <c r="N25" s="226"/>
      <c r="O25" s="239" t="str">
        <f>'Calculation sheet'!B18</f>
        <v>-</v>
      </c>
      <c r="P25" s="238" t="s">
        <v>436</v>
      </c>
      <c r="Q25" s="225"/>
    </row>
    <row r="26" spans="2:17" ht="51.6" thickBot="1">
      <c r="B26" s="224"/>
      <c r="C26" s="226"/>
      <c r="D26" s="226"/>
      <c r="E26" s="226"/>
      <c r="F26" s="239" t="str">
        <f>'Calculation sheet'!B31</f>
        <v>-</v>
      </c>
      <c r="G26" s="238" t="s">
        <v>437</v>
      </c>
      <c r="H26" s="226"/>
      <c r="I26" s="239" t="str">
        <f>'Calculation sheet'!B27</f>
        <v>-</v>
      </c>
      <c r="J26" s="238" t="s">
        <v>438</v>
      </c>
      <c r="K26" s="226"/>
      <c r="L26" s="239" t="str">
        <f>'Calculation sheet'!B23</f>
        <v>-</v>
      </c>
      <c r="M26" s="238" t="s">
        <v>439</v>
      </c>
      <c r="N26" s="226"/>
      <c r="O26" s="240" t="str">
        <f>'Calculation sheet'!B19</f>
        <v>-</v>
      </c>
      <c r="P26" s="238" t="s">
        <v>440</v>
      </c>
      <c r="Q26" s="225"/>
    </row>
    <row r="27" spans="2:17" ht="14.45" thickBot="1">
      <c r="B27" s="224"/>
      <c r="C27" s="226"/>
      <c r="D27" s="226"/>
      <c r="E27" s="226"/>
      <c r="F27" s="226"/>
      <c r="G27" s="226"/>
      <c r="H27" s="226"/>
      <c r="I27" s="226"/>
      <c r="J27" s="226"/>
      <c r="K27" s="226"/>
      <c r="L27" s="226"/>
      <c r="M27" s="226"/>
      <c r="N27" s="226"/>
      <c r="O27" s="226"/>
      <c r="P27" s="226"/>
      <c r="Q27" s="225"/>
    </row>
    <row r="28" spans="2:17" ht="22.9" thickBot="1">
      <c r="B28" s="224"/>
      <c r="C28" s="362" t="s">
        <v>441</v>
      </c>
      <c r="D28" s="363"/>
      <c r="E28" s="363"/>
      <c r="F28" s="363"/>
      <c r="G28" s="363"/>
      <c r="H28" s="363"/>
      <c r="I28" s="363"/>
      <c r="J28" s="363"/>
      <c r="K28" s="363"/>
      <c r="L28" s="363"/>
      <c r="M28" s="363"/>
      <c r="N28" s="363"/>
      <c r="O28" s="363"/>
      <c r="P28" s="364"/>
      <c r="Q28" s="225"/>
    </row>
    <row r="29" spans="2:17" ht="14.45" thickBot="1">
      <c r="B29" s="224"/>
      <c r="C29" s="226"/>
      <c r="D29" s="226"/>
      <c r="E29" s="226"/>
      <c r="F29" s="226"/>
      <c r="G29" s="226"/>
      <c r="H29" s="226"/>
      <c r="I29" s="226"/>
      <c r="J29" s="226"/>
      <c r="K29" s="226"/>
      <c r="L29" s="226"/>
      <c r="M29" s="226"/>
      <c r="N29" s="226"/>
      <c r="O29" s="226"/>
      <c r="P29" s="226"/>
      <c r="Q29" s="225"/>
    </row>
    <row r="30" spans="2:17" ht="22.9" thickBot="1">
      <c r="B30" s="224"/>
      <c r="C30" s="362" t="s">
        <v>442</v>
      </c>
      <c r="D30" s="363"/>
      <c r="E30" s="363"/>
      <c r="F30" s="363"/>
      <c r="G30" s="363"/>
      <c r="H30" s="363"/>
      <c r="I30" s="363"/>
      <c r="J30" s="364"/>
      <c r="K30" s="226"/>
      <c r="L30" s="362" t="s">
        <v>443</v>
      </c>
      <c r="M30" s="363"/>
      <c r="N30" s="363"/>
      <c r="O30" s="363"/>
      <c r="P30" s="364"/>
      <c r="Q30" s="225"/>
    </row>
    <row r="31" spans="2:17">
      <c r="B31" s="224"/>
      <c r="C31" s="226"/>
      <c r="D31" s="226"/>
      <c r="E31" s="226"/>
      <c r="F31" s="226"/>
      <c r="G31" s="226"/>
      <c r="H31" s="226"/>
      <c r="I31" s="226"/>
      <c r="J31" s="226"/>
      <c r="K31" s="226"/>
      <c r="L31" s="226"/>
      <c r="M31" s="226"/>
      <c r="N31" s="226"/>
      <c r="O31" s="226"/>
      <c r="P31" s="226"/>
      <c r="Q31" s="225"/>
    </row>
    <row r="32" spans="2:17" ht="26.25" customHeight="1" thickBot="1">
      <c r="B32" s="224"/>
      <c r="K32" s="226"/>
      <c r="Q32" s="225"/>
    </row>
    <row r="33" spans="2:17" ht="26.25" customHeight="1" thickBot="1">
      <c r="B33" s="224"/>
      <c r="F33" s="298">
        <f>F20</f>
        <v>0</v>
      </c>
      <c r="I33" s="298">
        <f>O20</f>
        <v>0</v>
      </c>
      <c r="K33" s="226"/>
      <c r="Q33" s="225"/>
    </row>
    <row r="34" spans="2:17" ht="26.25" customHeight="1">
      <c r="B34" s="224"/>
      <c r="K34" s="226"/>
      <c r="Q34" s="225"/>
    </row>
    <row r="35" spans="2:17" ht="26.25" customHeight="1">
      <c r="B35" s="224"/>
      <c r="K35" s="226"/>
      <c r="Q35" s="225"/>
    </row>
    <row r="36" spans="2:17" ht="26.25" customHeight="1">
      <c r="B36" s="224"/>
      <c r="K36" s="226"/>
      <c r="Q36" s="225"/>
    </row>
    <row r="37" spans="2:17" ht="26.25" customHeight="1">
      <c r="B37" s="224"/>
      <c r="K37" s="226"/>
      <c r="Q37" s="225"/>
    </row>
    <row r="38" spans="2:17" ht="26.25" customHeight="1">
      <c r="B38" s="224"/>
      <c r="K38" s="226"/>
      <c r="Q38" s="225"/>
    </row>
    <row r="39" spans="2:17" ht="26.25" customHeight="1">
      <c r="B39" s="224"/>
      <c r="K39" s="226"/>
      <c r="Q39" s="225"/>
    </row>
    <row r="40" spans="2:17" ht="26.25" customHeight="1">
      <c r="B40" s="224"/>
      <c r="K40" s="226"/>
      <c r="Q40" s="225"/>
    </row>
    <row r="41" spans="2:17" ht="26.25" customHeight="1">
      <c r="B41" s="224"/>
      <c r="K41" s="226"/>
      <c r="Q41" s="225"/>
    </row>
    <row r="42" spans="2:17" ht="26.25" customHeight="1">
      <c r="B42" s="224"/>
      <c r="K42" s="226"/>
      <c r="Q42" s="225"/>
    </row>
    <row r="43" spans="2:17" ht="26.25" customHeight="1" thickBot="1">
      <c r="B43" s="224"/>
      <c r="K43" s="226"/>
      <c r="Q43" s="225"/>
    </row>
    <row r="44" spans="2:17" ht="26.25" customHeight="1" thickBot="1">
      <c r="B44" s="224"/>
      <c r="F44" s="298">
        <f>I20</f>
        <v>0</v>
      </c>
      <c r="I44" s="298">
        <f>L20</f>
        <v>0</v>
      </c>
      <c r="K44" s="226"/>
      <c r="Q44" s="225"/>
    </row>
    <row r="45" spans="2:17" ht="26.25" customHeight="1">
      <c r="B45" s="224"/>
      <c r="F45" s="228"/>
      <c r="I45" s="228"/>
      <c r="K45" s="226"/>
      <c r="Q45" s="225"/>
    </row>
    <row r="46" spans="2:17" ht="14.45" thickBot="1">
      <c r="B46" s="224"/>
      <c r="C46" s="226"/>
      <c r="D46" s="226"/>
      <c r="E46" s="226"/>
      <c r="F46" s="226"/>
      <c r="G46" s="226"/>
      <c r="H46" s="226"/>
      <c r="I46" s="226"/>
      <c r="J46" s="226"/>
      <c r="K46" s="226"/>
      <c r="L46" s="226"/>
      <c r="M46" s="226"/>
      <c r="N46" s="226"/>
      <c r="O46" s="226"/>
      <c r="P46" s="226"/>
      <c r="Q46" s="225"/>
    </row>
    <row r="47" spans="2:17" s="302" customFormat="1" ht="15.75" customHeight="1" thickBot="1">
      <c r="B47" s="299"/>
      <c r="C47" s="367" t="s">
        <v>444</v>
      </c>
      <c r="D47" s="369"/>
      <c r="E47" s="367" t="s">
        <v>445</v>
      </c>
      <c r="F47" s="369"/>
      <c r="G47" s="367" t="s">
        <v>446</v>
      </c>
      <c r="H47" s="368"/>
      <c r="I47" s="369"/>
      <c r="J47" s="367" t="s">
        <v>447</v>
      </c>
      <c r="K47" s="368"/>
      <c r="L47" s="369"/>
      <c r="M47" s="367" t="s">
        <v>448</v>
      </c>
      <c r="N47" s="368"/>
      <c r="O47" s="369"/>
      <c r="P47" s="300" t="s">
        <v>449</v>
      </c>
      <c r="Q47" s="301"/>
    </row>
    <row r="48" spans="2:17" ht="72" customHeight="1" thickBot="1">
      <c r="B48" s="224"/>
      <c r="C48" s="377" t="s">
        <v>450</v>
      </c>
      <c r="D48" s="374"/>
      <c r="E48" s="375">
        <f>F20</f>
        <v>0</v>
      </c>
      <c r="F48" s="376"/>
      <c r="G48" s="370"/>
      <c r="H48" s="371"/>
      <c r="I48" s="372"/>
      <c r="J48" s="370"/>
      <c r="K48" s="371"/>
      <c r="L48" s="372"/>
      <c r="M48" s="370"/>
      <c r="N48" s="371"/>
      <c r="O48" s="372"/>
      <c r="P48" s="229"/>
      <c r="Q48" s="225"/>
    </row>
    <row r="49" spans="2:17" ht="72" customHeight="1" thickBot="1">
      <c r="B49" s="224"/>
      <c r="C49" s="377" t="s">
        <v>451</v>
      </c>
      <c r="D49" s="374"/>
      <c r="E49" s="375">
        <f>I20</f>
        <v>0</v>
      </c>
      <c r="F49" s="376"/>
      <c r="G49" s="370"/>
      <c r="H49" s="371"/>
      <c r="I49" s="372"/>
      <c r="J49" s="370"/>
      <c r="K49" s="371"/>
      <c r="L49" s="372"/>
      <c r="M49" s="370"/>
      <c r="N49" s="371"/>
      <c r="O49" s="372"/>
      <c r="P49" s="229"/>
      <c r="Q49" s="225"/>
    </row>
    <row r="50" spans="2:17" ht="72" customHeight="1" thickBot="1">
      <c r="B50" s="224"/>
      <c r="C50" s="373" t="s">
        <v>452</v>
      </c>
      <c r="D50" s="374"/>
      <c r="E50" s="375">
        <f>L20</f>
        <v>0</v>
      </c>
      <c r="F50" s="376"/>
      <c r="G50" s="370"/>
      <c r="H50" s="371"/>
      <c r="I50" s="372"/>
      <c r="J50" s="370"/>
      <c r="K50" s="371"/>
      <c r="L50" s="372"/>
      <c r="M50" s="370"/>
      <c r="N50" s="371"/>
      <c r="O50" s="372"/>
      <c r="P50" s="229"/>
      <c r="Q50" s="225"/>
    </row>
    <row r="51" spans="2:17" ht="72" customHeight="1" thickBot="1">
      <c r="B51" s="224"/>
      <c r="C51" s="377" t="s">
        <v>453</v>
      </c>
      <c r="D51" s="374"/>
      <c r="E51" s="375">
        <f>O20</f>
        <v>0</v>
      </c>
      <c r="F51" s="376"/>
      <c r="G51" s="370"/>
      <c r="H51" s="371"/>
      <c r="I51" s="372"/>
      <c r="J51" s="370"/>
      <c r="K51" s="371"/>
      <c r="L51" s="372"/>
      <c r="M51" s="370"/>
      <c r="N51" s="371"/>
      <c r="O51" s="372"/>
      <c r="P51" s="229"/>
      <c r="Q51" s="225"/>
    </row>
    <row r="52" spans="2:17" ht="10.5" customHeight="1" thickBot="1">
      <c r="B52" s="230"/>
      <c r="C52" s="231"/>
      <c r="D52" s="231"/>
      <c r="E52" s="231"/>
      <c r="F52" s="231"/>
      <c r="G52" s="231"/>
      <c r="H52" s="231"/>
      <c r="I52" s="231"/>
      <c r="J52" s="231"/>
      <c r="K52" s="231"/>
      <c r="L52" s="231"/>
      <c r="M52" s="231"/>
      <c r="N52" s="231"/>
      <c r="O52" s="231"/>
      <c r="P52" s="231"/>
      <c r="Q52" s="232"/>
    </row>
  </sheetData>
  <mergeCells count="65">
    <mergeCell ref="C4:E4"/>
    <mergeCell ref="C5:E5"/>
    <mergeCell ref="C7:E7"/>
    <mergeCell ref="O23:P23"/>
    <mergeCell ref="C28:P28"/>
    <mergeCell ref="F16:F17"/>
    <mergeCell ref="G16:J17"/>
    <mergeCell ref="L16:L17"/>
    <mergeCell ref="M16:P17"/>
    <mergeCell ref="O19:P19"/>
    <mergeCell ref="O20:O21"/>
    <mergeCell ref="P20:P21"/>
    <mergeCell ref="C9:P9"/>
    <mergeCell ref="H4:P7"/>
    <mergeCell ref="C11:D11"/>
    <mergeCell ref="F11:P11"/>
    <mergeCell ref="C3:P3"/>
    <mergeCell ref="F7:G7"/>
    <mergeCell ref="F5:G5"/>
    <mergeCell ref="F4:G4"/>
    <mergeCell ref="M49:O49"/>
    <mergeCell ref="G49:I49"/>
    <mergeCell ref="J49:L49"/>
    <mergeCell ref="C49:D49"/>
    <mergeCell ref="E49:F49"/>
    <mergeCell ref="C47:D47"/>
    <mergeCell ref="E47:F47"/>
    <mergeCell ref="M47:O47"/>
    <mergeCell ref="C48:D48"/>
    <mergeCell ref="E48:F48"/>
    <mergeCell ref="M48:O48"/>
    <mergeCell ref="G47:I47"/>
    <mergeCell ref="C50:D50"/>
    <mergeCell ref="E50:F50"/>
    <mergeCell ref="M50:O50"/>
    <mergeCell ref="C51:D51"/>
    <mergeCell ref="E51:F51"/>
    <mergeCell ref="M51:O51"/>
    <mergeCell ref="G51:I51"/>
    <mergeCell ref="J51:L51"/>
    <mergeCell ref="G50:I50"/>
    <mergeCell ref="J50:L50"/>
    <mergeCell ref="J47:L47"/>
    <mergeCell ref="G48:I48"/>
    <mergeCell ref="J48:L48"/>
    <mergeCell ref="I23:J23"/>
    <mergeCell ref="F23:G23"/>
    <mergeCell ref="L23:M23"/>
    <mergeCell ref="C30:J30"/>
    <mergeCell ref="L30:P30"/>
    <mergeCell ref="C6:E6"/>
    <mergeCell ref="F6:G6"/>
    <mergeCell ref="M20:M21"/>
    <mergeCell ref="I20:I21"/>
    <mergeCell ref="J20:J21"/>
    <mergeCell ref="F20:F21"/>
    <mergeCell ref="G20:G21"/>
    <mergeCell ref="L20:L21"/>
    <mergeCell ref="F12:F13"/>
    <mergeCell ref="G12:P13"/>
    <mergeCell ref="F15:J15"/>
    <mergeCell ref="L15:P15"/>
    <mergeCell ref="I19:J19"/>
    <mergeCell ref="F19:G19"/>
    <mergeCell ref="L19:M19"/>
  </mergeCells>
  <phoneticPr fontId="4"/>
  <conditionalFormatting sqref="G12:P13 G16 M16 J20 G20 M20 P20">
    <cfRule type="containsText" dxfId="30" priority="26" operator="containsText" text="Excellence">
      <formula>NOT(ISERROR(SEARCH("Excellence",G12)))</formula>
    </cfRule>
    <cfRule type="containsText" dxfId="29" priority="27" operator="containsText" text="Proactive">
      <formula>NOT(ISERROR(SEARCH("Proactive",G12)))</formula>
    </cfRule>
    <cfRule type="containsText" dxfId="28" priority="28" operator="containsText" text="Standardized">
      <formula>NOT(ISERROR(SEARCH("Standardized",G12)))</formula>
    </cfRule>
    <cfRule type="containsText" dxfId="27" priority="29" operator="containsText" text="Reactive">
      <formula>NOT(ISERROR(SEARCH("Reactive",G12)))</formula>
    </cfRule>
    <cfRule type="containsText" dxfId="26" priority="30" operator="containsText" text="Ad-hoc">
      <formula>NOT(ISERROR(SEARCH("Ad-hoc",G12)))</formula>
    </cfRule>
    <cfRule type="containsText" dxfId="25" priority="31" operator="containsText" text="N/A">
      <formula>NOT(ISERROR(SEARCH("N/A",G12)))</formula>
    </cfRule>
  </conditionalFormatting>
  <conditionalFormatting sqref="O24:O26 E48:F51 L24:L26 I24:I26 F24:F26">
    <cfRule type="cellIs" dxfId="24" priority="21" operator="equal">
      <formula>5</formula>
    </cfRule>
    <cfRule type="cellIs" dxfId="23" priority="22" operator="equal">
      <formula>4</formula>
    </cfRule>
    <cfRule type="cellIs" dxfId="22" priority="23" operator="equal">
      <formula>3</formula>
    </cfRule>
    <cfRule type="cellIs" dxfId="21" priority="24" operator="equal">
      <formula>2</formula>
    </cfRule>
    <cfRule type="cellIs" dxfId="20" priority="25" operator="equal">
      <formula>1</formula>
    </cfRule>
  </conditionalFormatting>
  <conditionalFormatting sqref="F33">
    <cfRule type="cellIs" dxfId="19" priority="16" operator="equal">
      <formula>5</formula>
    </cfRule>
    <cfRule type="cellIs" dxfId="18" priority="17" operator="equal">
      <formula>4</formula>
    </cfRule>
    <cfRule type="cellIs" dxfId="17" priority="18" operator="equal">
      <formula>3</formula>
    </cfRule>
    <cfRule type="cellIs" dxfId="16" priority="19" operator="equal">
      <formula>2</formula>
    </cfRule>
    <cfRule type="cellIs" dxfId="15" priority="20" operator="equal">
      <formula>1</formula>
    </cfRule>
  </conditionalFormatting>
  <conditionalFormatting sqref="I33">
    <cfRule type="cellIs" dxfId="14" priority="11" operator="equal">
      <formula>5</formula>
    </cfRule>
    <cfRule type="cellIs" dxfId="13" priority="12" operator="equal">
      <formula>4</formula>
    </cfRule>
    <cfRule type="cellIs" dxfId="12" priority="13" operator="equal">
      <formula>3</formula>
    </cfRule>
    <cfRule type="cellIs" dxfId="11" priority="14" operator="equal">
      <formula>2</formula>
    </cfRule>
    <cfRule type="cellIs" dxfId="10" priority="15" operator="equal">
      <formula>1</formula>
    </cfRule>
  </conditionalFormatting>
  <conditionalFormatting sqref="I44:I45">
    <cfRule type="cellIs" dxfId="9" priority="6" operator="equal">
      <formula>5</formula>
    </cfRule>
    <cfRule type="cellIs" dxfId="8" priority="7" operator="equal">
      <formula>4</formula>
    </cfRule>
    <cfRule type="cellIs" dxfId="7" priority="8" operator="equal">
      <formula>3</formula>
    </cfRule>
    <cfRule type="cellIs" dxfId="6" priority="9" operator="equal">
      <formula>2</formula>
    </cfRule>
    <cfRule type="cellIs" dxfId="5" priority="10" operator="equal">
      <formula>1</formula>
    </cfRule>
  </conditionalFormatting>
  <conditionalFormatting sqref="F44:F45">
    <cfRule type="cellIs" dxfId="4" priority="1" operator="equal">
      <formula>5</formula>
    </cfRule>
    <cfRule type="cellIs" dxfId="3" priority="2" operator="equal">
      <formula>4</formula>
    </cfRule>
    <cfRule type="cellIs" dxfId="2" priority="3" operator="equal">
      <formula>3</formula>
    </cfRule>
    <cfRule type="cellIs" dxfId="1" priority="4" operator="equal">
      <formula>2</formula>
    </cfRule>
    <cfRule type="cellIs" dxfId="0" priority="5" operator="equal">
      <formula>1</formula>
    </cfRule>
  </conditionalFormatting>
  <pageMargins left="0.7" right="0.7" top="0.75" bottom="0.75" header="0.3" footer="0.3"/>
  <pageSetup paperSize="9" scale="41" orientation="portrait" r:id="rId1"/>
  <colBreaks count="1" manualBreakCount="1">
    <brk id="18"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'Calculation sheet'!$D$2:$D$3</xm:f>
          </x14:formula1>
          <xm:sqref>F7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dimension ref="A1:T49"/>
  <sheetViews>
    <sheetView zoomScale="55" zoomScaleNormal="55" workbookViewId="0">
      <selection activeCell="O17" sqref="O17"/>
    </sheetView>
  </sheetViews>
  <sheetFormatPr defaultRowHeight="18"/>
  <cols>
    <col min="1" max="1" width="21.25" bestFit="1" customWidth="1"/>
    <col min="3" max="5" width="8.75" customWidth="1"/>
    <col min="7" max="10" width="8.75" customWidth="1"/>
    <col min="16" max="17" width="8.75" customWidth="1"/>
    <col min="21" max="21" width="34.25" bestFit="1" customWidth="1"/>
  </cols>
  <sheetData>
    <row r="1" spans="1:20">
      <c r="A1" s="1" t="s">
        <v>454</v>
      </c>
      <c r="D1" s="1" t="s">
        <v>455</v>
      </c>
    </row>
    <row r="2" spans="1:20">
      <c r="A2" t="s">
        <v>456</v>
      </c>
      <c r="D2" s="94" t="s">
        <v>457</v>
      </c>
    </row>
    <row r="3" spans="1:20">
      <c r="A3" t="s">
        <v>458</v>
      </c>
      <c r="D3" s="94" t="s">
        <v>459</v>
      </c>
    </row>
    <row r="5" spans="1:20">
      <c r="A5" s="1" t="s">
        <v>460</v>
      </c>
    </row>
    <row r="6" spans="1:20">
      <c r="A6" t="s">
        <v>461</v>
      </c>
      <c r="B6">
        <v>5</v>
      </c>
      <c r="C6" t="s">
        <v>461</v>
      </c>
    </row>
    <row r="7" spans="1:20">
      <c r="A7" t="s">
        <v>52</v>
      </c>
      <c r="B7">
        <v>4</v>
      </c>
      <c r="C7" t="s">
        <v>52</v>
      </c>
    </row>
    <row r="8" spans="1:20">
      <c r="A8" t="s">
        <v>462</v>
      </c>
      <c r="B8">
        <v>3</v>
      </c>
      <c r="C8" t="s">
        <v>462</v>
      </c>
    </row>
    <row r="9" spans="1:20">
      <c r="A9" t="s">
        <v>94</v>
      </c>
      <c r="B9">
        <v>2</v>
      </c>
      <c r="C9" t="s">
        <v>94</v>
      </c>
    </row>
    <row r="10" spans="1:20">
      <c r="A10" t="s">
        <v>463</v>
      </c>
      <c r="B10">
        <v>1</v>
      </c>
      <c r="C10" t="s">
        <v>463</v>
      </c>
    </row>
    <row r="15" spans="1:20">
      <c r="C15" t="s">
        <v>464</v>
      </c>
      <c r="F15" t="s">
        <v>465</v>
      </c>
      <c r="I15" t="s">
        <v>282</v>
      </c>
      <c r="L15" t="s">
        <v>466</v>
      </c>
      <c r="O15" t="s">
        <v>467</v>
      </c>
      <c r="R15" t="s">
        <v>468</v>
      </c>
      <c r="S15" t="s">
        <v>469</v>
      </c>
    </row>
    <row r="16" spans="1:20">
      <c r="B16" t="s">
        <v>470</v>
      </c>
      <c r="C16" t="s">
        <v>471</v>
      </c>
      <c r="D16" t="s">
        <v>2</v>
      </c>
      <c r="E16" t="s">
        <v>472</v>
      </c>
      <c r="F16" t="s">
        <v>471</v>
      </c>
      <c r="G16" t="s">
        <v>2</v>
      </c>
      <c r="H16" t="s">
        <v>472</v>
      </c>
      <c r="I16" t="s">
        <v>471</v>
      </c>
      <c r="J16" t="s">
        <v>2</v>
      </c>
      <c r="K16" t="s">
        <v>472</v>
      </c>
      <c r="L16" t="s">
        <v>471</v>
      </c>
      <c r="M16" t="s">
        <v>2</v>
      </c>
      <c r="N16" t="s">
        <v>472</v>
      </c>
      <c r="O16" t="s">
        <v>471</v>
      </c>
      <c r="P16" t="s">
        <v>2</v>
      </c>
      <c r="Q16" t="s">
        <v>472</v>
      </c>
      <c r="R16" t="s">
        <v>473</v>
      </c>
      <c r="S16" t="s">
        <v>473</v>
      </c>
      <c r="T16" t="s">
        <v>474</v>
      </c>
    </row>
    <row r="17" spans="1:20">
      <c r="A17" t="s">
        <v>475</v>
      </c>
      <c r="B17" t="str" cm="1">
        <f t="array" ref="B17">_xlfn.IFS(S17="to be done","-",D17+G17&gt;0,1,J17&gt;0,2,I17=0,_xlfn.IFS(M17&gt;0,2,L17=0,_xlfn.IFS(P17&gt;0,2,I17&gt;0,3,O17=0,4,P17=0,5)),L17=0,_xlfn.IFS(M17&gt;0,3,O17=0,3,P17&gt;0,3),M17&gt;0,3,P17&gt;0,4,O17&gt;0,5,O17=0,4)</f>
        <v>-</v>
      </c>
      <c r="C17">
        <f>COUNTIFS(System!$D$3:$D$22,T17,System!$L$3:$L$22,C$16)</f>
        <v>0</v>
      </c>
      <c r="D17">
        <f>COUNTIFS(System!$D$3:$D$22,T17,System!$L$3:$L$22,D$16)</f>
        <v>0</v>
      </c>
      <c r="E17">
        <f>COUNTIFS(System!$D$3:$D$22,T17,System!$L$3:$L$22,"N/A")+COUNTIFS(System!$D$3:$D$22,T17,System!$L$3:$L$22,"Not rolled out yet")</f>
        <v>0</v>
      </c>
      <c r="F17">
        <f>COUNTIFS(System!$D$24:$D$44,T17,System!$L$24:$L$44,F$16)</f>
        <v>0</v>
      </c>
      <c r="G17">
        <f>COUNTIFS(System!$D$24:$D$44,T17,System!$L$24:$L$44,G$16)</f>
        <v>0</v>
      </c>
      <c r="H17">
        <f>COUNTIFS(System!$D$24:$D$44,T17,System!$L$24:$L$44,"N/A")+COUNTIFS(System!$D$24:$D$44,T17,System!$L$24:$L$44,"Not rolled out yet")</f>
        <v>0</v>
      </c>
      <c r="I17">
        <f>COUNTIFS(System!$D$46:$D$67,T17,System!$L$46:$L$67,I$16)</f>
        <v>0</v>
      </c>
      <c r="J17">
        <f>COUNTIFS(System!$D$46:$D$67,T17,System!$L$46:$L$67,J$16)</f>
        <v>0</v>
      </c>
      <c r="K17">
        <f>COUNTIFS(System!$D$46:$D$67,T17,System!$L$46:$L$67,"N/A")+COUNTIFS(System!$D$46:$D$67,T17,System!$L$46:$L$67,"Not rolled out yet")</f>
        <v>0</v>
      </c>
      <c r="L17">
        <f>COUNTIFS(System!$D$69:$D$90,T17,System!$L$69:$L$90,L$16)</f>
        <v>0</v>
      </c>
      <c r="M17">
        <f>COUNTIFS(System!$D$69:$D$90,T17,System!$L$69:$L$90,M$16)</f>
        <v>0</v>
      </c>
      <c r="N17">
        <f>COUNTIFS(System!$D$69:$D$90,T17,System!$L$69:$L$90,"N/A")+COUNTIFS(System!$D$69:$D$90,T17,System!$L$69:$L$90,"Not rolled out yet")</f>
        <v>0</v>
      </c>
      <c r="O17">
        <f>COUNTIFS(System!$D$92:$D$107,T17,System!$L$92:$L$107,O$16)</f>
        <v>0</v>
      </c>
      <c r="P17">
        <f>COUNTIFS(System!$D$92:$D$107,T17,System!$L$92:$L$107,P$16)</f>
        <v>0</v>
      </c>
      <c r="Q17">
        <f>COUNTIFS(System!$D$92:$D$107,T17,System!$L$92:$L$107,"N/A")+COUNTIFS(System!$D$92:$D$107,T17,System!$L$92:$L$107,"Not rolled out yet")</f>
        <v>0</v>
      </c>
      <c r="R17">
        <f>COUNTIF(System!$D$3:$D$107,T17)</f>
        <v>23</v>
      </c>
      <c r="S17" t="str">
        <f>IF(SUM(C17:Q17)=R17,"done","to be done")</f>
        <v>to be done</v>
      </c>
      <c r="T17" t="s">
        <v>236</v>
      </c>
    </row>
    <row r="18" spans="1:20">
      <c r="A18" t="s">
        <v>476</v>
      </c>
      <c r="B18" t="str" cm="1">
        <f t="array" ref="B18">_xlfn.IFS(S18="to be done","-",D18+G18&gt;0,1,J18&gt;0,2,I18=0,_xlfn.IFS(M18&gt;0,2,L18=0,_xlfn.IFS(P18&gt;0,2,I18&gt;0,3,O18=0,4,P18=0,5)),L18=0,_xlfn.IFS(M18&gt;0,3,O18=0,3,P18&gt;0,3),M18&gt;0,3,P18&gt;0,4,O18&gt;0,5,O18=0,4)</f>
        <v>-</v>
      </c>
      <c r="C18">
        <f>COUNTIFS(System!$D$3:$D$22,T18,System!$L$3:$L$22,C$16)</f>
        <v>0</v>
      </c>
      <c r="D18">
        <f>COUNTIFS(System!$D$3:$D$22,T18,System!$L$3:$L$22,D$16)</f>
        <v>0</v>
      </c>
      <c r="E18">
        <f>COUNTIFS(System!$D$3:$D$22,T18,System!$L$3:$L$22,"N/A")+COUNTIFS(System!$D$3:$D$22,T18,System!$L$3:$L$22,"Not rolled out yet")</f>
        <v>0</v>
      </c>
      <c r="F18">
        <f>COUNTIFS(System!$D$24:$D$44,T18,System!$L$24:$L$44,F$16)</f>
        <v>0</v>
      </c>
      <c r="G18">
        <f>COUNTIFS(System!$D$24:$D$44,T18,System!$L$24:$L$44,G$16)</f>
        <v>0</v>
      </c>
      <c r="H18">
        <f>COUNTIFS(System!$D$24:$D$44,T18,System!$L$24:$L$44,"N/A")+COUNTIFS(System!$D$24:$D$44,T18,System!$L$24:$L$44,"Not rolled out yet")</f>
        <v>0</v>
      </c>
      <c r="I18">
        <f>COUNTIFS(System!$D$46:$D$67,T18,System!$L$46:$L$67,I$16)</f>
        <v>0</v>
      </c>
      <c r="J18">
        <f>COUNTIFS(System!$D$46:$D$67,T18,System!$L$46:$L$67,J$16)</f>
        <v>0</v>
      </c>
      <c r="K18">
        <f>COUNTIFS(System!$D$46:$D$67,T18,System!$L$46:$L$67,"N/A")+COUNTIFS(System!$D$46:$D$67,T18,System!$L$46:$L$67,"Not rolled out yet")</f>
        <v>0</v>
      </c>
      <c r="L18">
        <f>COUNTIFS(System!$D$69:$D$90,T18,System!$L$69:$L$90,L$16)</f>
        <v>0</v>
      </c>
      <c r="M18">
        <f>COUNTIFS(System!$D$69:$D$90,T18,System!$L$69:$L$90,M$16)</f>
        <v>0</v>
      </c>
      <c r="N18">
        <f>COUNTIFS(System!$D$69:$D$90,T18,System!$L$69:$L$90,"N/A")+COUNTIFS(System!$D$69:$D$90,T18,System!$L$69:$L$90,"Not rolled out yet")</f>
        <v>0</v>
      </c>
      <c r="O18">
        <f>COUNTIFS(System!$D$92:$D$107,T18,System!$L$92:$L$107,O$16)</f>
        <v>0</v>
      </c>
      <c r="P18">
        <f>COUNTIFS(System!$D$92:$D$107,T18,System!$L$92:$L$107,P$16)</f>
        <v>0</v>
      </c>
      <c r="Q18">
        <f>COUNTIFS(System!$D$92:$D$107,T18,System!$L$92:$L$107,"N/A")+COUNTIFS(System!$D$92:$D$107,T18,System!$L$92:$L$107,"Not rolled out yet")</f>
        <v>0</v>
      </c>
      <c r="R18">
        <f>COUNTIF(System!$D$3:$D$107,T18)</f>
        <v>71</v>
      </c>
      <c r="S18" t="str">
        <f>IF(SUM(C18:Q18)=R18,"done","to be done")</f>
        <v>to be done</v>
      </c>
      <c r="T18" t="s">
        <v>185</v>
      </c>
    </row>
    <row r="19" spans="1:20">
      <c r="A19" t="s">
        <v>477</v>
      </c>
      <c r="B19" t="str" cm="1">
        <f t="array" ref="B19">_xlfn.IFS(S19="to be done","-",D19+G19&gt;0,1,J19&gt;0,2,I19=0,_xlfn.IFS(M19&gt;0,2,L19=0,_xlfn.IFS(P19&gt;0,2,I19&gt;0,3,O19=0,4,P19=0,5)),L19=0,_xlfn.IFS(M19&gt;0,3,O19=0,3,P19&gt;0,3),M19&gt;0,3,P19&gt;0,4,O19&gt;0,5,O19=0,4)</f>
        <v>-</v>
      </c>
      <c r="C19">
        <f>COUNTIFS(System!$D$3:$D$22,T19,System!$L$3:$L$22,C$16)</f>
        <v>0</v>
      </c>
      <c r="D19">
        <f>COUNTIFS(System!$D$3:$D$22,T19,System!$L$3:$L$22,D$16)</f>
        <v>0</v>
      </c>
      <c r="E19">
        <f>COUNTIFS(System!$D$3:$D$22,T19,System!$L$3:$L$22,"N/A")+COUNTIFS(System!$D$3:$D$22,T19,System!$L$3:$L$22,"Not rolled out yet")</f>
        <v>0</v>
      </c>
      <c r="F19">
        <f>COUNTIFS(System!$D$24:$D$44,T19,System!$L$24:$L$44,F$16)</f>
        <v>0</v>
      </c>
      <c r="G19">
        <f>COUNTIFS(System!$D$24:$D$44,T19,System!$L$24:$L$44,G$16)</f>
        <v>0</v>
      </c>
      <c r="H19">
        <f>COUNTIFS(System!$D$24:$D$44,T19,System!$L$24:$L$44,"N/A")+COUNTIFS(System!$D$24:$D$44,T19,System!$L$24:$L$44,"Not rolled out yet")</f>
        <v>0</v>
      </c>
      <c r="I19">
        <f>COUNTIFS(System!$D$46:$D$67,T19,System!$L$46:$L$67,I$16)</f>
        <v>0</v>
      </c>
      <c r="J19">
        <f>COUNTIFS(System!$D$46:$D$67,T19,System!$L$46:$L$67,J$16)</f>
        <v>0</v>
      </c>
      <c r="K19">
        <f>COUNTIFS(System!$D$46:$D$67,T19,System!$L$46:$L$67,"N/A")+COUNTIFS(System!$D$46:$D$67,T19,System!$L$46:$L$67,"Not rolled out yet")</f>
        <v>0</v>
      </c>
      <c r="L19">
        <f>COUNTIFS(System!$D$69:$D$90,T19,System!$L$69:$L$90,L$16)</f>
        <v>0</v>
      </c>
      <c r="M19">
        <f>COUNTIFS(System!$D$69:$D$90,T19,System!$L$69:$L$90,M$16)</f>
        <v>0</v>
      </c>
      <c r="N19">
        <f>COUNTIFS(System!$D$69:$D$90,T19,System!$L$69:$L$90,"N/A")+COUNTIFS(System!$D$69:$D$90,T19,System!$L$69:$L$90,"Not rolled out yet")</f>
        <v>0</v>
      </c>
      <c r="O19">
        <f>COUNTIFS(System!$D$92:$D$107,T19,System!$L$92:$L$107,O$16)</f>
        <v>0</v>
      </c>
      <c r="P19">
        <f>COUNTIFS(System!$D$92:$D$107,T19,System!$L$92:$L$107,P$16)</f>
        <v>0</v>
      </c>
      <c r="Q19">
        <f>COUNTIFS(System!$D$92:$D$107,T19,System!$L$92:$L$107,"N/A")+COUNTIFS(System!$D$92:$D$107,T19,System!$L$92:$L$107,"Not rolled out yet")</f>
        <v>0</v>
      </c>
      <c r="R19">
        <f>COUNTIF(System!$D$3:$D$107,T19)</f>
        <v>7</v>
      </c>
      <c r="S19" t="str">
        <f>IF(SUM(C19:Q19)=R19,"done","to be done")</f>
        <v>to be done</v>
      </c>
      <c r="T19" t="s">
        <v>239</v>
      </c>
    </row>
    <row r="20" spans="1:20">
      <c r="T20" t="s">
        <v>478</v>
      </c>
    </row>
    <row r="21" spans="1:20">
      <c r="A21" t="s">
        <v>479</v>
      </c>
      <c r="B21" t="str" cm="1">
        <f t="array" ref="B21">_xlfn.IFS(S21="to be done","-",D21+G21&gt;0,1,J21&gt;0,2,I21=0,_xlfn.IFS(M21&gt;0,2,L21=0,_xlfn.IFS(P21&gt;0,2,I21&gt;0,3,O21=0,4,P21=0,5)),L21=0,_xlfn.IFS(M21&gt;0,3,O21=0,3,P21&gt;0,3),M21&gt;0,3,P21&gt;0,4,O21&gt;0,5,O21=0,4)</f>
        <v>-</v>
      </c>
      <c r="C21">
        <f>COUNTIFS(Organization!$C$3:$C$6,T21,Organization!$K$3:$K$6,C$16)</f>
        <v>0</v>
      </c>
      <c r="D21">
        <f>COUNTIFS(Organization!$C$3:$C$6,T21,Organization!$K$3:$K$6,D$16)</f>
        <v>0</v>
      </c>
      <c r="E21">
        <f>COUNTIFS(Organization!$C$3:$C$6,T21,Organization!$K$3:$K$6,"N/A")+COUNTIFS(Organization!$C$3:$C$6,T21,Organization!$K$3:$K$6,"Not rolled out yet")</f>
        <v>0</v>
      </c>
      <c r="F21">
        <f>COUNTIFS(Organization!$C$8:$C$11,T21,Organization!$K$8:$K$11,F$16)</f>
        <v>0</v>
      </c>
      <c r="G21">
        <f>COUNTIFS(Organization!$C$8:$C$11,T21,Organization!$K$8:$K$11,G$16)</f>
        <v>0</v>
      </c>
      <c r="H21">
        <f>COUNTIFS(Organization!$C$8:$C$11,T21,Organization!$K$8:$K$11,"N/A")+COUNTIFS(Organization!$C$8:$C$11,T21,Organization!$K$8:$K$11,"Not rolled out yet")</f>
        <v>0</v>
      </c>
      <c r="I21">
        <f>COUNTIFS(Organization!$C$13:$C$16,T21,Organization!$K$13:$K$16,I$16)</f>
        <v>0</v>
      </c>
      <c r="J21">
        <f>COUNTIFS(Organization!$C$13:$C$16,T21,Organization!$K$13:$K$16,J$16)</f>
        <v>0</v>
      </c>
      <c r="K21">
        <f>COUNTIFS(Organization!$C$13:$C$16,T21,Organization!$K$13:$K$16,"N/A")+COUNTIFS(Organization!$C$13:$C$16,T21,Organization!$K$13:$K$16,"Not rolled out yet")</f>
        <v>0</v>
      </c>
      <c r="L21">
        <f>COUNTIFS(Organization!$C$18:$C$21,T21,Organization!$K$18:$K$21,L$16)</f>
        <v>0</v>
      </c>
      <c r="M21">
        <f>COUNTIFS(Organization!$C$18:$C$21,T21,Organization!$K$18:$K$21,M$16)</f>
        <v>0</v>
      </c>
      <c r="N21">
        <f>COUNTIFS(Organization!$C$18:$C$21,T21,Organization!$K$18:$K$21,"N/A")+COUNTIFS(Organization!$C$18:$C$21,T21,Organization!$K$18:$K$21,"Not rolled out yet")</f>
        <v>0</v>
      </c>
      <c r="O21">
        <f>COUNTIFS(Organization!$C$23:$C$26,T21,Organization!$K$23:$K$26,O$16)</f>
        <v>0</v>
      </c>
      <c r="P21">
        <f>COUNTIFS(Organization!$C$23:$C$26,T21,Organization!$K$23:$K$26,P$16)</f>
        <v>0</v>
      </c>
      <c r="Q21">
        <f>COUNTIFS(Organization!$C$23:$C$26,T21,Organization!$K$23:$K$26,"N/A")+COUNTIFS(Organization!$C$23:$C$26,T21,Organization!$K$23:$K$26,"Not rolled out yet")</f>
        <v>0</v>
      </c>
      <c r="R21">
        <f>COUNTIF(Organization!$C$3:$C$26,T21)</f>
        <v>7</v>
      </c>
      <c r="S21" t="str">
        <f>IF(SUM(C21:Q21)=R21,"done","to be done")</f>
        <v>to be done</v>
      </c>
      <c r="T21" t="s">
        <v>131</v>
      </c>
    </row>
    <row r="22" spans="1:20">
      <c r="A22" t="s">
        <v>480</v>
      </c>
      <c r="B22" t="str" cm="1">
        <f t="array" ref="B22">_xlfn.IFS(S22="to be done","-",D22+G22&gt;0,1,J22&gt;0,2,I22=0,_xlfn.IFS(M22&gt;0,2,L22=0,_xlfn.IFS(P22&gt;0,2,I22&gt;0,3,O22=0,4,P22=0,5)),L22=0,_xlfn.IFS(M22&gt;0,3,O22=0,3,P22&gt;0,3),M22&gt;0,3,P22&gt;0,4,O22&gt;0,5,O22=0,4)</f>
        <v>-</v>
      </c>
      <c r="C22">
        <f>COUNTIFS(Organization!$C$3:$C$6,T22,Organization!$K$3:$K$6,C$16)</f>
        <v>0</v>
      </c>
      <c r="D22">
        <f>COUNTIFS(Organization!$C$3:$C$6,T22,Organization!$K$3:$K$6,D$16)</f>
        <v>0</v>
      </c>
      <c r="E22">
        <f>COUNTIFS(Organization!$C$3:$C$6,T22,Organization!$K$3:$K$6,"N/A")+COUNTIFS(Organization!$C$3:$C$6,T22,Organization!$K$3:$K$6,"Not rolled out yet")</f>
        <v>0</v>
      </c>
      <c r="F22">
        <f>COUNTIFS(Organization!$C$8:$C$11,T22,Organization!$K$8:$K$11,F$16)</f>
        <v>0</v>
      </c>
      <c r="G22">
        <f>COUNTIFS(Organization!$C$8:$C$11,T22,Organization!$K$8:$K$11,G$16)</f>
        <v>0</v>
      </c>
      <c r="H22">
        <f>COUNTIFS(Organization!$C$8:$C$11,T22,Organization!$K$8:$K$11,"N/A")+COUNTIFS(Organization!$C$8:$C$11,T22,Organization!$K$8:$K$11,"Not rolled out yet")</f>
        <v>0</v>
      </c>
      <c r="I22">
        <f>COUNTIFS(Organization!$C$13:$C$16,T22,Organization!$K$13:$K$16,I$16)</f>
        <v>0</v>
      </c>
      <c r="J22">
        <f>COUNTIFS(Organization!$C$13:$C$16,T22,Organization!$K$13:$K$16,J$16)</f>
        <v>0</v>
      </c>
      <c r="K22">
        <f>COUNTIFS(Organization!$C$13:$C$16,T22,Organization!$K$13:$K$16,"N/A")+COUNTIFS(Organization!$C$13:$C$16,T22,Organization!$K$13:$K$16,"Not rolled out yet")</f>
        <v>0</v>
      </c>
      <c r="L22">
        <f>COUNTIFS(Organization!$C$18:$C$21,T22,Organization!$K$18:$K$21,L$16)</f>
        <v>0</v>
      </c>
      <c r="M22">
        <f>COUNTIFS(Organization!$C$18:$C$21,T22,Organization!$K$18:$K$21,M$16)</f>
        <v>0</v>
      </c>
      <c r="N22">
        <f>COUNTIFS(Organization!$C$18:$C$21,T22,Organization!$K$18:$K$21,"N/A")+COUNTIFS(Organization!$C$18:$C$21,T22,Organization!$K$18:$K$21,"Not rolled out yet")</f>
        <v>0</v>
      </c>
      <c r="O22">
        <f>COUNTIFS(Organization!$C$23:$C$26,T22,Organization!$K$23:$K$26,O$16)</f>
        <v>0</v>
      </c>
      <c r="P22">
        <f>COUNTIFS(Organization!$C$23:$C$26,T22,Organization!$K$23:$K$26,P$16)</f>
        <v>0</v>
      </c>
      <c r="Q22">
        <f>COUNTIFS(Organization!$C$23:$C$26,T22,Organization!$K$23:$K$26,"N/A")+COUNTIFS(Organization!$C$23:$C$26,T22,Organization!$K$23:$K$26,"Not rolled out yet")</f>
        <v>0</v>
      </c>
      <c r="R22">
        <f>COUNTIF(Organization!$C$3:$C$26,T22)</f>
        <v>5</v>
      </c>
      <c r="S22" t="str">
        <f>IF(SUM(C22:Q22)=R22,"done","to be done")</f>
        <v>to be done</v>
      </c>
      <c r="T22" t="s">
        <v>123</v>
      </c>
    </row>
    <row r="23" spans="1:20">
      <c r="A23" t="s">
        <v>481</v>
      </c>
      <c r="B23" t="str" cm="1">
        <f t="array" ref="B23">_xlfn.IFS(S23="to be done","-",D23+G23&gt;0,1,J23&gt;0,2,I23=0,_xlfn.IFS(M23&gt;0,2,L23=0,_xlfn.IFS(P23&gt;0,2,I23&gt;0,3,O23=0,4,P23=0,5)),L23=0,_xlfn.IFS(M23&gt;0,3,O23=0,3,P23&gt;0,3),M23&gt;0,3,P23&gt;0,4,O23&gt;0,5,O23=0,4)</f>
        <v>-</v>
      </c>
      <c r="C23">
        <f>COUNTIFS(Organization!$C$3:$C$6,T23,Organization!$K$3:$K$6,C$16)</f>
        <v>0</v>
      </c>
      <c r="D23">
        <f>COUNTIFS(Organization!$C$3:$C$6,T23,Organization!$K$3:$K$6,D$16)</f>
        <v>0</v>
      </c>
      <c r="E23">
        <f>COUNTIFS(Organization!$C$3:$C$6,T23,Organization!$K$3:$K$6,"N/A")+COUNTIFS(Organization!$C$3:$C$6,T23,Organization!$K$3:$K$6,"Not rolled out yet")</f>
        <v>0</v>
      </c>
      <c r="F23">
        <f>COUNTIFS(Organization!$C$8:$C$11,T23,Organization!$K$8:$K$11,F$16)</f>
        <v>0</v>
      </c>
      <c r="G23">
        <f>COUNTIFS(Organization!$C$8:$C$11,T23,Organization!$K$8:$K$11,G$16)</f>
        <v>0</v>
      </c>
      <c r="H23">
        <f>COUNTIFS(Organization!$C$8:$C$11,T23,Organization!$K$8:$K$11,"N/A")+COUNTIFS(Organization!$C$8:$C$11,T23,Organization!$K$8:$K$11,"Not rolled out yet")</f>
        <v>0</v>
      </c>
      <c r="I23">
        <f>COUNTIFS(Organization!$C$13:$C$16,T23,Organization!$K$13:$K$16,I$16)</f>
        <v>0</v>
      </c>
      <c r="J23">
        <f>COUNTIFS(Organization!$C$13:$C$16,T23,Organization!$K$13:$K$16,J$16)</f>
        <v>0</v>
      </c>
      <c r="K23">
        <f>COUNTIFS(Organization!$C$13:$C$16,T23,Organization!$K$13:$K$16,"N/A")+COUNTIFS(Organization!$C$13:$C$16,T23,Organization!$K$13:$K$16,"Not rolled out yet")</f>
        <v>0</v>
      </c>
      <c r="L23">
        <f>COUNTIFS(Organization!$C$18:$C$21,T23,Organization!$K$18:$K$21,L$16)</f>
        <v>0</v>
      </c>
      <c r="M23">
        <f>COUNTIFS(Organization!$C$18:$C$21,T23,Organization!$K$18:$K$21,M$16)</f>
        <v>0</v>
      </c>
      <c r="N23">
        <f>COUNTIFS(Organization!$C$18:$C$21,T23,Organization!$K$18:$K$21,"N/A")+COUNTIFS(Organization!$C$18:$C$21,T23,Organization!$K$18:$K$21,"Not rolled out yet")</f>
        <v>0</v>
      </c>
      <c r="O23">
        <f>COUNTIFS(Organization!$C$23:$C$26,T23,Organization!$K$23:$K$26,O$16)</f>
        <v>0</v>
      </c>
      <c r="P23">
        <f>COUNTIFS(Organization!$C$23:$C$26,T23,Organization!$K$23:$K$26,P$16)</f>
        <v>0</v>
      </c>
      <c r="Q23">
        <f>COUNTIFS(Organization!$C$23:$C$26,T23,Organization!$K$23:$K$26,"N/A")+COUNTIFS(Organization!$C$23:$C$26,T23,Organization!$K$23:$K$26,"Not rolled out yet")</f>
        <v>0</v>
      </c>
      <c r="R23">
        <f>COUNTIF(Organization!$C$3:$C$26,T23)</f>
        <v>8</v>
      </c>
      <c r="S23" t="str">
        <f>IF(SUM(C23:Q23)=R23,"done","to be done")</f>
        <v>to be done</v>
      </c>
      <c r="T23" t="s">
        <v>146</v>
      </c>
    </row>
    <row r="24" spans="1:20">
      <c r="T24" t="s">
        <v>482</v>
      </c>
    </row>
    <row r="25" spans="1:20">
      <c r="A25" t="s">
        <v>483</v>
      </c>
      <c r="B25" t="str" cm="1">
        <f t="array" ref="B25">_xlfn.IFS(S25="to be done","-",D25+G25&gt;0,1,J25&gt;0,2,I25=0,_xlfn.IFS(M25&gt;0,2,L25=0,_xlfn.IFS(P25&gt;0,2,I25&gt;0,3,O25=0,4,P25=0,5)),L25=0,_xlfn.IFS(M25&gt;0,3,O25=0,3,P25&gt;0,3),M25&gt;0,3,P25&gt;0,4,O25&gt;0,5,O25=0,4)</f>
        <v>-</v>
      </c>
      <c r="C25">
        <f>COUNTIFS('TM Engagement'!$C$3:$C$6,T25,'TM Engagement'!$K$3:$K$6,C$16)</f>
        <v>0</v>
      </c>
      <c r="D25">
        <f>COUNTIFS('TM Engagement'!$C$3:$C$6,T25,'TM Engagement'!$K$3:$K$6,D$16)</f>
        <v>0</v>
      </c>
      <c r="E25">
        <f>COUNTIFS('TM Engagement'!$C$3:$C$6,T25,'TM Engagement'!$K$3:$K$6,"N/A")+COUNTIFS('TM Engagement'!$C$3:$C$6,T25,'TM Engagement'!$K$3:$K$6,"Not rolled out yet")</f>
        <v>0</v>
      </c>
      <c r="F25">
        <f>COUNTIFS('TM Engagement'!$C$8:$C$10,T25,'TM Engagement'!$K$8:$K$10,F$16)</f>
        <v>0</v>
      </c>
      <c r="G25">
        <f>COUNTIFS('TM Engagement'!$C$8:$C$10,T25,'TM Engagement'!$K$8:$K$10,G$16)</f>
        <v>0</v>
      </c>
      <c r="H25">
        <f>COUNTIFS('TM Engagement'!$C$8:$C$10,T25,'TM Engagement'!$K$8:$K$10,"N/A")+COUNTIFS('TM Engagement'!$C$8:$C$10,T25,'TM Engagement'!$K$8:$K$10,"Not rolled out yet")</f>
        <v>0</v>
      </c>
      <c r="I25">
        <f>COUNTIFS('TM Engagement'!$C$12:$C$14,T25,'TM Engagement'!$K$12:$K$14,I$16)</f>
        <v>0</v>
      </c>
      <c r="J25">
        <f>COUNTIFS('TM Engagement'!$C$12:$C$14,T25,'TM Engagement'!$K$12:$K$14,J$16)</f>
        <v>0</v>
      </c>
      <c r="K25">
        <f>COUNTIFS('TM Engagement'!$C$12:$C$14,T25,'TM Engagement'!$K$12:$K$14,"N/A")+COUNTIFS('TM Engagement'!$C$12:$C$14,T25,'TM Engagement'!$K$12:$K$14,"Not rolled out yet")</f>
        <v>0</v>
      </c>
      <c r="L25">
        <f>COUNTIFS('TM Engagement'!$C$16:$C$18,T25,'TM Engagement'!$K$16:$K$18,L$16)</f>
        <v>0</v>
      </c>
      <c r="M25">
        <f>COUNTIFS('TM Engagement'!$C$16:$C$18,T25,'TM Engagement'!$K$16:$K$18,M$16)</f>
        <v>0</v>
      </c>
      <c r="N25">
        <f>COUNTIFS('TM Engagement'!$C$16:$C$18,T25,'TM Engagement'!$K$16:$K$18,"N/A")+COUNTIFS('TM Engagement'!$C$16:$C$18,T25,'TM Engagement'!$K$16:$K$18,"Not rolled out yet")</f>
        <v>0</v>
      </c>
      <c r="O25">
        <f>COUNTIFS('TM Engagement'!$C$20:$C$22,T25,'TM Engagement'!$K$20:$K$22,O$16)</f>
        <v>0</v>
      </c>
      <c r="P25">
        <f>COUNTIFS('TM Engagement'!$C$20:$C$22,T25,'TM Engagement'!$K$20:$K$22,P$16)</f>
        <v>0</v>
      </c>
      <c r="Q25">
        <f>COUNTIFS('TM Engagement'!$C$20:$C$22,T25,'TM Engagement'!$K$20:$K$22,"N/A")+COUNTIFS('TM Engagement'!$C$20:$C$22,T25,'TM Engagement'!$K$20:$K$22,"Not rolled out yet")</f>
        <v>0</v>
      </c>
      <c r="R25">
        <f>COUNTIF('TM Engagement'!$C$3:$C$22,T25)</f>
        <v>5</v>
      </c>
      <c r="S25" t="str">
        <f>IF(SUM(C25:Q25)=R25,"done","to be done")</f>
        <v>to be done</v>
      </c>
      <c r="T25" t="s">
        <v>84</v>
      </c>
    </row>
    <row r="26" spans="1:20">
      <c r="A26" t="s">
        <v>484</v>
      </c>
      <c r="B26" t="str" cm="1">
        <f t="array" ref="B26">_xlfn.IFS(S26="to be done","-",D26+G26&gt;0,1,J26&gt;0,2,I26=0,_xlfn.IFS(M26&gt;0,2,L26=0,_xlfn.IFS(P26&gt;0,2,I26&gt;0,3,O26=0,4,P26=0,5)),L26=0,_xlfn.IFS(M26&gt;0,3,O26=0,3,P26&gt;0,3),M26&gt;0,3,P26&gt;0,4,O26&gt;0,5,O26=0,4)</f>
        <v>-</v>
      </c>
      <c r="C26">
        <f>COUNTIFS('TM Engagement'!$C$3:$C$6,T26,'TM Engagement'!$K$3:$K$6,C$16)</f>
        <v>0</v>
      </c>
      <c r="D26">
        <f>COUNTIFS('TM Engagement'!$C$3:$C$6,T26,'TM Engagement'!$K$3:$K$6,D$16)</f>
        <v>0</v>
      </c>
      <c r="E26">
        <f>COUNTIFS('TM Engagement'!$C$3:$C$6,T26,'TM Engagement'!$K$3:$K$6,"N/A")+COUNTIFS('TM Engagement'!$C$3:$C$6,T26,'TM Engagement'!$K$3:$K$6,"Not rolled out yet")</f>
        <v>0</v>
      </c>
      <c r="F26">
        <f>COUNTIFS('TM Engagement'!$C$8:$C$10,T26,'TM Engagement'!$K$8:$K$10,F$16)</f>
        <v>0</v>
      </c>
      <c r="G26">
        <f>COUNTIFS('TM Engagement'!$C$8:$C$10,T26,'TM Engagement'!$K$8:$K$10,G$16)</f>
        <v>0</v>
      </c>
      <c r="H26">
        <f>COUNTIFS('TM Engagement'!$C$8:$C$10,T26,'TM Engagement'!$K$8:$K$10,"N/A")+COUNTIFS('TM Engagement'!$C$8:$C$10,T26,'TM Engagement'!$K$8:$K$10,"Not rolled out yet")</f>
        <v>0</v>
      </c>
      <c r="I26">
        <f>COUNTIFS('TM Engagement'!$C$12:$C$14,T26,'TM Engagement'!$K$12:$K$14,I$16)</f>
        <v>0</v>
      </c>
      <c r="J26">
        <f>COUNTIFS('TM Engagement'!$C$12:$C$14,T26,'TM Engagement'!$K$12:$K$14,J$16)</f>
        <v>0</v>
      </c>
      <c r="K26">
        <f>COUNTIFS('TM Engagement'!$C$12:$C$14,T26,'TM Engagement'!$K$12:$K$14,"N/A")+COUNTIFS('TM Engagement'!$C$12:$C$14,T26,'TM Engagement'!$K$12:$K$14,"Not rolled out yet")</f>
        <v>0</v>
      </c>
      <c r="L26">
        <f>COUNTIFS('TM Engagement'!$C$16:$C$18,T26,'TM Engagement'!$K$16:$K$18,L$16)</f>
        <v>0</v>
      </c>
      <c r="M26">
        <f>COUNTIFS('TM Engagement'!$C$16:$C$18,T26,'TM Engagement'!$K$16:$K$18,M$16)</f>
        <v>0</v>
      </c>
      <c r="N26">
        <f>COUNTIFS('TM Engagement'!$C$16:$C$18,T26,'TM Engagement'!$K$16:$K$18,"N/A")+COUNTIFS('TM Engagement'!$C$16:$C$18,T26,'TM Engagement'!$K$16:$K$18,"Not rolled out yet")</f>
        <v>0</v>
      </c>
      <c r="O26">
        <f>COUNTIFS('TM Engagement'!$C$20:$C$22,T26,'TM Engagement'!$K$20:$K$22,O$16)</f>
        <v>0</v>
      </c>
      <c r="P26">
        <f>COUNTIFS('TM Engagement'!$C$20:$C$22,T26,'TM Engagement'!$K$20:$K$22,P$16)</f>
        <v>0</v>
      </c>
      <c r="Q26">
        <f>COUNTIFS('TM Engagement'!$C$20:$C$22,T26,'TM Engagement'!$K$20:$K$22,"N/A")+COUNTIFS('TM Engagement'!$C$20:$C$22,T26,'TM Engagement'!$K$20:$K$22,"Not rolled out yet")</f>
        <v>0</v>
      </c>
      <c r="R26">
        <f>COUNTIF('TM Engagement'!$C$3:$C$22,T26)</f>
        <v>6</v>
      </c>
      <c r="S26" t="str">
        <f>IF(SUM(C26:Q26)=R26,"done","to be done")</f>
        <v>to be done</v>
      </c>
      <c r="T26" t="s">
        <v>81</v>
      </c>
    </row>
    <row r="27" spans="1:20">
      <c r="A27" t="s">
        <v>485</v>
      </c>
      <c r="B27" t="str" cm="1">
        <f t="array" ref="B27">_xlfn.IFS(S27="to be done","-",D27+G27&gt;0,1,J27&gt;0,2,I27=0,_xlfn.IFS(M27&gt;0,2,L27=0,_xlfn.IFS(P27&gt;0,2,I27&gt;0,3,O27=0,4,P27=0,5)),L27=0,_xlfn.IFS(M27&gt;0,3,O27=0,3,P27&gt;0,3),M27&gt;0,3,P27&gt;0,4,O27&gt;0,5,O27=0,4)</f>
        <v>-</v>
      </c>
      <c r="C27">
        <f>COUNTIFS('TM Engagement'!$C$3:$C$6,T27,'TM Engagement'!$K$3:$K$6,C$16)</f>
        <v>0</v>
      </c>
      <c r="D27">
        <f>COUNTIFS('TM Engagement'!$C$3:$C$6,T27,'TM Engagement'!$K$3:$K$6,D$16)</f>
        <v>0</v>
      </c>
      <c r="E27">
        <f>COUNTIFS('TM Engagement'!$C$3:$C$6,T27,'TM Engagement'!$K$3:$K$6,"N/A")+COUNTIFS('TM Engagement'!$C$3:$C$6,T27,'TM Engagement'!$K$3:$K$6,"Not rolled out yet")</f>
        <v>0</v>
      </c>
      <c r="F27">
        <f>COUNTIFS('TM Engagement'!$C$8:$C$10,T27,'TM Engagement'!$K$8:$K$10,F$16)</f>
        <v>0</v>
      </c>
      <c r="G27">
        <f>COUNTIFS('TM Engagement'!$C$8:$C$10,T27,'TM Engagement'!$K$8:$K$10,G$16)</f>
        <v>0</v>
      </c>
      <c r="H27">
        <f>COUNTIFS('TM Engagement'!$C$8:$C$10,T27,'TM Engagement'!$K$8:$K$10,"N/A")+COUNTIFS('TM Engagement'!$C$8:$C$10,T27,'TM Engagement'!$K$8:$K$10,"Not rolled out yet")</f>
        <v>0</v>
      </c>
      <c r="I27">
        <f>COUNTIFS('TM Engagement'!$C$12:$C$14,T27,'TM Engagement'!$K$12:$K$14,I$16)</f>
        <v>0</v>
      </c>
      <c r="J27">
        <f>COUNTIFS('TM Engagement'!$C$12:$C$14,T27,'TM Engagement'!$K$12:$K$14,J$16)</f>
        <v>0</v>
      </c>
      <c r="K27">
        <f>COUNTIFS('TM Engagement'!$C$12:$C$14,T27,'TM Engagement'!$K$12:$K$14,"N/A")+COUNTIFS('TM Engagement'!$C$12:$C$14,T27,'TM Engagement'!$K$12:$K$14,"Not rolled out yet")</f>
        <v>0</v>
      </c>
      <c r="L27">
        <f>COUNTIFS('TM Engagement'!$C$16:$C$18,T27,'TM Engagement'!$K$16:$K$18,L$16)</f>
        <v>0</v>
      </c>
      <c r="M27">
        <f>COUNTIFS('TM Engagement'!$C$16:$C$18,T27,'TM Engagement'!$K$16:$K$18,M$16)</f>
        <v>0</v>
      </c>
      <c r="N27">
        <f>COUNTIFS('TM Engagement'!$C$16:$C$18,T27,'TM Engagement'!$K$16:$K$18,"N/A")+COUNTIFS('TM Engagement'!$C$16:$C$18,T27,'TM Engagement'!$K$16:$K$18,"Not rolled out yet")</f>
        <v>0</v>
      </c>
      <c r="O27">
        <f>COUNTIFS('TM Engagement'!$C$20:$C$22,T27,'TM Engagement'!$K$20:$K$22,O$16)</f>
        <v>0</v>
      </c>
      <c r="P27">
        <f>COUNTIFS('TM Engagement'!$C$20:$C$22,T27,'TM Engagement'!$K$20:$K$22,P$16)</f>
        <v>0</v>
      </c>
      <c r="Q27">
        <f>COUNTIFS('TM Engagement'!$C$20:$C$22,T27,'TM Engagement'!$K$20:$K$22,"N/A")+COUNTIFS('TM Engagement'!$C$20:$C$22,T27,'TM Engagement'!$K$20:$K$22,"Not rolled out yet")</f>
        <v>0</v>
      </c>
      <c r="R27">
        <f>COUNTIF('TM Engagement'!$C$3:$C$22,T27)</f>
        <v>5</v>
      </c>
      <c r="S27" t="str">
        <f>IF(SUM(C27:Q27)=R27,"done","to be done")</f>
        <v>to be done</v>
      </c>
      <c r="T27" t="s">
        <v>90</v>
      </c>
    </row>
    <row r="28" spans="1:20">
      <c r="T28" t="s">
        <v>486</v>
      </c>
    </row>
    <row r="29" spans="1:20">
      <c r="A29" t="s">
        <v>487</v>
      </c>
      <c r="B29" t="str" cm="1">
        <f t="array" ref="B29">_xlfn.IFS(S29="to be done","-",D29+G29&gt;0,1,J29&gt;0,2,I29=0,_xlfn.IFS(M29&gt;0,2,L29=0,_xlfn.IFS(P29&gt;0,2,I29&gt;0,3,O29=0,4,P29=0,5)),L29=0,_xlfn.IFS(M29&gt;0,3,O29=0,3,P29&gt;0,3),M29&gt;0,3,P29&gt;0,4,O29&gt;0,5,O29=0,4)</f>
        <v>-</v>
      </c>
      <c r="C29">
        <f>COUNTIFS(Leadership!$C$3:$C$5,T29,Leadership!$K$3:$K$5,C$16)</f>
        <v>0</v>
      </c>
      <c r="D29">
        <f>COUNTIFS(Leadership!$C$3:$C$5,T29,Leadership!$K$3:$K$5,D$16)</f>
        <v>0</v>
      </c>
      <c r="E29">
        <f>COUNTIFS(Leadership!$C$3:$C$5,T29,Leadership!$K$3:$K$5,"N/A")+COUNTIFS(Leadership!$C$3:$C$5,T29,Leadership!$K$3:$K$5,"Not rolled out yet")</f>
        <v>0</v>
      </c>
      <c r="F29">
        <f>COUNTIFS(Leadership!$C$7:$C$10,T29,Leadership!$K$7:$K$10,F$16)</f>
        <v>0</v>
      </c>
      <c r="G29">
        <f>COUNTIFS(Leadership!$C$7:$C$10,T29,Leadership!$K$7:$K$10,G$16)</f>
        <v>0</v>
      </c>
      <c r="H29">
        <f>COUNTIFS(Leadership!$C$7:$C$10,T29,Leadership!$K$7:$K$10,"N/A")+COUNTIFS(Leadership!$C$7:$C$10,T29,Leadership!$K$7:$K$10,"Not rolled out yet")</f>
        <v>0</v>
      </c>
      <c r="I29">
        <f>COUNTIFS(Leadership!$C$12:$C$16,T29,Leadership!$K$12:$K$16,I$16)</f>
        <v>0</v>
      </c>
      <c r="J29">
        <f>COUNTIFS(Leadership!$C$12:$C$16,T29,Leadership!$K$12:$K$16,J$16)</f>
        <v>0</v>
      </c>
      <c r="K29">
        <f>COUNTIFS(Leadership!$C$12:$C$16,T29,Leadership!$K$12:$K$16,"N/A")+COUNTIFS(Leadership!$C$12:$C$16,T29,Leadership!$K$12:$K$16,"Not rolled out yet")</f>
        <v>0</v>
      </c>
      <c r="L29">
        <f>COUNTIFS(Leadership!$C$18:$C$22,T29,Leadership!$K$18:$K$22,L$16)</f>
        <v>0</v>
      </c>
      <c r="M29">
        <f>COUNTIFS(Leadership!$C$18:$C$22,T29,Leadership!$K$18:$K$22,M$16)</f>
        <v>0</v>
      </c>
      <c r="N29">
        <f>COUNTIFS(Leadership!$C$18:$C$22,T29,Leadership!$K$18:$K$22,"N/A")+COUNTIFS(Leadership!$C$18:$C$22,T29,Leadership!$K$18:$K$22,"Not rolled out yet")</f>
        <v>0</v>
      </c>
      <c r="O29">
        <f>COUNTIFS(Leadership!$C$24:$C$28,T29,Leadership!$K$24:$K$28,O$16)</f>
        <v>0</v>
      </c>
      <c r="P29">
        <f>COUNTIFS(Leadership!$C$24:$C$28,T29,Leadership!$K$24:$K$28,P$16)</f>
        <v>0</v>
      </c>
      <c r="Q29">
        <f>COUNTIFS(Leadership!$C$24:$C$28,T29,Leadership!$K$24:$K$28,"N/A")+COUNTIFS(Leadership!$C$24:$C$28,T29,Leadership!$K$24:$K$28,"Not rolled out yet")</f>
        <v>0</v>
      </c>
      <c r="R29">
        <f>COUNTIF(Leadership!$C$3:$C$28,T29)</f>
        <v>8</v>
      </c>
      <c r="S29" t="str">
        <f>IF(SUM(C29:Q29)=R29,"done","to be done")</f>
        <v>to be done</v>
      </c>
      <c r="T29" t="s">
        <v>14</v>
      </c>
    </row>
    <row r="30" spans="1:20">
      <c r="A30" t="s">
        <v>488</v>
      </c>
      <c r="B30" t="str" cm="1">
        <f t="array" ref="B30">_xlfn.IFS(S30="to be done","-",D30+G30&gt;0,1,J30&gt;0,2,I30=0,_xlfn.IFS(M30&gt;0,2,L30=0,_xlfn.IFS(P30&gt;0,2,I30&gt;0,3,O30=0,4,P30=0,5)),L30=0,_xlfn.IFS(M30&gt;0,3,O30=0,3,P30&gt;0,3),M30&gt;0,3,P30&gt;0,4,O30&gt;0,5,O30=0,4)</f>
        <v>-</v>
      </c>
      <c r="C30">
        <f>COUNTIFS(Leadership!$C$3:$C$5,T30,Leadership!$K$3:$K$5,C$16)</f>
        <v>0</v>
      </c>
      <c r="D30">
        <f>COUNTIFS(Leadership!$C$3:$C$5,T30,Leadership!$K$3:$K$5,D$16)</f>
        <v>0</v>
      </c>
      <c r="E30">
        <f>COUNTIFS(Leadership!$C$3:$C$5,T30,Leadership!$K$3:$K$5,"N/A")+COUNTIFS(Leadership!$C$3:$C$5,T30,Leadership!$K$3:$K$5,"Not rolled out yet")</f>
        <v>0</v>
      </c>
      <c r="F30">
        <f>COUNTIFS(Leadership!$C$7:$C$10,T30,Leadership!$K$7:$K$10,F$16)</f>
        <v>0</v>
      </c>
      <c r="G30">
        <f>COUNTIFS(Leadership!$C$7:$C$10,T30,Leadership!$K$7:$K$10,G$16)</f>
        <v>0</v>
      </c>
      <c r="H30">
        <f>COUNTIFS(Leadership!$C$7:$C$10,T30,Leadership!$K$7:$K$10,"N/A")+COUNTIFS(Leadership!$C$7:$C$10,T30,Leadership!$K$7:$K$10,"Not rolled out yet")</f>
        <v>0</v>
      </c>
      <c r="I30">
        <f>COUNTIFS(Leadership!$C$12:$C$16,T30,Leadership!$K$12:$K$16,I$16)</f>
        <v>0</v>
      </c>
      <c r="J30">
        <f>COUNTIFS(Leadership!$C$12:$C$16,T30,Leadership!$K$12:$K$16,J$16)</f>
        <v>0</v>
      </c>
      <c r="K30">
        <f>COUNTIFS(Leadership!$C$12:$C$16,T30,Leadership!$K$12:$K$16,"N/A")+COUNTIFS(Leadership!$C$12:$C$16,T30,Leadership!$K$12:$K$16,"Not rolled out yet")</f>
        <v>0</v>
      </c>
      <c r="L30">
        <f>COUNTIFS(Leadership!$C$18:$C$22,T30,Leadership!$K$18:$K$22,L$16)</f>
        <v>0</v>
      </c>
      <c r="M30">
        <f>COUNTIFS(Leadership!$C$18:$C$22,T30,Leadership!$K$18:$K$22,M$16)</f>
        <v>0</v>
      </c>
      <c r="N30">
        <f>COUNTIFS(Leadership!$C$18:$C$22,T30,Leadership!$K$18:$K$22,"N/A")+COUNTIFS(Leadership!$C$18:$C$22,T30,Leadership!$K$18:$K$22,"Not rolled out yet")</f>
        <v>0</v>
      </c>
      <c r="O30">
        <f>COUNTIFS(Leadership!$C$24:$C$28,T30,Leadership!$K$24:$K$28,O$16)</f>
        <v>0</v>
      </c>
      <c r="P30">
        <f>COUNTIFS(Leadership!$C$24:$C$28,T30,Leadership!$K$24:$K$28,P$16)</f>
        <v>0</v>
      </c>
      <c r="Q30">
        <f>COUNTIFS(Leadership!$C$24:$C$28,T30,Leadership!$K$24:$K$28,"N/A")+COUNTIFS(Leadership!$C$24:$C$28,T30,Leadership!$K$24:$K$28,"Not rolled out yet")</f>
        <v>0</v>
      </c>
      <c r="R30">
        <f>COUNTIF(Leadership!$C$3:$C$28,T30)</f>
        <v>6</v>
      </c>
      <c r="S30" t="str">
        <f>IF(SUM(C30:Q30)=R30,"done","to be done")</f>
        <v>to be done</v>
      </c>
      <c r="T30" t="s">
        <v>19</v>
      </c>
    </row>
    <row r="31" spans="1:20">
      <c r="A31" t="s">
        <v>489</v>
      </c>
      <c r="B31" t="str" cm="1">
        <f t="array" ref="B31">_xlfn.IFS(S31="to be done","-",D31+G31&gt;0,1,J31&gt;0,2,I31=0,_xlfn.IFS(M31&gt;0,2,L31=0,_xlfn.IFS(P31&gt;0,2,I31&gt;0,3,O31=0,4,P31=0,5)),L31=0,_xlfn.IFS(M31&gt;0,3,O31=0,3,P31&gt;0,3),M31&gt;0,3,P31&gt;0,4,O31&gt;0,5,O31=0,4)</f>
        <v>-</v>
      </c>
      <c r="C31">
        <f>COUNTIFS(Leadership!$C$3:$C$5,T31,Leadership!$K$3:$K$5,C$16)</f>
        <v>0</v>
      </c>
      <c r="D31">
        <f>COUNTIFS(Leadership!$C$3:$C$5,T31,Leadership!$K$3:$K$5,D$16)</f>
        <v>0</v>
      </c>
      <c r="E31">
        <f>COUNTIFS(Leadership!$C$3:$C$5,T31,Leadership!$K$3:$K$5,"N/A")+COUNTIFS(Leadership!$C$3:$C$5,T31,Leadership!$K$3:$K$5,"Not rolled out yet")</f>
        <v>0</v>
      </c>
      <c r="F31">
        <f>COUNTIFS(Leadership!$C$7:$C$10,T31,Leadership!$K$7:$K$10,F$16)</f>
        <v>0</v>
      </c>
      <c r="G31">
        <f>COUNTIFS(Leadership!$C$7:$C$10,T31,Leadership!$K$7:$K$10,G$16)</f>
        <v>0</v>
      </c>
      <c r="H31">
        <f>COUNTIFS(Leadership!$C$7:$C$10,T31,Leadership!$K$7:$K$10,"N/A")+COUNTIFS(Leadership!$C$7:$C$10,T31,Leadership!$K$7:$K$10,"Not rolled out yet")</f>
        <v>0</v>
      </c>
      <c r="I31">
        <f>COUNTIFS(Leadership!$C$12:$C$16,T31,Leadership!$K$12:$K$16,I$16)</f>
        <v>0</v>
      </c>
      <c r="J31">
        <f>COUNTIFS(Leadership!$C$12:$C$16,T31,Leadership!$K$12:$K$16,J$16)</f>
        <v>0</v>
      </c>
      <c r="K31">
        <f>COUNTIFS(Leadership!$C$12:$C$16,T31,Leadership!$K$12:$K$16,"N/A")+COUNTIFS(Leadership!$C$12:$C$16,T31,Leadership!$K$12:$K$16,"Not rolled out yet")</f>
        <v>0</v>
      </c>
      <c r="L31">
        <f>COUNTIFS(Leadership!$C$18:$C$22,T31,Leadership!$K$18:$K$22,L$16)</f>
        <v>0</v>
      </c>
      <c r="M31">
        <f>COUNTIFS(Leadership!$C$18:$C$22,T31,Leadership!$K$18:$K$22,M$16)</f>
        <v>0</v>
      </c>
      <c r="N31">
        <f>COUNTIFS(Leadership!$C$18:$C$22,T31,Leadership!$K$18:$K$22,"N/A")+COUNTIFS(Leadership!$C$18:$C$22,T31,Leadership!$K$18:$K$22,"Not rolled out yet")</f>
        <v>0</v>
      </c>
      <c r="O31">
        <f>COUNTIFS(Leadership!$C$24:$C$28,T31,Leadership!$K$24:$K$28,O$16)</f>
        <v>0</v>
      </c>
      <c r="P31">
        <f>COUNTIFS(Leadership!$C$24:$C$28,T31,Leadership!$K$24:$K$28,P$16)</f>
        <v>0</v>
      </c>
      <c r="Q31">
        <f>COUNTIFS(Leadership!$C$24:$C$28,T31,Leadership!$K$24:$K$28,"N/A")+COUNTIFS(Leadership!$C$24:$C$28,T31,Leadership!$K$24:$K$28,"Not rolled out yet")</f>
        <v>0</v>
      </c>
      <c r="R31">
        <f>COUNTIF(Leadership!$C$3:$C$28,T31)</f>
        <v>8</v>
      </c>
      <c r="S31" t="str">
        <f>IF(SUM(C31:Q31)=R31,"done","to be done")</f>
        <v>to be done</v>
      </c>
      <c r="T31" t="s">
        <v>23</v>
      </c>
    </row>
    <row r="34" spans="1:9">
      <c r="C34" t="s">
        <v>471</v>
      </c>
      <c r="D34" t="s">
        <v>2</v>
      </c>
      <c r="E34" t="s">
        <v>490</v>
      </c>
      <c r="F34" t="s">
        <v>491</v>
      </c>
      <c r="G34" t="s">
        <v>492</v>
      </c>
      <c r="H34" t="s">
        <v>493</v>
      </c>
    </row>
    <row r="35" spans="1:9">
      <c r="A35" t="s">
        <v>494</v>
      </c>
      <c r="B35" s="95" t="str">
        <f>IF(H35="to be done","-",(C35)/(C35+D35))</f>
        <v>-</v>
      </c>
      <c r="C35">
        <f>COUNTIFS(System!$C$3:$C$108,'Calculation sheet'!I35,System!$L$3:$L$108,C$34)</f>
        <v>0</v>
      </c>
      <c r="D35">
        <f>COUNTIFS(System!$C$3:$C$108,'Calculation sheet'!I35,System!$L$3:$L$108,D$34)</f>
        <v>0</v>
      </c>
      <c r="E35">
        <f>COUNTIFS(System!$C$3:$C$108,'Calculation sheet'!I35,System!$L$3:$L$108,E$34)</f>
        <v>0</v>
      </c>
      <c r="F35">
        <f>COUNTIFS(System!$C$3:$C$108,'Calculation sheet'!I35,System!$L$3:$L$108,F$34)</f>
        <v>0</v>
      </c>
      <c r="G35">
        <f>COUNTIF(System!C3:C108,'Calculation sheet'!I35)</f>
        <v>8</v>
      </c>
      <c r="H35" t="str">
        <f>IF(SUM(C35:F35)=G35,"done","to be done")</f>
        <v>to be done</v>
      </c>
      <c r="I35" t="s">
        <v>171</v>
      </c>
    </row>
    <row r="36" spans="1:9">
      <c r="A36" t="s">
        <v>495</v>
      </c>
      <c r="B36" s="95" t="str">
        <f t="shared" ref="B36:B49" si="0">IF(H36="to be done","-",(C36)/(C36+D36))</f>
        <v>-</v>
      </c>
      <c r="C36">
        <f>COUNTIFS(System!$C$3:$C$108,'Calculation sheet'!I36,System!$L$3:$L$108,C$34)</f>
        <v>0</v>
      </c>
      <c r="D36">
        <f>COUNTIFS(System!$C$3:$C$108,'Calculation sheet'!I36,System!$L$3:$L$108,D$34)</f>
        <v>0</v>
      </c>
      <c r="E36">
        <f>COUNTIFS(System!$C$3:$C$108,'Calculation sheet'!I36,System!$L$3:$L$108,E$34)</f>
        <v>0</v>
      </c>
      <c r="F36">
        <f>COUNTIFS(System!$C$3:$C$108,'Calculation sheet'!I36,System!$L$3:$L$108,F$34)</f>
        <v>0</v>
      </c>
      <c r="G36">
        <f>COUNTIF(System!C4:C109,'Calculation sheet'!I36)</f>
        <v>6</v>
      </c>
      <c r="H36" t="str">
        <f t="shared" ref="H36:H49" si="1">IF(SUM(C36:F36)=G36,"done","to be done")</f>
        <v>to be done</v>
      </c>
      <c r="I36" t="s">
        <v>178</v>
      </c>
    </row>
    <row r="37" spans="1:9">
      <c r="A37" t="s">
        <v>481</v>
      </c>
      <c r="B37" s="95" t="str">
        <f t="shared" si="0"/>
        <v>-</v>
      </c>
      <c r="C37">
        <f>COUNTIFS(System!$C$3:$C$108,'Calculation sheet'!I37,System!$L$3:$L$108,C$34)</f>
        <v>0</v>
      </c>
      <c r="D37">
        <f>COUNTIFS(System!$C$3:$C$108,'Calculation sheet'!I37,System!$L$3:$L$108,D$34)</f>
        <v>0</v>
      </c>
      <c r="E37">
        <f>COUNTIFS(System!$C$3:$C$108,'Calculation sheet'!I37,System!$L$3:$L$108,E$34)</f>
        <v>0</v>
      </c>
      <c r="F37">
        <f>COUNTIFS(System!$C$3:$C$108,'Calculation sheet'!I37,System!$L$3:$L$108,F$34)</f>
        <v>0</v>
      </c>
      <c r="G37">
        <f>COUNTIF(System!C5:C110,'Calculation sheet'!I37)</f>
        <v>6</v>
      </c>
      <c r="H37" t="str">
        <f t="shared" si="1"/>
        <v>to be done</v>
      </c>
      <c r="I37" t="s">
        <v>146</v>
      </c>
    </row>
    <row r="38" spans="1:9">
      <c r="A38" t="s">
        <v>496</v>
      </c>
      <c r="B38" s="95" t="str">
        <f t="shared" si="0"/>
        <v>-</v>
      </c>
      <c r="C38">
        <f>COUNTIFS(System!$C$3:$C$108,'Calculation sheet'!I38,System!$L$3:$L$108,C$34)</f>
        <v>0</v>
      </c>
      <c r="D38">
        <f>COUNTIFS(System!$C$3:$C$108,'Calculation sheet'!I38,System!$L$3:$L$108,D$34)</f>
        <v>0</v>
      </c>
      <c r="E38">
        <f>COUNTIFS(System!$C$3:$C$108,'Calculation sheet'!I38,System!$L$3:$L$108,E$34)</f>
        <v>0</v>
      </c>
      <c r="F38">
        <f>COUNTIFS(System!$C$3:$C$108,'Calculation sheet'!I38,System!$L$3:$L$108,F$34)</f>
        <v>0</v>
      </c>
      <c r="G38">
        <f>COUNTIF(System!C6:C111,'Calculation sheet'!I38)</f>
        <v>6</v>
      </c>
      <c r="H38" t="str">
        <f t="shared" si="1"/>
        <v>to be done</v>
      </c>
      <c r="I38" t="s">
        <v>184</v>
      </c>
    </row>
    <row r="39" spans="1:9">
      <c r="A39" t="s">
        <v>497</v>
      </c>
      <c r="B39" s="95" t="str">
        <f t="shared" si="0"/>
        <v>-</v>
      </c>
      <c r="C39">
        <f>COUNTIFS(System!$C$3:$C$108,'Calculation sheet'!I39,System!$L$3:$L$108,C$34)</f>
        <v>0</v>
      </c>
      <c r="D39">
        <f>COUNTIFS(System!$C$3:$C$108,'Calculation sheet'!I39,System!$L$3:$L$108,D$34)</f>
        <v>0</v>
      </c>
      <c r="E39">
        <f>COUNTIFS(System!$C$3:$C$108,'Calculation sheet'!I39,System!$L$3:$L$108,E$34)</f>
        <v>0</v>
      </c>
      <c r="F39">
        <f>COUNTIFS(System!$C$3:$C$108,'Calculation sheet'!I39,System!$L$3:$L$108,F$34)</f>
        <v>0</v>
      </c>
      <c r="G39">
        <f>COUNTIF(System!C7:C112,'Calculation sheet'!I39)</f>
        <v>7</v>
      </c>
      <c r="H39" t="str">
        <f t="shared" si="1"/>
        <v>to be done</v>
      </c>
      <c r="I39" t="s">
        <v>188</v>
      </c>
    </row>
    <row r="40" spans="1:9">
      <c r="A40" t="s">
        <v>498</v>
      </c>
      <c r="B40" s="95" t="str">
        <f t="shared" si="0"/>
        <v>-</v>
      </c>
      <c r="C40">
        <f>COUNTIFS(System!$C$3:$C$108,'Calculation sheet'!I40,System!$L$3:$L$108,C$34)</f>
        <v>0</v>
      </c>
      <c r="D40">
        <f>COUNTIFS(System!$C$3:$C$108,'Calculation sheet'!I40,System!$L$3:$L$108,D$34)</f>
        <v>0</v>
      </c>
      <c r="E40">
        <f>COUNTIFS(System!$C$3:$C$108,'Calculation sheet'!I40,System!$L$3:$L$108,E$34)</f>
        <v>0</v>
      </c>
      <c r="F40">
        <f>COUNTIFS(System!$C$3:$C$108,'Calculation sheet'!I40,System!$L$3:$L$108,F$34)</f>
        <v>0</v>
      </c>
      <c r="G40">
        <f>COUNTIF(System!C8:C113,'Calculation sheet'!I40)</f>
        <v>5</v>
      </c>
      <c r="H40" t="str">
        <f t="shared" si="1"/>
        <v>to be done</v>
      </c>
      <c r="I40" t="s">
        <v>191</v>
      </c>
    </row>
    <row r="41" spans="1:9">
      <c r="A41" t="s">
        <v>499</v>
      </c>
      <c r="B41" s="95" t="str">
        <f t="shared" si="0"/>
        <v>-</v>
      </c>
      <c r="C41">
        <f>COUNTIFS(System!$C$3:$C$108,'Calculation sheet'!I41,System!$L$3:$L$108,C$34)</f>
        <v>0</v>
      </c>
      <c r="D41">
        <f>COUNTIFS(System!$C$3:$C$108,'Calculation sheet'!I41,System!$L$3:$L$108,D$34)</f>
        <v>0</v>
      </c>
      <c r="E41">
        <f>COUNTIFS(System!$C$3:$C$108,'Calculation sheet'!I41,System!$L$3:$L$108,E$34)</f>
        <v>0</v>
      </c>
      <c r="F41">
        <f>COUNTIFS(System!$C$3:$C$108,'Calculation sheet'!I41,System!$L$3:$L$108,F$34)</f>
        <v>0</v>
      </c>
      <c r="G41">
        <f>COUNTIF(System!C9:C114,'Calculation sheet'!I41)</f>
        <v>6</v>
      </c>
      <c r="H41" t="str">
        <f t="shared" si="1"/>
        <v>to be done</v>
      </c>
      <c r="I41" t="s">
        <v>195</v>
      </c>
    </row>
    <row r="42" spans="1:9">
      <c r="A42" t="s">
        <v>500</v>
      </c>
      <c r="B42" s="95" t="str">
        <f t="shared" si="0"/>
        <v>-</v>
      </c>
      <c r="C42">
        <f>COUNTIFS(System!$C$3:$C$108,'Calculation sheet'!I42,System!$L$3:$L$108,C$34)</f>
        <v>0</v>
      </c>
      <c r="D42">
        <f>COUNTIFS(System!$C$3:$C$108,'Calculation sheet'!I42,System!$L$3:$L$108,D$34)</f>
        <v>0</v>
      </c>
      <c r="E42">
        <f>COUNTIFS(System!$C$3:$C$108,'Calculation sheet'!I42,System!$L$3:$L$108,E$34)</f>
        <v>0</v>
      </c>
      <c r="F42">
        <f>COUNTIFS(System!$C$3:$C$108,'Calculation sheet'!I42,System!$L$3:$L$108,F$34)</f>
        <v>0</v>
      </c>
      <c r="G42">
        <f>COUNTIF(System!C10:C115,'Calculation sheet'!I42)</f>
        <v>7</v>
      </c>
      <c r="H42" t="str">
        <f t="shared" si="1"/>
        <v>to be done</v>
      </c>
      <c r="I42" t="s">
        <v>198</v>
      </c>
    </row>
    <row r="43" spans="1:9">
      <c r="A43" t="s">
        <v>501</v>
      </c>
      <c r="B43" s="95" t="str">
        <f t="shared" si="0"/>
        <v>-</v>
      </c>
      <c r="C43">
        <f>COUNTIFS(System!$C$3:$C$108,'Calculation sheet'!I43,System!$L$3:$L$108,C$34)</f>
        <v>0</v>
      </c>
      <c r="D43">
        <f>COUNTIFS(System!$C$3:$C$108,'Calculation sheet'!I43,System!$L$3:$L$108,D$34)</f>
        <v>0</v>
      </c>
      <c r="E43">
        <f>COUNTIFS(System!$C$3:$C$108,'Calculation sheet'!I43,System!$L$3:$L$108,E$34)</f>
        <v>0</v>
      </c>
      <c r="F43">
        <f>COUNTIFS(System!$C$3:$C$108,'Calculation sheet'!I43,System!$L$3:$L$108,F$34)</f>
        <v>0</v>
      </c>
      <c r="G43">
        <f>COUNTIF(System!C11:C116,'Calculation sheet'!I43)</f>
        <v>7</v>
      </c>
      <c r="H43" t="str">
        <f t="shared" si="1"/>
        <v>to be done</v>
      </c>
      <c r="I43" t="s">
        <v>502</v>
      </c>
    </row>
    <row r="44" spans="1:9">
      <c r="A44" t="s">
        <v>503</v>
      </c>
      <c r="B44" s="95" t="str">
        <f t="shared" si="0"/>
        <v>-</v>
      </c>
      <c r="C44">
        <f>COUNTIFS(System!$C$3:$C$108,'Calculation sheet'!I44,System!$L$3:$L$108,C$34)</f>
        <v>0</v>
      </c>
      <c r="D44">
        <f>COUNTIFS(System!$C$3:$C$108,'Calculation sheet'!I44,System!$L$3:$L$108,D$34)</f>
        <v>0</v>
      </c>
      <c r="E44">
        <f>COUNTIFS(System!$C$3:$C$108,'Calculation sheet'!I44,System!$L$3:$L$108,E$34)</f>
        <v>0</v>
      </c>
      <c r="F44">
        <f>COUNTIFS(System!$C$3:$C$108,'Calculation sheet'!I44,System!$L$3:$L$108,F$34)</f>
        <v>0</v>
      </c>
      <c r="G44">
        <f>COUNTIF(System!C12:C117,'Calculation sheet'!I44)</f>
        <v>7</v>
      </c>
      <c r="H44" t="str">
        <f t="shared" si="1"/>
        <v>to be done</v>
      </c>
      <c r="I44" t="s">
        <v>503</v>
      </c>
    </row>
    <row r="45" spans="1:9">
      <c r="A45" t="s">
        <v>504</v>
      </c>
      <c r="B45" s="95" t="str">
        <f t="shared" si="0"/>
        <v>-</v>
      </c>
      <c r="C45">
        <f>COUNTIFS(System!$C$3:$C$108,'Calculation sheet'!I45,System!$L$3:$L$108,C$34)</f>
        <v>0</v>
      </c>
      <c r="D45">
        <f>COUNTIFS(System!$C$3:$C$108,'Calculation sheet'!I45,System!$L$3:$L$108,D$34)</f>
        <v>0</v>
      </c>
      <c r="E45">
        <f>COUNTIFS(System!$C$3:$C$108,'Calculation sheet'!I45,System!$L$3:$L$108,E$34)</f>
        <v>0</v>
      </c>
      <c r="F45">
        <f>COUNTIFS(System!$C$3:$C$108,'Calculation sheet'!I45,System!$L$3:$L$108,F$34)</f>
        <v>0</v>
      </c>
      <c r="G45">
        <f>COUNTIF(System!C13:C118,'Calculation sheet'!I45)</f>
        <v>6</v>
      </c>
      <c r="H45" t="str">
        <f t="shared" si="1"/>
        <v>to be done</v>
      </c>
      <c r="I45" t="s">
        <v>211</v>
      </c>
    </row>
    <row r="46" spans="1:9">
      <c r="A46" t="s">
        <v>505</v>
      </c>
      <c r="B46" s="95" t="str">
        <f t="shared" si="0"/>
        <v>-</v>
      </c>
      <c r="C46">
        <f>COUNTIFS(System!$C$3:$C$108,'Calculation sheet'!I46,System!$L$3:$L$108,C$34)</f>
        <v>0</v>
      </c>
      <c r="D46">
        <f>COUNTIFS(System!$C$3:$C$108,'Calculation sheet'!I46,System!$L$3:$L$108,D$34)</f>
        <v>0</v>
      </c>
      <c r="E46">
        <f>COUNTIFS(System!$C$3:$C$108,'Calculation sheet'!I46,System!$L$3:$L$108,E$34)</f>
        <v>0</v>
      </c>
      <c r="F46">
        <f>COUNTIFS(System!$C$3:$C$108,'Calculation sheet'!I46,System!$L$3:$L$108,F$34)</f>
        <v>0</v>
      </c>
      <c r="G46">
        <f>COUNTIF(System!C14:C119,'Calculation sheet'!I46)</f>
        <v>6</v>
      </c>
      <c r="H46" t="str">
        <f t="shared" si="1"/>
        <v>to be done</v>
      </c>
      <c r="I46" t="s">
        <v>269</v>
      </c>
    </row>
    <row r="47" spans="1:9">
      <c r="A47" t="s">
        <v>506</v>
      </c>
      <c r="B47" s="95" t="str">
        <f t="shared" si="0"/>
        <v>-</v>
      </c>
      <c r="C47">
        <f>COUNTIFS(System!$C$3:$C$108,'Calculation sheet'!I47,System!$L$3:$L$108,C$34)</f>
        <v>0</v>
      </c>
      <c r="D47">
        <f>COUNTIFS(System!$C$3:$C$108,'Calculation sheet'!I47,System!$L$3:$L$108,D$34)</f>
        <v>0</v>
      </c>
      <c r="E47">
        <f>COUNTIFS(System!$C$3:$C$108,'Calculation sheet'!I47,System!$L$3:$L$108,E$34)</f>
        <v>0</v>
      </c>
      <c r="F47">
        <f>COUNTIFS(System!$C$3:$C$108,'Calculation sheet'!I47,System!$L$3:$L$108,F$34)</f>
        <v>0</v>
      </c>
      <c r="G47">
        <f>COUNTIF(System!C15:C120,'Calculation sheet'!I47)</f>
        <v>7</v>
      </c>
      <c r="H47" t="str">
        <f t="shared" si="1"/>
        <v>to be done</v>
      </c>
      <c r="I47" t="s">
        <v>220</v>
      </c>
    </row>
    <row r="48" spans="1:9">
      <c r="A48" t="s">
        <v>507</v>
      </c>
      <c r="B48" s="95" t="str">
        <f t="shared" si="0"/>
        <v>-</v>
      </c>
      <c r="C48">
        <f>COUNTIFS(System!$C$3:$C$108,'Calculation sheet'!I48,System!$L$3:$L$108,C$34)</f>
        <v>0</v>
      </c>
      <c r="D48">
        <f>COUNTIFS(System!$C$3:$C$108,'Calculation sheet'!I48,System!$L$3:$L$108,D$34)</f>
        <v>0</v>
      </c>
      <c r="E48">
        <f>COUNTIFS(System!$C$3:$C$108,'Calculation sheet'!I48,System!$L$3:$L$108,E$34)</f>
        <v>0</v>
      </c>
      <c r="F48">
        <f>COUNTIFS(System!$C$3:$C$108,'Calculation sheet'!I48,System!$L$3:$L$108,F$34)</f>
        <v>0</v>
      </c>
      <c r="G48">
        <f>COUNTIF(System!C16:C121,'Calculation sheet'!I48)</f>
        <v>7</v>
      </c>
      <c r="H48" t="str">
        <f t="shared" si="1"/>
        <v>to be done</v>
      </c>
      <c r="I48" t="s">
        <v>508</v>
      </c>
    </row>
    <row r="49" spans="1:9">
      <c r="A49" t="s">
        <v>509</v>
      </c>
      <c r="B49" s="95" t="str">
        <f t="shared" si="0"/>
        <v>-</v>
      </c>
      <c r="C49">
        <f>COUNTIFS(System!$C$3:$C$108,'Calculation sheet'!I49,System!$L$3:$L$108,C$34)</f>
        <v>0</v>
      </c>
      <c r="D49">
        <f>COUNTIFS(System!$C$3:$C$108,'Calculation sheet'!I49,System!$L$3:$L$108,D$34)</f>
        <v>0</v>
      </c>
      <c r="E49">
        <f>COUNTIFS(System!$C$3:$C$108,'Calculation sheet'!I49,System!$L$3:$L$108,E$34)</f>
        <v>0</v>
      </c>
      <c r="F49">
        <f>COUNTIFS(System!$C$3:$C$108,'Calculation sheet'!I49,System!$L$3:$L$108,F$34)</f>
        <v>0</v>
      </c>
      <c r="G49">
        <f>COUNTIF(System!C17:C122,'Calculation sheet'!I49)</f>
        <v>10</v>
      </c>
      <c r="H49" t="str">
        <f t="shared" si="1"/>
        <v>to be done</v>
      </c>
      <c r="I49" t="s">
        <v>226</v>
      </c>
    </row>
  </sheetData>
  <phoneticPr fontId="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ew xmlns="af3caa82-8770-4ae6-9d87-4ed5e3aca054">true</New>
    <TaxCatchAll xmlns="711ca9e5-348f-44ca-81e6-5e47be3e6231" xsi:nil="true"/>
    <lcf76f155ced4ddcb4097134ff3c332f xmlns="af3caa82-8770-4ae6-9d87-4ed5e3aca05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34738BC8E87CE45B30F19336FE890F9" ma:contentTypeVersion="27" ma:contentTypeDescription="Create a new document." ma:contentTypeScope="" ma:versionID="ec536ba799f51527f3e367d5353d8d80">
  <xsd:schema xmlns:xsd="http://www.w3.org/2001/XMLSchema" xmlns:xs="http://www.w3.org/2001/XMLSchema" xmlns:p="http://schemas.microsoft.com/office/2006/metadata/properties" xmlns:ns2="03b60f28-079f-43d1-9249-332661775cbe" xmlns:ns3="af3caa82-8770-4ae6-9d87-4ed5e3aca054" xmlns:ns4="711ca9e5-348f-44ca-81e6-5e47be3e6231" targetNamespace="http://schemas.microsoft.com/office/2006/metadata/properties" ma:root="true" ma:fieldsID="2b0daa3244599a902544ba1c19efec3d" ns2:_="" ns3:_="" ns4:_="">
    <xsd:import namespace="03b60f28-079f-43d1-9249-332661775cbe"/>
    <xsd:import namespace="af3caa82-8770-4ae6-9d87-4ed5e3aca054"/>
    <xsd:import namespace="711ca9e5-348f-44ca-81e6-5e47be3e623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4:TaxCatchAll" minOccurs="0"/>
                <xsd:element ref="ns3:MediaServiceOCR" minOccurs="0"/>
                <xsd:element ref="ns3:MediaServiceGenerationTime" minOccurs="0"/>
                <xsd:element ref="ns3:MediaServiceEventHashCode" minOccurs="0"/>
                <xsd:element ref="ns3:MediaServiceLocation" minOccurs="0"/>
                <xsd:element ref="ns3:New"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b60f28-079f-43d1-9249-332661775cb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3caa82-8770-4ae6-9d87-4ed5e3aca05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06ecaf4-4d5a-477e-abf9-411f6e59a07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New" ma:index="21" nillable="true" ma:displayName="New" ma:default="1" ma:format="Dropdown" ma:internalName="New">
      <xsd:simpleType>
        <xsd:restriction base="dms:Boolea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1ca9e5-348f-44ca-81e6-5e47be3e6231"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6a2da3f-59c9-436b-967f-8130650e9c75}" ma:internalName="TaxCatchAll" ma:showField="CatchAllData" ma:web="711ca9e5-348f-44ca-81e6-5e47be3e62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0BE298-2B10-4E4A-B821-3F28260EC9E4}"/>
</file>

<file path=customXml/itemProps2.xml><?xml version="1.0" encoding="utf-8"?>
<ds:datastoreItem xmlns:ds="http://schemas.openxmlformats.org/officeDocument/2006/customXml" ds:itemID="{F509530D-A6CD-4D41-ABAC-F436E22213AD}"/>
</file>

<file path=customXml/itemProps3.xml><?xml version="1.0" encoding="utf-8"?>
<ds:datastoreItem xmlns:ds="http://schemas.openxmlformats.org/officeDocument/2006/customXml" ds:itemID="{39D6C715-2DD2-4333-A28E-B66B71F070D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Justin Thomson</dc:creator>
  <cp:keywords/>
  <dc:description/>
  <cp:lastModifiedBy>Kantapon Arunrungruengkit</cp:lastModifiedBy>
  <cp:revision/>
  <dcterms:created xsi:type="dcterms:W3CDTF">2020-11-09T09:59:53Z</dcterms:created>
  <dcterms:modified xsi:type="dcterms:W3CDTF">2026-08-17T06:23:01Z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0x010100434738BC8E87CE45B30F19336FE890F9</vt:lpwstr>
  </property>
  <property fmtid="{D5CDD505-2E9C-101B-9397-08002B2CF9AE}" pid="3" name="MediaServiceImageTags">
    <vt:lpwstr/>
  </property>
</Properties>
</file>